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2A976C48-CD62-4331-AFAC-90CAA3A77A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8" i="1" l="1"/>
  <c r="D178" i="1"/>
  <c r="D179" i="1"/>
  <c r="L180" i="1"/>
  <c r="L150" i="1"/>
  <c r="L151" i="1"/>
  <c r="L152" i="1"/>
  <c r="L153" i="1"/>
  <c r="L154" i="1"/>
  <c r="L155" i="1"/>
  <c r="D177" i="1"/>
  <c r="E103" i="1"/>
  <c r="D180" i="1" l="1"/>
  <c r="I179" i="1"/>
  <c r="L156" i="1"/>
  <c r="L157" i="1"/>
  <c r="L146" i="1"/>
  <c r="L147" i="1"/>
  <c r="L148" i="1"/>
  <c r="L149" i="1"/>
  <c r="L162" i="1"/>
  <c r="E154" i="1" l="1"/>
  <c r="E146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61" i="1" l="1"/>
  <c r="D162" i="1"/>
  <c r="D163" i="1"/>
  <c r="D155" i="1"/>
  <c r="D156" i="1"/>
  <c r="D157" i="1"/>
  <c r="D158" i="1"/>
  <c r="D159" i="1"/>
  <c r="D160" i="1"/>
  <c r="D147" i="1" l="1"/>
  <c r="D148" i="1"/>
  <c r="D149" i="1"/>
  <c r="D150" i="1"/>
  <c r="D151" i="1"/>
  <c r="D141" i="1" l="1"/>
  <c r="D142" i="1"/>
  <c r="D143" i="1"/>
  <c r="D144" i="1"/>
  <c r="D145" i="1"/>
  <c r="D152" i="1"/>
  <c r="D153" i="1"/>
  <c r="D140" i="1"/>
  <c r="E124" i="1" l="1"/>
  <c r="E85" i="1" l="1"/>
  <c r="D122" i="1" l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10" i="1" l="1"/>
  <c r="D111" i="1"/>
  <c r="D112" i="1"/>
  <c r="D113" i="1"/>
  <c r="D114" i="1"/>
  <c r="D115" i="1"/>
  <c r="D116" i="1"/>
  <c r="D117" i="1"/>
  <c r="D118" i="1"/>
  <c r="D119" i="1"/>
  <c r="D120" i="1"/>
  <c r="D121" i="1"/>
  <c r="D139" i="1"/>
  <c r="D100" i="1" l="1"/>
  <c r="D101" i="1"/>
  <c r="D102" i="1"/>
  <c r="D104" i="1"/>
  <c r="D105" i="1"/>
  <c r="D106" i="1"/>
  <c r="D107" i="1"/>
  <c r="D108" i="1"/>
  <c r="D109" i="1"/>
  <c r="D87" i="1" l="1"/>
  <c r="D88" i="1"/>
  <c r="D89" i="1"/>
  <c r="D90" i="1"/>
  <c r="D91" i="1"/>
  <c r="D92" i="1"/>
  <c r="D93" i="1"/>
  <c r="D94" i="1"/>
  <c r="D95" i="1"/>
  <c r="D96" i="1"/>
  <c r="D97" i="1"/>
  <c r="D98" i="1"/>
  <c r="D99" i="1"/>
  <c r="D86" i="1"/>
  <c r="D71" i="1" l="1"/>
  <c r="D83" i="1"/>
  <c r="D84" i="1"/>
  <c r="D69" i="1" l="1"/>
  <c r="D65" i="1" l="1"/>
  <c r="D66" i="1"/>
  <c r="D67" i="1"/>
  <c r="D68" i="1"/>
  <c r="D72" i="1"/>
  <c r="D73" i="1"/>
  <c r="D74" i="1"/>
  <c r="D75" i="1"/>
  <c r="D76" i="1"/>
  <c r="D77" i="1"/>
  <c r="D78" i="1"/>
  <c r="D79" i="1"/>
  <c r="D80" i="1"/>
  <c r="D81" i="1"/>
  <c r="D82" i="1"/>
  <c r="D64" i="1"/>
  <c r="D154" i="1" l="1"/>
  <c r="E63" i="1" l="1"/>
  <c r="E41" i="1"/>
  <c r="D53" i="1"/>
  <c r="D54" i="1"/>
  <c r="D55" i="1"/>
  <c r="D56" i="1"/>
  <c r="D57" i="1"/>
  <c r="D58" i="1"/>
  <c r="D59" i="1"/>
  <c r="D60" i="1"/>
  <c r="D61" i="1"/>
  <c r="D62" i="1"/>
  <c r="D43" i="1" l="1"/>
  <c r="D44" i="1"/>
  <c r="D45" i="1"/>
  <c r="D46" i="1"/>
  <c r="D47" i="1"/>
  <c r="D48" i="1"/>
  <c r="D49" i="1"/>
  <c r="D50" i="1"/>
  <c r="D51" i="1"/>
  <c r="D52" i="1"/>
  <c r="D42" i="1"/>
  <c r="D40" i="1" l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E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I3" i="1" s="1"/>
  <c r="I4" i="1" l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l="1"/>
  <c r="I141" i="1" s="1"/>
  <c r="I142" i="1" s="1"/>
  <c r="I143" i="1" s="1"/>
  <c r="I144" i="1" s="1"/>
  <c r="I145" i="1" l="1"/>
  <c r="I146" i="1" s="1"/>
  <c r="I147" i="1" s="1"/>
  <c r="I148" i="1" s="1"/>
  <c r="I149" i="1" s="1"/>
  <c r="I150" i="1" s="1"/>
  <c r="I151" i="1" s="1"/>
  <c r="I152" i="1" s="1"/>
  <c r="I153" i="1" s="1"/>
  <c r="I154" i="1" s="1"/>
  <c r="I155" i="1" l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l="1"/>
  <c r="I170" i="1" s="1"/>
  <c r="I171" i="1" s="1"/>
  <c r="I172" i="1" s="1"/>
  <c r="I173" i="1" s="1"/>
  <c r="I174" i="1" s="1"/>
  <c r="I175" i="1" s="1"/>
  <c r="I176" i="1" s="1"/>
  <c r="I177" i="1" s="1"/>
</calcChain>
</file>

<file path=xl/sharedStrings.xml><?xml version="1.0" encoding="utf-8"?>
<sst xmlns="http://schemas.openxmlformats.org/spreadsheetml/2006/main" count="59" uniqueCount="50">
  <si>
    <t>дата отчета</t>
  </si>
  <si>
    <t>цена</t>
  </si>
  <si>
    <t>на сумму</t>
  </si>
  <si>
    <t>дата оплаты</t>
  </si>
  <si>
    <t>способ</t>
  </si>
  <si>
    <t>сумма</t>
  </si>
  <si>
    <t>итого</t>
  </si>
  <si>
    <t>доначисления за авг-сент</t>
  </si>
  <si>
    <t>наличные</t>
  </si>
  <si>
    <t>кВт/ месяц</t>
  </si>
  <si>
    <t>кВт/ день</t>
  </si>
  <si>
    <t>2025 год</t>
  </si>
  <si>
    <t>март</t>
  </si>
  <si>
    <t>за ноябрь 2024</t>
  </si>
  <si>
    <t>февраль</t>
  </si>
  <si>
    <t>за декабрь 2024, в т.ч. За газ</t>
  </si>
  <si>
    <t>ГАЗ</t>
  </si>
  <si>
    <t>январь</t>
  </si>
  <si>
    <t>р/с</t>
  </si>
  <si>
    <t>патент</t>
  </si>
  <si>
    <t>комиссия банка</t>
  </si>
  <si>
    <t>01-30.04</t>
  </si>
  <si>
    <t>апрель</t>
  </si>
  <si>
    <t>май</t>
  </si>
  <si>
    <t>1-4 мая</t>
  </si>
  <si>
    <t>10-11 мая</t>
  </si>
  <si>
    <t>5 мая</t>
  </si>
  <si>
    <t>6 мая</t>
  </si>
  <si>
    <t>7 мая</t>
  </si>
  <si>
    <t>13 мая</t>
  </si>
  <si>
    <t>14 мая</t>
  </si>
  <si>
    <t>8-9 мая</t>
  </si>
  <si>
    <t>12 мая</t>
  </si>
  <si>
    <t>26-28 апрель</t>
  </si>
  <si>
    <t>15 мая</t>
  </si>
  <si>
    <t>16 мая</t>
  </si>
  <si>
    <t>17 мая</t>
  </si>
  <si>
    <t>18 мая</t>
  </si>
  <si>
    <t>19 мая</t>
  </si>
  <si>
    <t>20 мая</t>
  </si>
  <si>
    <t>21 мая</t>
  </si>
  <si>
    <t>22 мая</t>
  </si>
  <si>
    <t>23 мая</t>
  </si>
  <si>
    <t>24 мая</t>
  </si>
  <si>
    <t>25 мая</t>
  </si>
  <si>
    <t>26 мая</t>
  </si>
  <si>
    <t>27 мая</t>
  </si>
  <si>
    <t>28 мая</t>
  </si>
  <si>
    <t>стоимость</t>
  </si>
  <si>
    <t>02.06.2025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</si>
</sst>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#,##0.00\ &quot;₽&quot;;\-#,##0.00\ &quot;₽&quot;"/>
    <numFmt numFmtId="8" formatCode="#,##0.00\ &quot;₽&quot;;[Red]\-#,##0.00\ &quot;₽&quot;"/>
    <numFmt numFmtId="164" formatCode="#,##0.00\ &quot;₽&quot;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4" fontId="3" fillId="0" borderId="1" xfId="0" applyNumberFormat="1" applyFont="1" applyBorder="1"/>
    <xf numFmtId="0" fontId="3" fillId="0" borderId="0" xfId="0" applyFont="1"/>
    <xf numFmtId="16" fontId="3" fillId="0" borderId="1" xfId="0" applyNumberFormat="1" applyFont="1" applyBorder="1"/>
    <xf numFmtId="16" fontId="3" fillId="0" borderId="0" xfId="0" applyNumberFormat="1" applyFont="1"/>
    <xf numFmtId="2" fontId="4" fillId="0" borderId="1" xfId="0" applyNumberFormat="1" applyFont="1" applyBorder="1"/>
    <xf numFmtId="2" fontId="3" fillId="0" borderId="0" xfId="0" applyNumberFormat="1" applyFont="1"/>
    <xf numFmtId="164" fontId="3" fillId="0" borderId="0" xfId="0" applyNumberFormat="1" applyFont="1"/>
    <xf numFmtId="4" fontId="3" fillId="0" borderId="0" xfId="0" applyNumberFormat="1" applyFont="1"/>
    <xf numFmtId="164" fontId="4" fillId="0" borderId="1" xfId="0" applyNumberFormat="1" applyFont="1" applyBorder="1"/>
    <xf numFmtId="0" fontId="4" fillId="0" borderId="0" xfId="0" applyFont="1"/>
    <xf numFmtId="4" fontId="3" fillId="0" borderId="2" xfId="0" applyNumberFormat="1" applyFont="1" applyBorder="1"/>
    <xf numFmtId="16" fontId="3" fillId="0" borderId="4" xfId="0" applyNumberFormat="1" applyFont="1" applyBorder="1"/>
    <xf numFmtId="2" fontId="3" fillId="0" borderId="5" xfId="0" applyNumberFormat="1" applyFont="1" applyBorder="1"/>
    <xf numFmtId="164" fontId="3" fillId="0" borderId="5" xfId="0" applyNumberFormat="1" applyFont="1" applyBorder="1"/>
    <xf numFmtId="164" fontId="3" fillId="0" borderId="6" xfId="0" applyNumberFormat="1" applyFont="1" applyBorder="1"/>
    <xf numFmtId="16" fontId="3" fillId="0" borderId="7" xfId="0" applyNumberFormat="1" applyFont="1" applyBorder="1"/>
    <xf numFmtId="164" fontId="3" fillId="0" borderId="8" xfId="0" applyNumberFormat="1" applyFont="1" applyBorder="1"/>
    <xf numFmtId="16" fontId="3" fillId="0" borderId="9" xfId="0" applyNumberFormat="1" applyFont="1" applyBorder="1"/>
    <xf numFmtId="2" fontId="3" fillId="0" borderId="10" xfId="0" applyNumberFormat="1" applyFont="1" applyBorder="1"/>
    <xf numFmtId="164" fontId="3" fillId="0" borderId="10" xfId="0" applyNumberFormat="1" applyFont="1" applyBorder="1"/>
    <xf numFmtId="164" fontId="3" fillId="0" borderId="11" xfId="0" applyNumberFormat="1" applyFont="1" applyBorder="1"/>
    <xf numFmtId="0" fontId="1" fillId="0" borderId="13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16" fontId="3" fillId="0" borderId="14" xfId="0" applyNumberFormat="1" applyFont="1" applyBorder="1"/>
    <xf numFmtId="2" fontId="3" fillId="0" borderId="14" xfId="0" applyNumberFormat="1" applyFont="1" applyBorder="1"/>
    <xf numFmtId="164" fontId="3" fillId="0" borderId="14" xfId="0" applyNumberFormat="1" applyFont="1" applyBorder="1"/>
    <xf numFmtId="16" fontId="3" fillId="0" borderId="15" xfId="0" applyNumberFormat="1" applyFont="1" applyBorder="1"/>
    <xf numFmtId="2" fontId="3" fillId="0" borderId="16" xfId="0" applyNumberFormat="1" applyFont="1" applyBorder="1"/>
    <xf numFmtId="16" fontId="3" fillId="0" borderId="17" xfId="0" applyNumberFormat="1" applyFont="1" applyBorder="1"/>
    <xf numFmtId="2" fontId="3" fillId="0" borderId="3" xfId="0" applyNumberFormat="1" applyFont="1" applyBorder="1"/>
    <xf numFmtId="164" fontId="3" fillId="0" borderId="3" xfId="0" applyNumberFormat="1" applyFont="1" applyBorder="1"/>
    <xf numFmtId="164" fontId="3" fillId="0" borderId="18" xfId="0" applyNumberFormat="1" applyFont="1" applyBorder="1"/>
    <xf numFmtId="4" fontId="3" fillId="0" borderId="19" xfId="0" applyNumberFormat="1" applyFont="1" applyBorder="1"/>
    <xf numFmtId="0" fontId="3" fillId="0" borderId="3" xfId="0" applyFont="1" applyBorder="1"/>
    <xf numFmtId="4" fontId="3" fillId="0" borderId="14" xfId="0" applyNumberFormat="1" applyFont="1" applyBorder="1"/>
    <xf numFmtId="0" fontId="3" fillId="0" borderId="14" xfId="0" applyFont="1" applyBorder="1"/>
    <xf numFmtId="0" fontId="3" fillId="0" borderId="5" xfId="0" applyFont="1" applyBorder="1"/>
    <xf numFmtId="0" fontId="7" fillId="0" borderId="1" xfId="0" applyFont="1" applyBorder="1"/>
    <xf numFmtId="164" fontId="3" fillId="0" borderId="20" xfId="0" applyNumberFormat="1" applyFont="1" applyBorder="1"/>
    <xf numFmtId="8" fontId="3" fillId="0" borderId="21" xfId="0" applyNumberFormat="1" applyFont="1" applyBorder="1"/>
    <xf numFmtId="8" fontId="3" fillId="0" borderId="22" xfId="0" applyNumberFormat="1" applyFont="1" applyBorder="1"/>
    <xf numFmtId="8" fontId="6" fillId="0" borderId="23" xfId="0" applyNumberFormat="1" applyFont="1" applyBorder="1"/>
    <xf numFmtId="8" fontId="3" fillId="0" borderId="0" xfId="0" applyNumberFormat="1" applyFont="1"/>
    <xf numFmtId="16" fontId="5" fillId="0" borderId="0" xfId="0" applyNumberFormat="1" applyFont="1"/>
    <xf numFmtId="8" fontId="1" fillId="0" borderId="1" xfId="0" applyNumberFormat="1" applyFont="1" applyBorder="1" applyAlignment="1">
      <alignment vertical="center" wrapText="1"/>
    </xf>
    <xf numFmtId="8" fontId="3" fillId="0" borderId="1" xfId="0" applyNumberFormat="1" applyFont="1" applyBorder="1"/>
    <xf numFmtId="8" fontId="3" fillId="0" borderId="3" xfId="0" applyNumberFormat="1" applyFont="1" applyBorder="1"/>
    <xf numFmtId="8" fontId="3" fillId="0" borderId="5" xfId="0" applyNumberFormat="1" applyFont="1" applyBorder="1"/>
    <xf numFmtId="8" fontId="3" fillId="0" borderId="14" xfId="0" applyNumberFormat="1" applyFont="1" applyBorder="1"/>
    <xf numFmtId="4" fontId="3" fillId="0" borderId="24" xfId="0" applyNumberFormat="1" applyFont="1" applyBorder="1"/>
    <xf numFmtId="16" fontId="5" fillId="2" borderId="25" xfId="0" applyNumberFormat="1" applyFont="1" applyFill="1" applyBorder="1"/>
    <xf numFmtId="2" fontId="3" fillId="2" borderId="26" xfId="0" applyNumberFormat="1" applyFont="1" applyFill="1" applyBorder="1"/>
    <xf numFmtId="164" fontId="3" fillId="2" borderId="26" xfId="0" applyNumberFormat="1" applyFont="1" applyFill="1" applyBorder="1"/>
    <xf numFmtId="0" fontId="3" fillId="0" borderId="10" xfId="0" applyFont="1" applyBorder="1"/>
    <xf numFmtId="4" fontId="3" fillId="0" borderId="10" xfId="0" applyNumberFormat="1" applyFont="1" applyBorder="1"/>
    <xf numFmtId="8" fontId="3" fillId="0" borderId="10" xfId="0" applyNumberFormat="1" applyFont="1" applyBorder="1"/>
    <xf numFmtId="0" fontId="3" fillId="2" borderId="14" xfId="0" applyFont="1" applyFill="1" applyBorder="1"/>
    <xf numFmtId="16" fontId="1" fillId="2" borderId="3" xfId="0" applyNumberFormat="1" applyFont="1" applyFill="1" applyBorder="1"/>
    <xf numFmtId="2" fontId="1" fillId="2" borderId="3" xfId="0" applyNumberFormat="1" applyFont="1" applyFill="1" applyBorder="1"/>
    <xf numFmtId="164" fontId="1" fillId="2" borderId="3" xfId="0" applyNumberFormat="1" applyFont="1" applyFill="1" applyBorder="1"/>
    <xf numFmtId="4" fontId="1" fillId="2" borderId="1" xfId="0" applyNumberFormat="1" applyFont="1" applyFill="1" applyBorder="1"/>
    <xf numFmtId="0" fontId="1" fillId="2" borderId="1" xfId="0" applyFont="1" applyFill="1" applyBorder="1"/>
    <xf numFmtId="8" fontId="1" fillId="2" borderId="1" xfId="0" applyNumberFormat="1" applyFont="1" applyFill="1" applyBorder="1"/>
    <xf numFmtId="164" fontId="1" fillId="2" borderId="1" xfId="0" applyNumberFormat="1" applyFont="1" applyFill="1" applyBorder="1"/>
    <xf numFmtId="16" fontId="1" fillId="2" borderId="1" xfId="0" applyNumberFormat="1" applyFont="1" applyFill="1" applyBorder="1"/>
    <xf numFmtId="2" fontId="1" fillId="2" borderId="1" xfId="0" applyNumberFormat="1" applyFont="1" applyFill="1" applyBorder="1"/>
    <xf numFmtId="0" fontId="3" fillId="2" borderId="1" xfId="0" applyFont="1" applyFill="1" applyBorder="1"/>
    <xf numFmtId="2" fontId="3" fillId="2" borderId="1" xfId="0" applyNumberFormat="1" applyFont="1" applyFill="1" applyBorder="1"/>
    <xf numFmtId="164" fontId="3" fillId="2" borderId="1" xfId="0" applyNumberFormat="1" applyFont="1" applyFill="1" applyBorder="1"/>
    <xf numFmtId="8" fontId="3" fillId="2" borderId="1" xfId="0" applyNumberFormat="1" applyFont="1" applyFill="1" applyBorder="1"/>
    <xf numFmtId="0" fontId="3" fillId="0" borderId="28" xfId="0" applyFont="1" applyBorder="1"/>
    <xf numFmtId="164" fontId="1" fillId="2" borderId="27" xfId="0" applyNumberFormat="1" applyFont="1" applyFill="1" applyBorder="1"/>
    <xf numFmtId="164" fontId="3" fillId="0" borderId="29" xfId="0" applyNumberFormat="1" applyFont="1" applyBorder="1"/>
    <xf numFmtId="0" fontId="3" fillId="0" borderId="1" xfId="0" applyFont="1" applyBorder="1" applyAlignment="1">
      <alignment horizontal="center" vertical="center" wrapText="1"/>
    </xf>
    <xf numFmtId="2" fontId="3" fillId="3" borderId="10" xfId="0" applyNumberFormat="1" applyFont="1" applyFill="1" applyBorder="1"/>
    <xf numFmtId="164" fontId="3" fillId="3" borderId="1" xfId="0" applyNumberFormat="1" applyFont="1" applyFill="1" applyBorder="1"/>
    <xf numFmtId="164" fontId="1" fillId="3" borderId="1" xfId="0" applyNumberFormat="1" applyFont="1" applyFill="1" applyBorder="1"/>
    <xf numFmtId="0" fontId="1" fillId="4" borderId="1" xfId="0" applyFont="1" applyFill="1" applyBorder="1"/>
    <xf numFmtId="7" fontId="3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0"/>
  <sheetViews>
    <sheetView tabSelected="1" workbookViewId="0">
      <pane ySplit="1" topLeftCell="A170" activePane="bottomLeft" state="frozen"/>
      <selection pane="bottomLeft" activeCell="D178" sqref="D178"/>
    </sheetView>
  </sheetViews>
  <sheetFormatPr defaultColWidth="8.85546875" defaultRowHeight="15.75" x14ac:dyDescent="0.25"/>
  <cols>
    <col min="1" max="1" width="10" style="10" customWidth="1"/>
    <col min="2" max="2" width="9.85546875" style="14" customWidth="1"/>
    <col min="3" max="3" width="11.5703125" style="15" bestFit="1" customWidth="1"/>
    <col min="4" max="4" width="13.140625" style="15" bestFit="1" customWidth="1"/>
    <col min="5" max="5" width="8.7109375" style="16" customWidth="1"/>
    <col min="6" max="6" width="11" style="10" customWidth="1"/>
    <col min="7" max="7" width="8.85546875" style="10"/>
    <col min="8" max="8" width="12.7109375" style="51" bestFit="1" customWidth="1"/>
    <col min="9" max="9" width="14" style="15" customWidth="1"/>
    <col min="10" max="10" width="10" style="10" customWidth="1"/>
    <col min="11" max="11" width="8.85546875" style="10"/>
    <col min="12" max="12" width="17.140625" style="10" customWidth="1"/>
    <col min="13" max="16384" width="8.85546875" style="10"/>
  </cols>
  <sheetData>
    <row r="1" spans="1:15" s="5" customFormat="1" ht="32.25" thickBot="1" x14ac:dyDescent="0.3">
      <c r="A1" s="1" t="s">
        <v>0</v>
      </c>
      <c r="B1" s="2" t="s">
        <v>10</v>
      </c>
      <c r="C1" s="3" t="s">
        <v>1</v>
      </c>
      <c r="D1" s="3" t="s">
        <v>2</v>
      </c>
      <c r="E1" s="4" t="s">
        <v>9</v>
      </c>
      <c r="F1" s="1" t="s">
        <v>3</v>
      </c>
      <c r="G1" s="1" t="s">
        <v>4</v>
      </c>
      <c r="H1" s="53" t="s">
        <v>5</v>
      </c>
      <c r="I1" s="3" t="s">
        <v>6</v>
      </c>
      <c r="J1" s="30" t="s">
        <v>16</v>
      </c>
      <c r="K1" s="31" t="s">
        <v>48</v>
      </c>
      <c r="L1" s="30" t="s">
        <v>5</v>
      </c>
      <c r="M1" s="1" t="s">
        <v>3</v>
      </c>
      <c r="N1" s="53" t="s">
        <v>5</v>
      </c>
      <c r="O1" s="3" t="s">
        <v>6</v>
      </c>
    </row>
    <row r="2" spans="1:15" x14ac:dyDescent="0.25">
      <c r="A2" s="6"/>
      <c r="B2" s="7"/>
      <c r="C2" s="8"/>
      <c r="D2" s="8"/>
      <c r="E2" s="9"/>
      <c r="F2" s="6"/>
      <c r="G2" s="6"/>
      <c r="H2" s="54"/>
      <c r="I2" s="8">
        <v>0</v>
      </c>
    </row>
    <row r="3" spans="1:15" x14ac:dyDescent="0.25">
      <c r="A3" s="11">
        <v>45535</v>
      </c>
      <c r="B3" s="7">
        <v>50</v>
      </c>
      <c r="C3" s="8">
        <v>10.79</v>
      </c>
      <c r="D3" s="8">
        <f>B3*C3</f>
        <v>539.5</v>
      </c>
      <c r="E3" s="9"/>
      <c r="F3" s="6"/>
      <c r="G3" s="6"/>
      <c r="H3" s="54"/>
      <c r="I3" s="8">
        <f>I2+D3-H3</f>
        <v>539.5</v>
      </c>
    </row>
    <row r="4" spans="1:15" x14ac:dyDescent="0.25">
      <c r="A4" s="11">
        <v>45545</v>
      </c>
      <c r="B4" s="7">
        <v>0</v>
      </c>
      <c r="C4" s="8">
        <v>10.79</v>
      </c>
      <c r="D4" s="8">
        <f t="shared" ref="D4:D67" si="0">B4*C4</f>
        <v>0</v>
      </c>
      <c r="E4" s="9"/>
      <c r="F4" s="6"/>
      <c r="G4" s="6"/>
      <c r="H4" s="54"/>
      <c r="I4" s="8">
        <f t="shared" ref="I4:I85" si="1">I3+D4-H4</f>
        <v>539.5</v>
      </c>
    </row>
    <row r="5" spans="1:15" x14ac:dyDescent="0.25">
      <c r="A5" s="11">
        <v>45551</v>
      </c>
      <c r="B5" s="7">
        <v>35.299999999999997</v>
      </c>
      <c r="C5" s="8">
        <v>10.79</v>
      </c>
      <c r="D5" s="8">
        <f t="shared" si="0"/>
        <v>380.88699999999994</v>
      </c>
      <c r="E5" s="9"/>
      <c r="F5" s="6"/>
      <c r="G5" s="6"/>
      <c r="H5" s="54"/>
      <c r="I5" s="8">
        <f t="shared" si="1"/>
        <v>920.38699999999994</v>
      </c>
    </row>
    <row r="6" spans="1:15" x14ac:dyDescent="0.25">
      <c r="A6" s="11">
        <v>45552</v>
      </c>
      <c r="B6" s="7">
        <v>42</v>
      </c>
      <c r="C6" s="8">
        <v>10.79</v>
      </c>
      <c r="D6" s="8">
        <f t="shared" si="0"/>
        <v>453.17999999999995</v>
      </c>
      <c r="E6" s="9"/>
      <c r="F6" s="6"/>
      <c r="G6" s="6"/>
      <c r="H6" s="54"/>
      <c r="I6" s="8">
        <f t="shared" si="1"/>
        <v>1373.567</v>
      </c>
    </row>
    <row r="7" spans="1:15" x14ac:dyDescent="0.25">
      <c r="A7" s="11">
        <v>45553</v>
      </c>
      <c r="B7" s="7">
        <v>87.7</v>
      </c>
      <c r="C7" s="8">
        <v>10.79</v>
      </c>
      <c r="D7" s="8">
        <f t="shared" si="0"/>
        <v>946.2829999999999</v>
      </c>
      <c r="E7" s="9"/>
      <c r="F7" s="6"/>
      <c r="G7" s="6"/>
      <c r="H7" s="54"/>
      <c r="I7" s="8">
        <f t="shared" si="1"/>
        <v>2319.85</v>
      </c>
    </row>
    <row r="8" spans="1:15" x14ac:dyDescent="0.25">
      <c r="A8" s="11">
        <v>45554</v>
      </c>
      <c r="B8" s="7">
        <v>149.69999999999999</v>
      </c>
      <c r="C8" s="8">
        <v>10.79</v>
      </c>
      <c r="D8" s="8">
        <f t="shared" si="0"/>
        <v>1615.2629999999997</v>
      </c>
      <c r="E8" s="9"/>
      <c r="F8" s="6"/>
      <c r="G8" s="6"/>
      <c r="H8" s="54"/>
      <c r="I8" s="8">
        <f t="shared" si="1"/>
        <v>3935.1129999999994</v>
      </c>
    </row>
    <row r="9" spans="1:15" x14ac:dyDescent="0.25">
      <c r="A9" s="11">
        <v>45555</v>
      </c>
      <c r="B9" s="7">
        <v>40</v>
      </c>
      <c r="C9" s="8">
        <v>10.79</v>
      </c>
      <c r="D9" s="8">
        <f t="shared" si="0"/>
        <v>431.59999999999997</v>
      </c>
      <c r="E9" s="9"/>
      <c r="F9" s="6"/>
      <c r="G9" s="6"/>
      <c r="H9" s="54"/>
      <c r="I9" s="8">
        <f t="shared" si="1"/>
        <v>4366.7129999999997</v>
      </c>
    </row>
    <row r="10" spans="1:15" x14ac:dyDescent="0.25">
      <c r="A10" s="11">
        <v>45558</v>
      </c>
      <c r="B10" s="7">
        <v>161</v>
      </c>
      <c r="C10" s="8">
        <v>10.79</v>
      </c>
      <c r="D10" s="8">
        <f t="shared" si="0"/>
        <v>1737.1899999999998</v>
      </c>
      <c r="E10" s="9"/>
      <c r="F10" s="6"/>
      <c r="G10" s="6"/>
      <c r="H10" s="54"/>
      <c r="I10" s="8">
        <f t="shared" si="1"/>
        <v>6103.9029999999993</v>
      </c>
    </row>
    <row r="11" spans="1:15" x14ac:dyDescent="0.25">
      <c r="A11" s="11">
        <v>45559</v>
      </c>
      <c r="B11" s="7">
        <v>116</v>
      </c>
      <c r="C11" s="8">
        <v>10.79</v>
      </c>
      <c r="D11" s="8">
        <f t="shared" si="0"/>
        <v>1251.6399999999999</v>
      </c>
      <c r="E11" s="9"/>
      <c r="F11" s="6"/>
      <c r="G11" s="6"/>
      <c r="H11" s="54"/>
      <c r="I11" s="8">
        <f t="shared" si="1"/>
        <v>7355.5429999999997</v>
      </c>
    </row>
    <row r="12" spans="1:15" x14ac:dyDescent="0.25">
      <c r="A12" s="11">
        <v>45560</v>
      </c>
      <c r="B12" s="7">
        <v>123</v>
      </c>
      <c r="C12" s="8">
        <v>10.79</v>
      </c>
      <c r="D12" s="8">
        <f t="shared" si="0"/>
        <v>1327.1699999999998</v>
      </c>
      <c r="E12" s="9"/>
      <c r="F12" s="6"/>
      <c r="G12" s="6"/>
      <c r="H12" s="54"/>
      <c r="I12" s="8">
        <f t="shared" si="1"/>
        <v>8682.7129999999997</v>
      </c>
    </row>
    <row r="13" spans="1:15" x14ac:dyDescent="0.25">
      <c r="A13" s="11">
        <v>45561</v>
      </c>
      <c r="B13" s="7">
        <v>91</v>
      </c>
      <c r="C13" s="8">
        <v>10.79</v>
      </c>
      <c r="D13" s="8">
        <f t="shared" si="0"/>
        <v>981.88999999999987</v>
      </c>
      <c r="E13" s="9"/>
      <c r="F13" s="6"/>
      <c r="G13" s="6"/>
      <c r="H13" s="54"/>
      <c r="I13" s="8">
        <f t="shared" si="1"/>
        <v>9664.6029999999992</v>
      </c>
    </row>
    <row r="14" spans="1:15" x14ac:dyDescent="0.25">
      <c r="A14" s="11">
        <v>45562</v>
      </c>
      <c r="B14" s="7">
        <v>117</v>
      </c>
      <c r="C14" s="8">
        <v>10.79</v>
      </c>
      <c r="D14" s="8">
        <f t="shared" si="0"/>
        <v>1262.4299999999998</v>
      </c>
      <c r="E14" s="9"/>
      <c r="F14" s="6"/>
      <c r="G14" s="6"/>
      <c r="H14" s="54"/>
      <c r="I14" s="8">
        <f t="shared" si="1"/>
        <v>10927.032999999999</v>
      </c>
    </row>
    <row r="15" spans="1:15" x14ac:dyDescent="0.25">
      <c r="A15" s="11">
        <v>45565</v>
      </c>
      <c r="B15" s="7">
        <v>109</v>
      </c>
      <c r="C15" s="8">
        <v>10.79</v>
      </c>
      <c r="D15" s="8">
        <f t="shared" si="0"/>
        <v>1176.1099999999999</v>
      </c>
      <c r="E15" s="9"/>
      <c r="F15" s="6"/>
      <c r="G15" s="6"/>
      <c r="H15" s="54"/>
      <c r="I15" s="8">
        <f t="shared" si="1"/>
        <v>12103.143</v>
      </c>
    </row>
    <row r="16" spans="1:15" x14ac:dyDescent="0.25">
      <c r="A16" s="70"/>
      <c r="B16" s="74"/>
      <c r="C16" s="72"/>
      <c r="D16" s="72"/>
      <c r="E16" s="69">
        <f>SUM(B3:B15)</f>
        <v>1121.7</v>
      </c>
      <c r="F16" s="70"/>
      <c r="G16" s="70"/>
      <c r="H16" s="71"/>
      <c r="I16" s="72">
        <f t="shared" si="1"/>
        <v>12103.143</v>
      </c>
    </row>
    <row r="17" spans="1:9" x14ac:dyDescent="0.25">
      <c r="A17" s="11">
        <v>45566</v>
      </c>
      <c r="B17" s="7">
        <v>59</v>
      </c>
      <c r="C17" s="8">
        <v>10.79</v>
      </c>
      <c r="D17" s="8">
        <f t="shared" si="0"/>
        <v>636.6099999999999</v>
      </c>
      <c r="E17" s="9"/>
      <c r="F17" s="6"/>
      <c r="G17" s="6"/>
      <c r="H17" s="54"/>
      <c r="I17" s="8">
        <f t="shared" si="1"/>
        <v>12739.753000000001</v>
      </c>
    </row>
    <row r="18" spans="1:9" x14ac:dyDescent="0.25">
      <c r="A18" s="11">
        <v>45567</v>
      </c>
      <c r="B18" s="7">
        <v>215</v>
      </c>
      <c r="C18" s="8">
        <v>10.79</v>
      </c>
      <c r="D18" s="8">
        <f t="shared" si="0"/>
        <v>2319.85</v>
      </c>
      <c r="E18" s="9"/>
      <c r="F18" s="6"/>
      <c r="G18" s="6"/>
      <c r="H18" s="54"/>
      <c r="I18" s="8">
        <f t="shared" si="1"/>
        <v>15059.603000000001</v>
      </c>
    </row>
    <row r="19" spans="1:9" x14ac:dyDescent="0.25">
      <c r="A19" s="12">
        <v>45568</v>
      </c>
      <c r="B19" s="7">
        <v>173</v>
      </c>
      <c r="C19" s="8">
        <v>10.79</v>
      </c>
      <c r="D19" s="8">
        <f t="shared" si="0"/>
        <v>1866.6699999999998</v>
      </c>
      <c r="E19" s="9"/>
      <c r="F19" s="6"/>
      <c r="G19" s="6"/>
      <c r="H19" s="54"/>
      <c r="I19" s="8">
        <f t="shared" si="1"/>
        <v>16926.273000000001</v>
      </c>
    </row>
    <row r="20" spans="1:9" x14ac:dyDescent="0.25">
      <c r="A20" s="11">
        <v>45569</v>
      </c>
      <c r="B20" s="7">
        <v>291</v>
      </c>
      <c r="C20" s="8">
        <v>10.79</v>
      </c>
      <c r="D20" s="8">
        <f t="shared" si="0"/>
        <v>3139.89</v>
      </c>
      <c r="E20" s="9"/>
      <c r="F20" s="6"/>
      <c r="G20" s="6"/>
      <c r="H20" s="54"/>
      <c r="I20" s="8">
        <f t="shared" si="1"/>
        <v>20066.163</v>
      </c>
    </row>
    <row r="21" spans="1:9" x14ac:dyDescent="0.25">
      <c r="A21" s="11">
        <v>45572</v>
      </c>
      <c r="B21" s="13">
        <v>0</v>
      </c>
      <c r="C21" s="8">
        <v>10.79</v>
      </c>
      <c r="D21" s="8">
        <f t="shared" si="0"/>
        <v>0</v>
      </c>
      <c r="E21" s="9"/>
      <c r="F21" s="6"/>
      <c r="G21" s="6"/>
      <c r="H21" s="54"/>
      <c r="I21" s="8">
        <f t="shared" si="1"/>
        <v>20066.163</v>
      </c>
    </row>
    <row r="22" spans="1:9" x14ac:dyDescent="0.25">
      <c r="A22" s="11">
        <v>45573</v>
      </c>
      <c r="B22" s="7">
        <v>295</v>
      </c>
      <c r="C22" s="8">
        <v>10.79</v>
      </c>
      <c r="D22" s="8">
        <f t="shared" si="0"/>
        <v>3183.0499999999997</v>
      </c>
      <c r="E22" s="9"/>
      <c r="F22" s="6"/>
      <c r="G22" s="6"/>
      <c r="H22" s="54"/>
      <c r="I22" s="8">
        <f t="shared" si="1"/>
        <v>23249.213</v>
      </c>
    </row>
    <row r="23" spans="1:9" x14ac:dyDescent="0.25">
      <c r="A23" s="11">
        <v>45574</v>
      </c>
      <c r="B23" s="7">
        <v>46</v>
      </c>
      <c r="C23" s="8">
        <v>10.79</v>
      </c>
      <c r="D23" s="8">
        <f t="shared" si="0"/>
        <v>496.34</v>
      </c>
      <c r="E23" s="9"/>
      <c r="F23" s="6"/>
      <c r="G23" s="6"/>
      <c r="H23" s="54"/>
      <c r="I23" s="8">
        <f t="shared" si="1"/>
        <v>23745.553</v>
      </c>
    </row>
    <row r="24" spans="1:9" x14ac:dyDescent="0.25">
      <c r="A24" s="11">
        <v>45575</v>
      </c>
      <c r="B24" s="7">
        <v>50</v>
      </c>
      <c r="C24" s="8">
        <v>10.79</v>
      </c>
      <c r="D24" s="8">
        <f t="shared" si="0"/>
        <v>539.5</v>
      </c>
      <c r="E24" s="9"/>
      <c r="F24" s="6"/>
      <c r="G24" s="6"/>
      <c r="H24" s="54"/>
      <c r="I24" s="8">
        <f t="shared" si="1"/>
        <v>24285.053</v>
      </c>
    </row>
    <row r="25" spans="1:9" x14ac:dyDescent="0.25">
      <c r="A25" s="11">
        <v>45576</v>
      </c>
      <c r="B25" s="7">
        <v>67</v>
      </c>
      <c r="C25" s="8">
        <v>10.79</v>
      </c>
      <c r="D25" s="8">
        <f t="shared" si="0"/>
        <v>722.93</v>
      </c>
      <c r="E25" s="9"/>
      <c r="F25" s="6"/>
      <c r="G25" s="6"/>
      <c r="H25" s="54"/>
      <c r="I25" s="8">
        <f t="shared" si="1"/>
        <v>25007.983</v>
      </c>
    </row>
    <row r="26" spans="1:9" x14ac:dyDescent="0.25">
      <c r="A26" s="11">
        <v>45579</v>
      </c>
      <c r="B26" s="7">
        <v>134</v>
      </c>
      <c r="C26" s="8">
        <v>10.79</v>
      </c>
      <c r="D26" s="8">
        <f t="shared" si="0"/>
        <v>1445.86</v>
      </c>
      <c r="E26" s="9"/>
      <c r="F26" s="6"/>
      <c r="G26" s="6"/>
      <c r="H26" s="54"/>
      <c r="I26" s="8">
        <f t="shared" si="1"/>
        <v>26453.843000000001</v>
      </c>
    </row>
    <row r="27" spans="1:9" x14ac:dyDescent="0.25">
      <c r="A27" s="11">
        <v>45580</v>
      </c>
      <c r="B27" s="13">
        <v>0</v>
      </c>
      <c r="C27" s="8">
        <v>10.79</v>
      </c>
      <c r="D27" s="8">
        <f t="shared" si="0"/>
        <v>0</v>
      </c>
      <c r="E27" s="9"/>
      <c r="F27" s="6"/>
      <c r="G27" s="6"/>
      <c r="H27" s="54"/>
      <c r="I27" s="8">
        <f t="shared" si="1"/>
        <v>26453.843000000001</v>
      </c>
    </row>
    <row r="28" spans="1:9" x14ac:dyDescent="0.25">
      <c r="A28" s="11">
        <v>45581</v>
      </c>
      <c r="B28" s="7">
        <v>290</v>
      </c>
      <c r="C28" s="8">
        <v>10.79</v>
      </c>
      <c r="D28" s="8">
        <f t="shared" si="0"/>
        <v>3129.1</v>
      </c>
      <c r="E28" s="9"/>
      <c r="F28" s="6"/>
      <c r="G28" s="6"/>
      <c r="H28" s="54"/>
      <c r="I28" s="8">
        <f t="shared" si="1"/>
        <v>29582.942999999999</v>
      </c>
    </row>
    <row r="29" spans="1:9" x14ac:dyDescent="0.25">
      <c r="A29" s="11">
        <v>45582</v>
      </c>
      <c r="B29" s="7">
        <v>211</v>
      </c>
      <c r="C29" s="8">
        <v>10.79</v>
      </c>
      <c r="D29" s="8">
        <f t="shared" si="0"/>
        <v>2276.6899999999996</v>
      </c>
      <c r="E29" s="9"/>
      <c r="F29" s="6"/>
      <c r="G29" s="6"/>
      <c r="H29" s="54"/>
      <c r="I29" s="8">
        <f t="shared" si="1"/>
        <v>31859.632999999998</v>
      </c>
    </row>
    <row r="30" spans="1:9" x14ac:dyDescent="0.25">
      <c r="A30" s="11">
        <v>45583</v>
      </c>
      <c r="B30" s="13">
        <v>0</v>
      </c>
      <c r="C30" s="8">
        <v>10.79</v>
      </c>
      <c r="D30" s="8">
        <f t="shared" si="0"/>
        <v>0</v>
      </c>
      <c r="E30" s="9"/>
      <c r="F30" s="6"/>
      <c r="G30" s="6"/>
      <c r="H30" s="54"/>
      <c r="I30" s="8">
        <f t="shared" si="1"/>
        <v>31859.632999999998</v>
      </c>
    </row>
    <row r="31" spans="1:9" x14ac:dyDescent="0.25">
      <c r="A31" s="11">
        <v>45584</v>
      </c>
      <c r="B31" s="7">
        <v>562</v>
      </c>
      <c r="C31" s="8">
        <v>10.79</v>
      </c>
      <c r="D31" s="8">
        <f t="shared" si="0"/>
        <v>6063.98</v>
      </c>
      <c r="E31" s="9"/>
      <c r="F31" s="6"/>
      <c r="G31" s="6"/>
      <c r="H31" s="54"/>
      <c r="I31" s="8">
        <f t="shared" si="1"/>
        <v>37923.612999999998</v>
      </c>
    </row>
    <row r="32" spans="1:9" x14ac:dyDescent="0.25">
      <c r="A32" s="11">
        <v>45586</v>
      </c>
      <c r="B32" s="7">
        <v>28</v>
      </c>
      <c r="C32" s="8">
        <v>10.79</v>
      </c>
      <c r="D32" s="8">
        <f t="shared" si="0"/>
        <v>302.12</v>
      </c>
      <c r="E32" s="9"/>
      <c r="F32" s="6"/>
      <c r="G32" s="6"/>
      <c r="H32" s="54"/>
      <c r="I32" s="8">
        <f t="shared" si="1"/>
        <v>38225.733</v>
      </c>
    </row>
    <row r="33" spans="1:9" x14ac:dyDescent="0.25">
      <c r="A33" s="11">
        <v>45587</v>
      </c>
      <c r="B33" s="7">
        <v>150</v>
      </c>
      <c r="C33" s="8">
        <v>10.79</v>
      </c>
      <c r="D33" s="8">
        <f t="shared" si="0"/>
        <v>1618.4999999999998</v>
      </c>
      <c r="E33" s="9"/>
      <c r="F33" s="6"/>
      <c r="G33" s="6"/>
      <c r="H33" s="54"/>
      <c r="I33" s="8">
        <f t="shared" si="1"/>
        <v>39844.233</v>
      </c>
    </row>
    <row r="34" spans="1:9" x14ac:dyDescent="0.25">
      <c r="A34" s="11">
        <v>45588</v>
      </c>
      <c r="B34" s="7">
        <v>71</v>
      </c>
      <c r="C34" s="8">
        <v>10.79</v>
      </c>
      <c r="D34" s="8">
        <f t="shared" si="0"/>
        <v>766.08999999999992</v>
      </c>
      <c r="E34" s="9"/>
      <c r="F34" s="6"/>
      <c r="G34" s="6"/>
      <c r="H34" s="54"/>
      <c r="I34" s="8">
        <f t="shared" si="1"/>
        <v>40610.322999999997</v>
      </c>
    </row>
    <row r="35" spans="1:9" x14ac:dyDescent="0.25">
      <c r="A35" s="11">
        <v>45589</v>
      </c>
      <c r="B35" s="7">
        <v>215</v>
      </c>
      <c r="C35" s="8">
        <v>10.79</v>
      </c>
      <c r="D35" s="8">
        <f t="shared" si="0"/>
        <v>2319.85</v>
      </c>
      <c r="E35" s="9"/>
      <c r="F35" s="6"/>
      <c r="G35" s="6"/>
      <c r="H35" s="54"/>
      <c r="I35" s="8">
        <f t="shared" si="1"/>
        <v>42930.172999999995</v>
      </c>
    </row>
    <row r="36" spans="1:9" x14ac:dyDescent="0.25">
      <c r="A36" s="11">
        <v>45590</v>
      </c>
      <c r="B36" s="7">
        <v>85</v>
      </c>
      <c r="C36" s="8">
        <v>10.79</v>
      </c>
      <c r="D36" s="8">
        <f t="shared" si="0"/>
        <v>917.15</v>
      </c>
      <c r="E36" s="9"/>
      <c r="F36" s="6"/>
      <c r="G36" s="6"/>
      <c r="H36" s="54"/>
      <c r="I36" s="8">
        <f t="shared" si="1"/>
        <v>43847.322999999997</v>
      </c>
    </row>
    <row r="37" spans="1:9" x14ac:dyDescent="0.25">
      <c r="A37" s="11">
        <v>45593</v>
      </c>
      <c r="B37" s="7">
        <v>238</v>
      </c>
      <c r="C37" s="8">
        <v>10.79</v>
      </c>
      <c r="D37" s="8">
        <f t="shared" si="0"/>
        <v>2568.02</v>
      </c>
      <c r="E37" s="9"/>
      <c r="F37" s="6"/>
      <c r="G37" s="6"/>
      <c r="H37" s="54"/>
      <c r="I37" s="8">
        <f t="shared" si="1"/>
        <v>46415.342999999993</v>
      </c>
    </row>
    <row r="38" spans="1:9" x14ac:dyDescent="0.25">
      <c r="A38" s="11">
        <v>45594</v>
      </c>
      <c r="B38" s="7">
        <v>283</v>
      </c>
      <c r="C38" s="8">
        <v>10.79</v>
      </c>
      <c r="D38" s="8">
        <f t="shared" si="0"/>
        <v>3053.5699999999997</v>
      </c>
      <c r="E38" s="9"/>
      <c r="F38" s="6"/>
      <c r="G38" s="6"/>
      <c r="H38" s="54"/>
      <c r="I38" s="8">
        <f t="shared" si="1"/>
        <v>49468.912999999993</v>
      </c>
    </row>
    <row r="39" spans="1:9" x14ac:dyDescent="0.25">
      <c r="A39" s="11">
        <v>45595</v>
      </c>
      <c r="B39" s="7">
        <v>185</v>
      </c>
      <c r="C39" s="8">
        <v>10.79</v>
      </c>
      <c r="D39" s="8">
        <f t="shared" si="0"/>
        <v>1996.1499999999999</v>
      </c>
      <c r="E39" s="9"/>
      <c r="F39" s="6"/>
      <c r="G39" s="6"/>
      <c r="H39" s="54"/>
      <c r="I39" s="8">
        <f t="shared" si="1"/>
        <v>51465.062999999995</v>
      </c>
    </row>
    <row r="40" spans="1:9" x14ac:dyDescent="0.25">
      <c r="A40" s="11">
        <v>45596</v>
      </c>
      <c r="B40" s="7">
        <v>149</v>
      </c>
      <c r="C40" s="8">
        <v>10.79</v>
      </c>
      <c r="D40" s="8">
        <f t="shared" si="0"/>
        <v>1607.7099999999998</v>
      </c>
      <c r="E40" s="9"/>
      <c r="F40" s="6"/>
      <c r="G40" s="6"/>
      <c r="H40" s="54"/>
      <c r="I40" s="8">
        <f t="shared" si="1"/>
        <v>53072.772999999994</v>
      </c>
    </row>
    <row r="41" spans="1:9" x14ac:dyDescent="0.25">
      <c r="A41" s="73"/>
      <c r="B41" s="74"/>
      <c r="C41" s="72"/>
      <c r="D41" s="72"/>
      <c r="E41" s="69">
        <f>SUM(B17:B40)</f>
        <v>3797</v>
      </c>
      <c r="F41" s="70"/>
      <c r="G41" s="70"/>
      <c r="H41" s="71"/>
      <c r="I41" s="77">
        <f t="shared" si="1"/>
        <v>53072.772999999994</v>
      </c>
    </row>
    <row r="42" spans="1:9" x14ac:dyDescent="0.25">
      <c r="A42" s="11">
        <v>45597</v>
      </c>
      <c r="B42" s="7">
        <v>241</v>
      </c>
      <c r="C42" s="8">
        <v>10.79</v>
      </c>
      <c r="D42" s="8">
        <f t="shared" si="0"/>
        <v>2600.39</v>
      </c>
      <c r="E42" s="9"/>
      <c r="F42" s="6"/>
      <c r="G42" s="6"/>
      <c r="H42" s="54"/>
      <c r="I42" s="8">
        <f t="shared" si="1"/>
        <v>55673.162999999993</v>
      </c>
    </row>
    <row r="43" spans="1:9" x14ac:dyDescent="0.25">
      <c r="A43" s="11">
        <v>45598</v>
      </c>
      <c r="B43" s="7">
        <v>77</v>
      </c>
      <c r="C43" s="8">
        <v>10.79</v>
      </c>
      <c r="D43" s="8">
        <f t="shared" si="0"/>
        <v>830.82999999999993</v>
      </c>
      <c r="E43" s="9"/>
      <c r="F43" s="6"/>
      <c r="G43" s="6"/>
      <c r="H43" s="54"/>
      <c r="I43" s="8">
        <f t="shared" si="1"/>
        <v>56503.992999999995</v>
      </c>
    </row>
    <row r="44" spans="1:9" x14ac:dyDescent="0.25">
      <c r="A44" s="11">
        <v>45601</v>
      </c>
      <c r="B44" s="7">
        <v>704</v>
      </c>
      <c r="C44" s="8">
        <v>10.79</v>
      </c>
      <c r="D44" s="8">
        <f t="shared" si="0"/>
        <v>7596.16</v>
      </c>
      <c r="E44" s="9"/>
      <c r="F44" s="6"/>
      <c r="G44" s="6"/>
      <c r="H44" s="54"/>
      <c r="I44" s="8">
        <f t="shared" si="1"/>
        <v>64100.152999999991</v>
      </c>
    </row>
    <row r="45" spans="1:9" x14ac:dyDescent="0.25">
      <c r="A45" s="11">
        <v>45602</v>
      </c>
      <c r="B45" s="7">
        <v>226</v>
      </c>
      <c r="C45" s="8">
        <v>10.79</v>
      </c>
      <c r="D45" s="8">
        <f t="shared" si="0"/>
        <v>2438.54</v>
      </c>
      <c r="E45" s="9"/>
      <c r="F45" s="6"/>
      <c r="G45" s="6"/>
      <c r="H45" s="54"/>
      <c r="I45" s="8">
        <f t="shared" si="1"/>
        <v>66538.692999999985</v>
      </c>
    </row>
    <row r="46" spans="1:9" x14ac:dyDescent="0.25">
      <c r="A46" s="11">
        <v>45603</v>
      </c>
      <c r="B46" s="7">
        <v>160</v>
      </c>
      <c r="C46" s="8">
        <v>10.79</v>
      </c>
      <c r="D46" s="8">
        <f t="shared" si="0"/>
        <v>1726.3999999999999</v>
      </c>
      <c r="E46" s="9"/>
      <c r="F46" s="6"/>
      <c r="G46" s="6"/>
      <c r="H46" s="54"/>
      <c r="I46" s="8">
        <f t="shared" si="1"/>
        <v>68265.092999999979</v>
      </c>
    </row>
    <row r="47" spans="1:9" x14ac:dyDescent="0.25">
      <c r="A47" s="11">
        <v>45604</v>
      </c>
      <c r="B47" s="7">
        <v>200</v>
      </c>
      <c r="C47" s="8">
        <v>10.79</v>
      </c>
      <c r="D47" s="8">
        <f t="shared" si="0"/>
        <v>2158</v>
      </c>
      <c r="E47" s="9"/>
      <c r="F47" s="6"/>
      <c r="G47" s="6"/>
      <c r="H47" s="54"/>
      <c r="I47" s="8">
        <f t="shared" si="1"/>
        <v>70423.092999999979</v>
      </c>
    </row>
    <row r="48" spans="1:9" x14ac:dyDescent="0.25">
      <c r="A48" s="11">
        <v>45607</v>
      </c>
      <c r="B48" s="7">
        <v>223</v>
      </c>
      <c r="C48" s="8">
        <v>10.79</v>
      </c>
      <c r="D48" s="8">
        <f t="shared" si="0"/>
        <v>2406.1699999999996</v>
      </c>
      <c r="E48" s="9"/>
      <c r="F48" s="6"/>
      <c r="G48" s="6"/>
      <c r="H48" s="54"/>
      <c r="I48" s="8">
        <f t="shared" si="1"/>
        <v>72829.262999999977</v>
      </c>
    </row>
    <row r="49" spans="1:9" x14ac:dyDescent="0.25">
      <c r="A49" s="11">
        <v>45608</v>
      </c>
      <c r="B49" s="7">
        <v>52</v>
      </c>
      <c r="C49" s="8">
        <v>10.79</v>
      </c>
      <c r="D49" s="8">
        <f t="shared" si="0"/>
        <v>561.07999999999993</v>
      </c>
      <c r="E49" s="9"/>
      <c r="F49" s="6"/>
      <c r="G49" s="6"/>
      <c r="H49" s="54"/>
      <c r="I49" s="8">
        <f t="shared" si="1"/>
        <v>73390.342999999979</v>
      </c>
    </row>
    <row r="50" spans="1:9" x14ac:dyDescent="0.25">
      <c r="A50" s="11">
        <v>45609</v>
      </c>
      <c r="B50" s="7">
        <v>53</v>
      </c>
      <c r="C50" s="8">
        <v>10.79</v>
      </c>
      <c r="D50" s="8">
        <f t="shared" si="0"/>
        <v>571.87</v>
      </c>
      <c r="E50" s="9"/>
      <c r="F50" s="6"/>
      <c r="G50" s="6"/>
      <c r="H50" s="54"/>
      <c r="I50" s="8">
        <f t="shared" si="1"/>
        <v>73962.212999999974</v>
      </c>
    </row>
    <row r="51" spans="1:9" x14ac:dyDescent="0.25">
      <c r="A51" s="11">
        <v>45610</v>
      </c>
      <c r="B51" s="7">
        <v>71</v>
      </c>
      <c r="C51" s="8">
        <v>10.79</v>
      </c>
      <c r="D51" s="8">
        <f t="shared" si="0"/>
        <v>766.08999999999992</v>
      </c>
      <c r="E51" s="9"/>
      <c r="F51" s="6"/>
      <c r="G51" s="6"/>
      <c r="H51" s="54"/>
      <c r="I51" s="8">
        <f t="shared" si="1"/>
        <v>74728.302999999971</v>
      </c>
    </row>
    <row r="52" spans="1:9" x14ac:dyDescent="0.25">
      <c r="A52" s="11">
        <v>45611</v>
      </c>
      <c r="B52" s="7">
        <v>202</v>
      </c>
      <c r="C52" s="8">
        <v>10.79</v>
      </c>
      <c r="D52" s="8">
        <f t="shared" si="0"/>
        <v>2179.58</v>
      </c>
      <c r="E52" s="9"/>
      <c r="F52" s="6"/>
      <c r="G52" s="6"/>
      <c r="H52" s="54"/>
      <c r="I52" s="8">
        <f t="shared" si="1"/>
        <v>76907.882999999973</v>
      </c>
    </row>
    <row r="53" spans="1:9" x14ac:dyDescent="0.25">
      <c r="A53" s="11">
        <v>45614</v>
      </c>
      <c r="B53" s="7">
        <v>7</v>
      </c>
      <c r="C53" s="8">
        <v>10.79</v>
      </c>
      <c r="D53" s="8">
        <f t="shared" si="0"/>
        <v>75.53</v>
      </c>
      <c r="E53" s="9"/>
      <c r="F53" s="6"/>
      <c r="G53" s="6"/>
      <c r="H53" s="54"/>
      <c r="I53" s="8">
        <f t="shared" si="1"/>
        <v>76983.412999999971</v>
      </c>
    </row>
    <row r="54" spans="1:9" x14ac:dyDescent="0.25">
      <c r="A54" s="11">
        <v>45615</v>
      </c>
      <c r="B54" s="7">
        <v>60</v>
      </c>
      <c r="C54" s="8">
        <v>10.79</v>
      </c>
      <c r="D54" s="8">
        <f t="shared" si="0"/>
        <v>647.4</v>
      </c>
      <c r="E54" s="9"/>
      <c r="F54" s="6"/>
      <c r="G54" s="6"/>
      <c r="H54" s="54"/>
      <c r="I54" s="8">
        <f t="shared" si="1"/>
        <v>77630.812999999966</v>
      </c>
    </row>
    <row r="55" spans="1:9" x14ac:dyDescent="0.25">
      <c r="A55" s="11">
        <v>45616</v>
      </c>
      <c r="B55" s="7">
        <v>37</v>
      </c>
      <c r="C55" s="8">
        <v>10.79</v>
      </c>
      <c r="D55" s="8">
        <f t="shared" si="0"/>
        <v>399.22999999999996</v>
      </c>
      <c r="E55" s="9"/>
      <c r="F55" s="6"/>
      <c r="G55" s="6"/>
      <c r="H55" s="54"/>
      <c r="I55" s="8">
        <f t="shared" si="1"/>
        <v>78030.042999999961</v>
      </c>
    </row>
    <row r="56" spans="1:9" x14ac:dyDescent="0.25">
      <c r="A56" s="11">
        <v>45617</v>
      </c>
      <c r="B56" s="7">
        <v>42</v>
      </c>
      <c r="C56" s="8">
        <v>10.79</v>
      </c>
      <c r="D56" s="8">
        <f t="shared" si="0"/>
        <v>453.17999999999995</v>
      </c>
      <c r="E56" s="9"/>
      <c r="F56" s="6"/>
      <c r="G56" s="6"/>
      <c r="H56" s="54"/>
      <c r="I56" s="8">
        <f t="shared" si="1"/>
        <v>78483.222999999954</v>
      </c>
    </row>
    <row r="57" spans="1:9" x14ac:dyDescent="0.25">
      <c r="A57" s="11">
        <v>45618</v>
      </c>
      <c r="B57" s="7">
        <v>42</v>
      </c>
      <c r="C57" s="8">
        <v>10.79</v>
      </c>
      <c r="D57" s="8">
        <f t="shared" si="0"/>
        <v>453.17999999999995</v>
      </c>
      <c r="E57" s="9"/>
      <c r="F57" s="6"/>
      <c r="G57" s="6"/>
      <c r="H57" s="54"/>
      <c r="I57" s="8">
        <f t="shared" si="1"/>
        <v>78936.402999999947</v>
      </c>
    </row>
    <row r="58" spans="1:9" x14ac:dyDescent="0.25">
      <c r="A58" s="11">
        <v>45621</v>
      </c>
      <c r="B58" s="7">
        <v>180</v>
      </c>
      <c r="C58" s="8">
        <v>10.79</v>
      </c>
      <c r="D58" s="8">
        <f t="shared" si="0"/>
        <v>1942.1999999999998</v>
      </c>
      <c r="E58" s="9"/>
      <c r="F58" s="6"/>
      <c r="G58" s="6"/>
      <c r="H58" s="54"/>
      <c r="I58" s="8">
        <f t="shared" si="1"/>
        <v>80878.602999999945</v>
      </c>
    </row>
    <row r="59" spans="1:9" x14ac:dyDescent="0.25">
      <c r="A59" s="11">
        <v>45622</v>
      </c>
      <c r="B59" s="7">
        <v>117</v>
      </c>
      <c r="C59" s="8">
        <v>10.79</v>
      </c>
      <c r="D59" s="8">
        <f t="shared" si="0"/>
        <v>1262.4299999999998</v>
      </c>
      <c r="E59" s="9"/>
      <c r="F59" s="6"/>
      <c r="G59" s="6"/>
      <c r="H59" s="54"/>
      <c r="I59" s="8">
        <f t="shared" si="1"/>
        <v>82141.032999999938</v>
      </c>
    </row>
    <row r="60" spans="1:9" x14ac:dyDescent="0.25">
      <c r="A60" s="11">
        <v>45623</v>
      </c>
      <c r="B60" s="7">
        <v>85</v>
      </c>
      <c r="C60" s="8">
        <v>10.79</v>
      </c>
      <c r="D60" s="8">
        <f t="shared" si="0"/>
        <v>917.15</v>
      </c>
      <c r="E60" s="9"/>
      <c r="F60" s="6"/>
      <c r="G60" s="6"/>
      <c r="H60" s="54"/>
      <c r="I60" s="8">
        <f t="shared" si="1"/>
        <v>83058.182999999932</v>
      </c>
    </row>
    <row r="61" spans="1:9" x14ac:dyDescent="0.25">
      <c r="A61" s="11">
        <v>45624</v>
      </c>
      <c r="B61" s="7">
        <v>85</v>
      </c>
      <c r="C61" s="8">
        <v>10.79</v>
      </c>
      <c r="D61" s="8">
        <f t="shared" si="0"/>
        <v>917.15</v>
      </c>
      <c r="E61" s="9"/>
      <c r="F61" s="6"/>
      <c r="G61" s="6"/>
      <c r="H61" s="54"/>
      <c r="I61" s="8">
        <f t="shared" si="1"/>
        <v>83975.332999999926</v>
      </c>
    </row>
    <row r="62" spans="1:9" x14ac:dyDescent="0.25">
      <c r="A62" s="11">
        <v>45625</v>
      </c>
      <c r="B62" s="7">
        <v>42</v>
      </c>
      <c r="C62" s="8">
        <v>10.79</v>
      </c>
      <c r="D62" s="8">
        <f t="shared" si="0"/>
        <v>453.17999999999995</v>
      </c>
      <c r="E62" s="9"/>
      <c r="F62" s="6"/>
      <c r="G62" s="6"/>
      <c r="H62" s="54"/>
      <c r="I62" s="8">
        <f t="shared" si="1"/>
        <v>84428.512999999919</v>
      </c>
    </row>
    <row r="63" spans="1:9" x14ac:dyDescent="0.25">
      <c r="A63" s="75"/>
      <c r="B63" s="76"/>
      <c r="C63" s="77"/>
      <c r="D63" s="77"/>
      <c r="E63" s="69">
        <f>SUM(B42:B62)</f>
        <v>2906</v>
      </c>
      <c r="F63" s="75"/>
      <c r="G63" s="75"/>
      <c r="H63" s="78"/>
      <c r="I63" s="77">
        <f t="shared" si="1"/>
        <v>84428.512999999919</v>
      </c>
    </row>
    <row r="64" spans="1:9" x14ac:dyDescent="0.25">
      <c r="A64" s="11">
        <v>45628</v>
      </c>
      <c r="B64" s="7">
        <v>99</v>
      </c>
      <c r="C64" s="8">
        <v>10.79</v>
      </c>
      <c r="D64" s="8">
        <f t="shared" si="0"/>
        <v>1068.2099999999998</v>
      </c>
      <c r="E64" s="9"/>
      <c r="F64" s="6"/>
      <c r="G64" s="6"/>
      <c r="H64" s="54"/>
      <c r="I64" s="8">
        <f t="shared" si="1"/>
        <v>85496.722999999925</v>
      </c>
    </row>
    <row r="65" spans="1:10" x14ac:dyDescent="0.25">
      <c r="A65" s="11">
        <v>45629</v>
      </c>
      <c r="B65" s="7">
        <v>39</v>
      </c>
      <c r="C65" s="8">
        <v>10.79</v>
      </c>
      <c r="D65" s="8">
        <f t="shared" si="0"/>
        <v>420.80999999999995</v>
      </c>
      <c r="E65" s="9"/>
      <c r="F65" s="6"/>
      <c r="G65" s="6"/>
      <c r="H65" s="54"/>
      <c r="I65" s="8">
        <f t="shared" si="1"/>
        <v>85917.532999999923</v>
      </c>
    </row>
    <row r="66" spans="1:10" x14ac:dyDescent="0.25">
      <c r="A66" s="11">
        <v>45630</v>
      </c>
      <c r="B66" s="7">
        <v>185</v>
      </c>
      <c r="C66" s="8">
        <v>10.79</v>
      </c>
      <c r="D66" s="8">
        <f t="shared" si="0"/>
        <v>1996.1499999999999</v>
      </c>
      <c r="E66" s="9"/>
      <c r="F66" s="6"/>
      <c r="G66" s="6"/>
      <c r="H66" s="54"/>
      <c r="I66" s="8">
        <f t="shared" si="1"/>
        <v>87913.682999999917</v>
      </c>
    </row>
    <row r="67" spans="1:10" x14ac:dyDescent="0.25">
      <c r="A67" s="11">
        <v>45631</v>
      </c>
      <c r="B67" s="7">
        <v>380</v>
      </c>
      <c r="C67" s="8">
        <v>10.79</v>
      </c>
      <c r="D67" s="8">
        <f t="shared" si="0"/>
        <v>4100.2</v>
      </c>
      <c r="E67" s="9"/>
      <c r="F67" s="6"/>
      <c r="G67" s="6"/>
      <c r="H67" s="54"/>
      <c r="I67" s="8">
        <f t="shared" si="1"/>
        <v>92013.882999999914</v>
      </c>
    </row>
    <row r="68" spans="1:10" x14ac:dyDescent="0.25">
      <c r="A68" s="11">
        <v>45632</v>
      </c>
      <c r="B68" s="7">
        <v>210</v>
      </c>
      <c r="C68" s="8">
        <v>10.79</v>
      </c>
      <c r="D68" s="8">
        <f t="shared" ref="D68:D154" si="2">B68*C68</f>
        <v>2265.8999999999996</v>
      </c>
      <c r="E68" s="9"/>
      <c r="F68" s="6"/>
      <c r="G68" s="6"/>
      <c r="H68" s="54"/>
      <c r="I68" s="8">
        <f t="shared" si="1"/>
        <v>94279.782999999908</v>
      </c>
    </row>
    <row r="69" spans="1:10" x14ac:dyDescent="0.25">
      <c r="A69" s="11">
        <v>45635</v>
      </c>
      <c r="B69" s="7">
        <v>312</v>
      </c>
      <c r="C69" s="8">
        <v>10.79</v>
      </c>
      <c r="D69" s="8">
        <f t="shared" si="2"/>
        <v>3366.4799999999996</v>
      </c>
      <c r="E69" s="9"/>
      <c r="F69" s="6"/>
      <c r="G69" s="6"/>
      <c r="H69" s="54"/>
      <c r="I69" s="8">
        <f t="shared" si="1"/>
        <v>97646.262999999904</v>
      </c>
    </row>
    <row r="70" spans="1:10" x14ac:dyDescent="0.25">
      <c r="A70" s="11"/>
      <c r="B70" s="7"/>
      <c r="C70" s="8"/>
      <c r="D70" s="17">
        <v>36032.230000000003</v>
      </c>
      <c r="E70" s="9"/>
      <c r="F70" s="6"/>
      <c r="G70" s="6"/>
      <c r="H70" s="54"/>
      <c r="I70" s="8">
        <f t="shared" si="1"/>
        <v>133678.4929999999</v>
      </c>
      <c r="J70" s="18" t="s">
        <v>7</v>
      </c>
    </row>
    <row r="71" spans="1:10" x14ac:dyDescent="0.25">
      <c r="A71" s="11">
        <v>45636</v>
      </c>
      <c r="B71" s="7">
        <v>188</v>
      </c>
      <c r="C71" s="8">
        <v>10.79</v>
      </c>
      <c r="D71" s="8">
        <f t="shared" si="2"/>
        <v>2028.5199999999998</v>
      </c>
      <c r="E71" s="9"/>
      <c r="F71" s="11">
        <v>45636</v>
      </c>
      <c r="G71" s="6" t="s">
        <v>8</v>
      </c>
      <c r="H71" s="54">
        <v>89105</v>
      </c>
      <c r="I71" s="8">
        <f t="shared" si="1"/>
        <v>46602.01299999989</v>
      </c>
    </row>
    <row r="72" spans="1:10" x14ac:dyDescent="0.25">
      <c r="A72" s="11">
        <v>45637</v>
      </c>
      <c r="B72" s="7">
        <v>298</v>
      </c>
      <c r="C72" s="8">
        <v>10.79</v>
      </c>
      <c r="D72" s="8">
        <f t="shared" si="2"/>
        <v>3215.4199999999996</v>
      </c>
      <c r="E72" s="9"/>
      <c r="F72" s="6"/>
      <c r="G72" s="6"/>
      <c r="H72" s="54"/>
      <c r="I72" s="8">
        <f t="shared" si="1"/>
        <v>49817.432999999888</v>
      </c>
    </row>
    <row r="73" spans="1:10" x14ac:dyDescent="0.25">
      <c r="A73" s="11">
        <v>45638</v>
      </c>
      <c r="B73" s="7">
        <v>199</v>
      </c>
      <c r="C73" s="8">
        <v>10.79</v>
      </c>
      <c r="D73" s="8">
        <f t="shared" si="2"/>
        <v>2147.21</v>
      </c>
      <c r="E73" s="9"/>
      <c r="F73" s="6"/>
      <c r="G73" s="6"/>
      <c r="H73" s="54"/>
      <c r="I73" s="8">
        <f t="shared" si="1"/>
        <v>51964.642999999887</v>
      </c>
    </row>
    <row r="74" spans="1:10" x14ac:dyDescent="0.25">
      <c r="A74" s="11">
        <v>45639</v>
      </c>
      <c r="B74" s="7">
        <v>161</v>
      </c>
      <c r="C74" s="8">
        <v>10.79</v>
      </c>
      <c r="D74" s="8">
        <f t="shared" si="2"/>
        <v>1737.1899999999998</v>
      </c>
      <c r="E74" s="9"/>
      <c r="F74" s="6"/>
      <c r="G74" s="6"/>
      <c r="H74" s="54"/>
      <c r="I74" s="8">
        <f t="shared" si="1"/>
        <v>53701.83299999989</v>
      </c>
    </row>
    <row r="75" spans="1:10" x14ac:dyDescent="0.25">
      <c r="A75" s="11">
        <v>45642</v>
      </c>
      <c r="B75" s="7">
        <v>479</v>
      </c>
      <c r="C75" s="8">
        <v>10.79</v>
      </c>
      <c r="D75" s="8">
        <f t="shared" si="2"/>
        <v>5168.41</v>
      </c>
      <c r="E75" s="9"/>
      <c r="F75" s="6"/>
      <c r="G75" s="6"/>
      <c r="H75" s="54"/>
      <c r="I75" s="8">
        <f t="shared" si="1"/>
        <v>58870.242999999886</v>
      </c>
    </row>
    <row r="76" spans="1:10" x14ac:dyDescent="0.25">
      <c r="A76" s="11">
        <v>45643</v>
      </c>
      <c r="B76" s="7">
        <v>135</v>
      </c>
      <c r="C76" s="8">
        <v>10.79</v>
      </c>
      <c r="D76" s="8">
        <f t="shared" si="2"/>
        <v>1456.6499999999999</v>
      </c>
      <c r="E76" s="9"/>
      <c r="F76" s="6"/>
      <c r="G76" s="6"/>
      <c r="H76" s="54"/>
      <c r="I76" s="8">
        <f t="shared" si="1"/>
        <v>60326.892999999887</v>
      </c>
    </row>
    <row r="77" spans="1:10" x14ac:dyDescent="0.25">
      <c r="A77" s="11">
        <v>45644</v>
      </c>
      <c r="B77" s="7">
        <v>309</v>
      </c>
      <c r="C77" s="8">
        <v>10.79</v>
      </c>
      <c r="D77" s="8">
        <f t="shared" si="2"/>
        <v>3334.1099999999997</v>
      </c>
      <c r="E77" s="9"/>
      <c r="F77" s="6"/>
      <c r="G77" s="6"/>
      <c r="H77" s="54"/>
      <c r="I77" s="8">
        <f t="shared" si="1"/>
        <v>63661.002999999888</v>
      </c>
    </row>
    <row r="78" spans="1:10" x14ac:dyDescent="0.25">
      <c r="A78" s="11">
        <v>45645</v>
      </c>
      <c r="B78" s="7">
        <v>164</v>
      </c>
      <c r="C78" s="8">
        <v>10.79</v>
      </c>
      <c r="D78" s="8">
        <f t="shared" si="2"/>
        <v>1769.56</v>
      </c>
      <c r="E78" s="9"/>
      <c r="F78" s="6"/>
      <c r="G78" s="6"/>
      <c r="H78" s="54"/>
      <c r="I78" s="8">
        <f t="shared" si="1"/>
        <v>65430.562999999886</v>
      </c>
    </row>
    <row r="79" spans="1:10" x14ac:dyDescent="0.25">
      <c r="A79" s="11">
        <v>45646</v>
      </c>
      <c r="B79" s="7">
        <v>197</v>
      </c>
      <c r="C79" s="8">
        <v>10.79</v>
      </c>
      <c r="D79" s="8">
        <f t="shared" si="2"/>
        <v>2125.6299999999997</v>
      </c>
      <c r="E79" s="9"/>
      <c r="F79" s="6"/>
      <c r="G79" s="6"/>
      <c r="H79" s="54"/>
      <c r="I79" s="8">
        <f t="shared" si="1"/>
        <v>67556.192999999883</v>
      </c>
    </row>
    <row r="80" spans="1:10" x14ac:dyDescent="0.25">
      <c r="A80" s="11">
        <v>45649</v>
      </c>
      <c r="B80" s="7">
        <v>288</v>
      </c>
      <c r="C80" s="8">
        <v>10.79</v>
      </c>
      <c r="D80" s="8">
        <f t="shared" si="2"/>
        <v>3107.5199999999995</v>
      </c>
      <c r="E80" s="9"/>
      <c r="F80" s="6"/>
      <c r="G80" s="6"/>
      <c r="H80" s="54"/>
      <c r="I80" s="8">
        <f t="shared" si="1"/>
        <v>70663.712999999887</v>
      </c>
    </row>
    <row r="81" spans="1:9" x14ac:dyDescent="0.25">
      <c r="A81" s="11">
        <v>45650</v>
      </c>
      <c r="B81" s="7">
        <v>328</v>
      </c>
      <c r="C81" s="8">
        <v>10.79</v>
      </c>
      <c r="D81" s="8">
        <f t="shared" si="2"/>
        <v>3539.12</v>
      </c>
      <c r="E81" s="9"/>
      <c r="F81" s="6"/>
      <c r="G81" s="6"/>
      <c r="H81" s="54"/>
      <c r="I81" s="8">
        <f t="shared" si="1"/>
        <v>74202.832999999882</v>
      </c>
    </row>
    <row r="82" spans="1:9" x14ac:dyDescent="0.25">
      <c r="A82" s="11">
        <v>45651</v>
      </c>
      <c r="B82" s="7">
        <v>280</v>
      </c>
      <c r="C82" s="8">
        <v>10.79</v>
      </c>
      <c r="D82" s="8">
        <f t="shared" si="2"/>
        <v>3021.2</v>
      </c>
      <c r="E82" s="9"/>
      <c r="F82" s="6"/>
      <c r="G82" s="6"/>
      <c r="H82" s="54"/>
      <c r="I82" s="8">
        <f t="shared" si="1"/>
        <v>77224.032999999879</v>
      </c>
    </row>
    <row r="83" spans="1:9" x14ac:dyDescent="0.25">
      <c r="A83" s="11">
        <v>45652</v>
      </c>
      <c r="B83" s="7">
        <v>49</v>
      </c>
      <c r="C83" s="8">
        <v>10.79</v>
      </c>
      <c r="D83" s="8">
        <f t="shared" si="2"/>
        <v>528.70999999999992</v>
      </c>
      <c r="E83" s="9"/>
      <c r="F83" s="6"/>
      <c r="G83" s="6"/>
      <c r="H83" s="54"/>
      <c r="I83" s="8">
        <f t="shared" si="1"/>
        <v>77752.742999999886</v>
      </c>
    </row>
    <row r="84" spans="1:9" x14ac:dyDescent="0.25">
      <c r="A84" s="11">
        <v>45653</v>
      </c>
      <c r="B84" s="7">
        <v>49</v>
      </c>
      <c r="C84" s="8">
        <v>10.79</v>
      </c>
      <c r="D84" s="8">
        <f t="shared" si="2"/>
        <v>528.70999999999992</v>
      </c>
      <c r="E84" s="9"/>
      <c r="F84" s="6"/>
      <c r="G84" s="6"/>
      <c r="H84" s="54"/>
      <c r="I84" s="8">
        <f t="shared" si="1"/>
        <v>78281.452999999892</v>
      </c>
    </row>
    <row r="85" spans="1:9" x14ac:dyDescent="0.25">
      <c r="A85" s="70" t="s">
        <v>11</v>
      </c>
      <c r="B85" s="74"/>
      <c r="C85" s="72"/>
      <c r="D85" s="72"/>
      <c r="E85" s="69">
        <f>SUM(B64:B84)</f>
        <v>4349</v>
      </c>
      <c r="F85" s="70"/>
      <c r="G85" s="70"/>
      <c r="H85" s="71"/>
      <c r="I85" s="72">
        <f t="shared" si="1"/>
        <v>78281.452999999892</v>
      </c>
    </row>
    <row r="86" spans="1:9" x14ac:dyDescent="0.25">
      <c r="A86" s="11">
        <v>45666</v>
      </c>
      <c r="B86" s="7">
        <v>583</v>
      </c>
      <c r="C86" s="8">
        <v>10.79</v>
      </c>
      <c r="D86" s="8">
        <f t="shared" si="2"/>
        <v>6290.57</v>
      </c>
      <c r="E86" s="9"/>
      <c r="F86" s="6"/>
      <c r="G86" s="6"/>
      <c r="H86" s="54"/>
      <c r="I86" s="8">
        <f t="shared" ref="I86:I153" si="3">I85+D86-H86</f>
        <v>84572.022999999899</v>
      </c>
    </row>
    <row r="87" spans="1:9" x14ac:dyDescent="0.25">
      <c r="A87" s="11">
        <v>45667</v>
      </c>
      <c r="B87" s="7">
        <v>373</v>
      </c>
      <c r="C87" s="8">
        <v>10.79</v>
      </c>
      <c r="D87" s="8">
        <f t="shared" si="2"/>
        <v>4024.6699999999996</v>
      </c>
      <c r="E87" s="9"/>
      <c r="F87" s="6"/>
      <c r="G87" s="6"/>
      <c r="H87" s="54"/>
      <c r="I87" s="8">
        <f t="shared" si="3"/>
        <v>88596.692999999897</v>
      </c>
    </row>
    <row r="88" spans="1:9" x14ac:dyDescent="0.25">
      <c r="A88" s="11">
        <v>45670</v>
      </c>
      <c r="B88" s="7">
        <v>342</v>
      </c>
      <c r="C88" s="8">
        <v>10.79</v>
      </c>
      <c r="D88" s="8">
        <f t="shared" si="2"/>
        <v>3690.18</v>
      </c>
      <c r="E88" s="9"/>
      <c r="F88" s="6"/>
      <c r="G88" s="6"/>
      <c r="H88" s="54"/>
      <c r="I88" s="8">
        <f t="shared" si="3"/>
        <v>92286.87299999989</v>
      </c>
    </row>
    <row r="89" spans="1:9" x14ac:dyDescent="0.25">
      <c r="A89" s="11">
        <v>45671</v>
      </c>
      <c r="B89" s="7">
        <v>537</v>
      </c>
      <c r="C89" s="8">
        <v>10.79</v>
      </c>
      <c r="D89" s="8">
        <f t="shared" si="2"/>
        <v>5794.23</v>
      </c>
      <c r="E89" s="9"/>
      <c r="F89" s="6"/>
      <c r="G89" s="6"/>
      <c r="H89" s="54"/>
      <c r="I89" s="8">
        <f t="shared" si="3"/>
        <v>98081.102999999886</v>
      </c>
    </row>
    <row r="90" spans="1:9" x14ac:dyDescent="0.25">
      <c r="A90" s="11">
        <v>45672</v>
      </c>
      <c r="B90" s="7">
        <v>250</v>
      </c>
      <c r="C90" s="8">
        <v>10.79</v>
      </c>
      <c r="D90" s="8">
        <f t="shared" si="2"/>
        <v>2697.5</v>
      </c>
      <c r="E90" s="9"/>
      <c r="F90" s="6"/>
      <c r="G90" s="6"/>
      <c r="H90" s="54"/>
      <c r="I90" s="8">
        <f t="shared" si="3"/>
        <v>100778.60299999989</v>
      </c>
    </row>
    <row r="91" spans="1:9" x14ac:dyDescent="0.25">
      <c r="A91" s="11">
        <v>45673</v>
      </c>
      <c r="B91" s="7">
        <v>195</v>
      </c>
      <c r="C91" s="8">
        <v>10.79</v>
      </c>
      <c r="D91" s="8">
        <f t="shared" si="2"/>
        <v>2104.0499999999997</v>
      </c>
      <c r="E91" s="9"/>
      <c r="F91" s="6"/>
      <c r="G91" s="6"/>
      <c r="H91" s="54"/>
      <c r="I91" s="8">
        <f t="shared" si="3"/>
        <v>102882.65299999989</v>
      </c>
    </row>
    <row r="92" spans="1:9" x14ac:dyDescent="0.25">
      <c r="A92" s="11">
        <v>45674</v>
      </c>
      <c r="B92" s="7">
        <v>377</v>
      </c>
      <c r="C92" s="8">
        <v>10.79</v>
      </c>
      <c r="D92" s="8">
        <f t="shared" si="2"/>
        <v>4067.8299999999995</v>
      </c>
      <c r="E92" s="9"/>
      <c r="F92" s="6"/>
      <c r="G92" s="6"/>
      <c r="H92" s="54"/>
      <c r="I92" s="8">
        <f t="shared" si="3"/>
        <v>106950.48299999989</v>
      </c>
    </row>
    <row r="93" spans="1:9" x14ac:dyDescent="0.25">
      <c r="A93" s="11">
        <v>45677</v>
      </c>
      <c r="B93" s="7">
        <v>323</v>
      </c>
      <c r="C93" s="8">
        <v>10.79</v>
      </c>
      <c r="D93" s="8">
        <f t="shared" si="2"/>
        <v>3485.1699999999996</v>
      </c>
      <c r="E93" s="9"/>
      <c r="F93" s="6"/>
      <c r="G93" s="6"/>
      <c r="H93" s="54"/>
      <c r="I93" s="8">
        <f t="shared" si="3"/>
        <v>110435.65299999989</v>
      </c>
    </row>
    <row r="94" spans="1:9" x14ac:dyDescent="0.25">
      <c r="A94" s="11">
        <v>45678</v>
      </c>
      <c r="B94" s="7">
        <v>197</v>
      </c>
      <c r="C94" s="8">
        <v>10.79</v>
      </c>
      <c r="D94" s="8">
        <f t="shared" si="2"/>
        <v>2125.6299999999997</v>
      </c>
      <c r="E94" s="9"/>
      <c r="F94" s="6"/>
      <c r="G94" s="6"/>
      <c r="H94" s="54"/>
      <c r="I94" s="8">
        <f t="shared" si="3"/>
        <v>112561.28299999989</v>
      </c>
    </row>
    <row r="95" spans="1:9" x14ac:dyDescent="0.25">
      <c r="A95" s="11">
        <v>45679</v>
      </c>
      <c r="B95" s="7">
        <v>197</v>
      </c>
      <c r="C95" s="8">
        <v>10.79</v>
      </c>
      <c r="D95" s="8">
        <f t="shared" si="2"/>
        <v>2125.6299999999997</v>
      </c>
      <c r="E95" s="9"/>
      <c r="F95" s="6"/>
      <c r="G95" s="6"/>
      <c r="H95" s="54"/>
      <c r="I95" s="8">
        <f t="shared" si="3"/>
        <v>114686.9129999999</v>
      </c>
    </row>
    <row r="96" spans="1:9" x14ac:dyDescent="0.25">
      <c r="A96" s="11">
        <v>45680</v>
      </c>
      <c r="B96" s="7">
        <v>254</v>
      </c>
      <c r="C96" s="8">
        <v>10.79</v>
      </c>
      <c r="D96" s="8">
        <f t="shared" si="2"/>
        <v>2740.66</v>
      </c>
      <c r="E96" s="9"/>
      <c r="F96" s="6"/>
      <c r="G96" s="6"/>
      <c r="H96" s="54"/>
      <c r="I96" s="8">
        <f t="shared" si="3"/>
        <v>117427.5729999999</v>
      </c>
    </row>
    <row r="97" spans="1:9" x14ac:dyDescent="0.25">
      <c r="A97" s="11">
        <v>45681</v>
      </c>
      <c r="B97" s="7">
        <v>126</v>
      </c>
      <c r="C97" s="8">
        <v>10.79</v>
      </c>
      <c r="D97" s="8">
        <f t="shared" si="2"/>
        <v>1359.54</v>
      </c>
      <c r="E97" s="9"/>
      <c r="F97" s="6"/>
      <c r="G97" s="6"/>
      <c r="H97" s="54"/>
      <c r="I97" s="8">
        <f t="shared" si="3"/>
        <v>118787.1129999999</v>
      </c>
    </row>
    <row r="98" spans="1:9" x14ac:dyDescent="0.25">
      <c r="A98" s="11">
        <v>45684</v>
      </c>
      <c r="B98" s="7">
        <v>345</v>
      </c>
      <c r="C98" s="8">
        <v>10.79</v>
      </c>
      <c r="D98" s="8">
        <f t="shared" si="2"/>
        <v>3722.5499999999997</v>
      </c>
      <c r="E98" s="9"/>
      <c r="F98" s="6"/>
      <c r="G98" s="6"/>
      <c r="H98" s="54"/>
      <c r="I98" s="8">
        <f t="shared" si="3"/>
        <v>122509.6629999999</v>
      </c>
    </row>
    <row r="99" spans="1:9" x14ac:dyDescent="0.25">
      <c r="A99" s="11">
        <v>45685</v>
      </c>
      <c r="B99" s="7">
        <v>246</v>
      </c>
      <c r="C99" s="8">
        <v>10.79</v>
      </c>
      <c r="D99" s="8">
        <f t="shared" si="2"/>
        <v>2654.3399999999997</v>
      </c>
      <c r="E99" s="9"/>
      <c r="F99" s="6"/>
      <c r="G99" s="6"/>
      <c r="H99" s="54"/>
      <c r="I99" s="8">
        <f t="shared" si="3"/>
        <v>125164.0029999999</v>
      </c>
    </row>
    <row r="100" spans="1:9" x14ac:dyDescent="0.25">
      <c r="A100" s="11">
        <v>45686</v>
      </c>
      <c r="B100" s="7">
        <v>248</v>
      </c>
      <c r="C100" s="8">
        <v>10.79</v>
      </c>
      <c r="D100" s="8">
        <f t="shared" si="2"/>
        <v>2675.9199999999996</v>
      </c>
      <c r="E100" s="9"/>
      <c r="F100" s="6"/>
      <c r="G100" s="6"/>
      <c r="H100" s="54"/>
      <c r="I100" s="8">
        <f t="shared" si="3"/>
        <v>127839.92299999989</v>
      </c>
    </row>
    <row r="101" spans="1:9" x14ac:dyDescent="0.25">
      <c r="A101" s="11">
        <v>45687</v>
      </c>
      <c r="B101" s="7">
        <v>295</v>
      </c>
      <c r="C101" s="8">
        <v>10.79</v>
      </c>
      <c r="D101" s="8">
        <f t="shared" si="2"/>
        <v>3183.0499999999997</v>
      </c>
      <c r="E101" s="9"/>
      <c r="F101" s="6"/>
      <c r="G101" s="6"/>
      <c r="H101" s="54"/>
      <c r="I101" s="8">
        <f t="shared" si="3"/>
        <v>131022.9729999999</v>
      </c>
    </row>
    <row r="102" spans="1:9" x14ac:dyDescent="0.25">
      <c r="A102" s="11">
        <v>45688</v>
      </c>
      <c r="B102" s="7">
        <v>282</v>
      </c>
      <c r="C102" s="8">
        <v>10.79</v>
      </c>
      <c r="D102" s="8">
        <f t="shared" si="2"/>
        <v>3042.7799999999997</v>
      </c>
      <c r="E102" s="9"/>
      <c r="F102" s="6"/>
      <c r="G102" s="6"/>
      <c r="H102" s="54"/>
      <c r="I102" s="8">
        <f t="shared" si="3"/>
        <v>134065.75299999991</v>
      </c>
    </row>
    <row r="103" spans="1:9" x14ac:dyDescent="0.25">
      <c r="A103" s="73" t="s">
        <v>14</v>
      </c>
      <c r="B103" s="74"/>
      <c r="C103" s="72"/>
      <c r="D103" s="72"/>
      <c r="E103" s="69">
        <f>SUM(B86:B102)</f>
        <v>5170</v>
      </c>
      <c r="F103" s="70"/>
      <c r="G103" s="70"/>
      <c r="H103" s="71"/>
      <c r="I103" s="72">
        <f t="shared" si="3"/>
        <v>134065.75299999991</v>
      </c>
    </row>
    <row r="104" spans="1:9" x14ac:dyDescent="0.25">
      <c r="A104" s="11">
        <v>45691</v>
      </c>
      <c r="B104" s="7">
        <v>325</v>
      </c>
      <c r="C104" s="8">
        <v>10.79</v>
      </c>
      <c r="D104" s="8">
        <f t="shared" si="2"/>
        <v>3506.7499999999995</v>
      </c>
      <c r="E104" s="9"/>
      <c r="F104" s="6"/>
      <c r="G104" s="6"/>
      <c r="H104" s="54"/>
      <c r="I104" s="8">
        <f t="shared" si="3"/>
        <v>137572.50299999991</v>
      </c>
    </row>
    <row r="105" spans="1:9" x14ac:dyDescent="0.25">
      <c r="A105" s="11">
        <v>45692</v>
      </c>
      <c r="B105" s="7">
        <v>268</v>
      </c>
      <c r="C105" s="8">
        <v>10.79</v>
      </c>
      <c r="D105" s="8">
        <f t="shared" si="2"/>
        <v>2891.72</v>
      </c>
      <c r="E105" s="9"/>
      <c r="F105" s="6"/>
      <c r="G105" s="6"/>
      <c r="H105" s="54"/>
      <c r="I105" s="8">
        <f t="shared" si="3"/>
        <v>140464.22299999991</v>
      </c>
    </row>
    <row r="106" spans="1:9" x14ac:dyDescent="0.25">
      <c r="A106" s="11">
        <v>45693</v>
      </c>
      <c r="B106" s="7">
        <v>274</v>
      </c>
      <c r="C106" s="8">
        <v>10.79</v>
      </c>
      <c r="D106" s="8">
        <f t="shared" si="2"/>
        <v>2956.4599999999996</v>
      </c>
      <c r="E106" s="9"/>
      <c r="F106" s="6"/>
      <c r="G106" s="6"/>
      <c r="H106" s="54"/>
      <c r="I106" s="8">
        <f t="shared" si="3"/>
        <v>143420.6829999999</v>
      </c>
    </row>
    <row r="107" spans="1:9" x14ac:dyDescent="0.25">
      <c r="A107" s="11">
        <v>45694</v>
      </c>
      <c r="B107" s="7">
        <v>342</v>
      </c>
      <c r="C107" s="8">
        <v>10.79</v>
      </c>
      <c r="D107" s="8">
        <f t="shared" si="2"/>
        <v>3690.18</v>
      </c>
      <c r="E107" s="9"/>
      <c r="F107" s="6"/>
      <c r="G107" s="6"/>
      <c r="H107" s="54"/>
      <c r="I107" s="8">
        <f t="shared" si="3"/>
        <v>147110.8629999999</v>
      </c>
    </row>
    <row r="108" spans="1:9" x14ac:dyDescent="0.25">
      <c r="A108" s="11">
        <v>45695</v>
      </c>
      <c r="B108" s="7">
        <v>210</v>
      </c>
      <c r="C108" s="8">
        <v>10.79</v>
      </c>
      <c r="D108" s="8">
        <f t="shared" si="2"/>
        <v>2265.8999999999996</v>
      </c>
      <c r="E108" s="9"/>
      <c r="F108" s="6"/>
      <c r="G108" s="6"/>
      <c r="H108" s="54"/>
      <c r="I108" s="8">
        <f t="shared" si="3"/>
        <v>149376.76299999989</v>
      </c>
    </row>
    <row r="109" spans="1:9" x14ac:dyDescent="0.25">
      <c r="A109" s="11">
        <v>45698</v>
      </c>
      <c r="B109" s="7">
        <v>335</v>
      </c>
      <c r="C109" s="8">
        <v>10.79</v>
      </c>
      <c r="D109" s="8">
        <f t="shared" si="2"/>
        <v>3614.6499999999996</v>
      </c>
      <c r="E109" s="9"/>
      <c r="F109" s="6"/>
      <c r="G109" s="6"/>
      <c r="H109" s="54"/>
      <c r="I109" s="8">
        <f t="shared" si="3"/>
        <v>152991.41299999988</v>
      </c>
    </row>
    <row r="110" spans="1:9" x14ac:dyDescent="0.25">
      <c r="A110" s="11">
        <v>45699</v>
      </c>
      <c r="B110" s="7">
        <v>400</v>
      </c>
      <c r="C110" s="8">
        <v>10.79</v>
      </c>
      <c r="D110" s="8">
        <f t="shared" si="2"/>
        <v>4316</v>
      </c>
      <c r="E110" s="9"/>
      <c r="F110" s="6"/>
      <c r="G110" s="6"/>
      <c r="H110" s="54"/>
      <c r="I110" s="8">
        <f t="shared" si="3"/>
        <v>157307.41299999988</v>
      </c>
    </row>
    <row r="111" spans="1:9" x14ac:dyDescent="0.25">
      <c r="A111" s="11">
        <v>45700</v>
      </c>
      <c r="B111" s="7">
        <v>361</v>
      </c>
      <c r="C111" s="8">
        <v>10.79</v>
      </c>
      <c r="D111" s="8">
        <f t="shared" si="2"/>
        <v>3895.1899999999996</v>
      </c>
      <c r="E111" s="9"/>
      <c r="F111" s="6"/>
      <c r="G111" s="6"/>
      <c r="H111" s="54"/>
      <c r="I111" s="8">
        <f t="shared" si="3"/>
        <v>161202.60299999989</v>
      </c>
    </row>
    <row r="112" spans="1:9" x14ac:dyDescent="0.25">
      <c r="A112" s="11">
        <v>45701</v>
      </c>
      <c r="B112" s="7">
        <v>366</v>
      </c>
      <c r="C112" s="8">
        <v>10.79</v>
      </c>
      <c r="D112" s="8">
        <f t="shared" si="2"/>
        <v>3949.14</v>
      </c>
      <c r="E112" s="9"/>
      <c r="F112" s="6"/>
      <c r="G112" s="6"/>
      <c r="H112" s="54"/>
      <c r="I112" s="8">
        <f t="shared" si="3"/>
        <v>165151.7429999999</v>
      </c>
    </row>
    <row r="113" spans="1:9" x14ac:dyDescent="0.25">
      <c r="A113" s="11">
        <v>45702</v>
      </c>
      <c r="B113" s="7">
        <v>299</v>
      </c>
      <c r="C113" s="8">
        <v>10.79</v>
      </c>
      <c r="D113" s="8">
        <f t="shared" si="2"/>
        <v>3226.2099999999996</v>
      </c>
      <c r="E113" s="9"/>
      <c r="F113" s="6"/>
      <c r="G113" s="6"/>
      <c r="H113" s="54"/>
      <c r="I113" s="8">
        <f t="shared" si="3"/>
        <v>168377.95299999989</v>
      </c>
    </row>
    <row r="114" spans="1:9" x14ac:dyDescent="0.25">
      <c r="A114" s="11">
        <v>45705</v>
      </c>
      <c r="B114" s="7">
        <v>394</v>
      </c>
      <c r="C114" s="8">
        <v>10.79</v>
      </c>
      <c r="D114" s="8">
        <f t="shared" si="2"/>
        <v>4251.2599999999993</v>
      </c>
      <c r="E114" s="9"/>
      <c r="F114" s="6"/>
      <c r="G114" s="6"/>
      <c r="H114" s="54"/>
      <c r="I114" s="8">
        <f t="shared" si="3"/>
        <v>172629.2129999999</v>
      </c>
    </row>
    <row r="115" spans="1:9" x14ac:dyDescent="0.25">
      <c r="A115" s="11">
        <v>45706</v>
      </c>
      <c r="B115" s="7">
        <v>330</v>
      </c>
      <c r="C115" s="8">
        <v>10.79</v>
      </c>
      <c r="D115" s="8">
        <f t="shared" si="2"/>
        <v>3560.7</v>
      </c>
      <c r="E115" s="9"/>
      <c r="F115" s="6"/>
      <c r="G115" s="6"/>
      <c r="H115" s="54"/>
      <c r="I115" s="8">
        <f t="shared" si="3"/>
        <v>176189.91299999991</v>
      </c>
    </row>
    <row r="116" spans="1:9" x14ac:dyDescent="0.25">
      <c r="A116" s="11">
        <v>45707</v>
      </c>
      <c r="B116" s="7">
        <v>355</v>
      </c>
      <c r="C116" s="8">
        <v>10.79</v>
      </c>
      <c r="D116" s="8">
        <f t="shared" si="2"/>
        <v>3830.45</v>
      </c>
      <c r="E116" s="9"/>
      <c r="F116" s="6"/>
      <c r="G116" s="6"/>
      <c r="H116" s="54"/>
      <c r="I116" s="8">
        <f t="shared" si="3"/>
        <v>180020.36299999992</v>
      </c>
    </row>
    <row r="117" spans="1:9" x14ac:dyDescent="0.25">
      <c r="A117" s="11">
        <v>45708</v>
      </c>
      <c r="B117" s="7">
        <v>314</v>
      </c>
      <c r="C117" s="8">
        <v>10.79</v>
      </c>
      <c r="D117" s="8">
        <f t="shared" si="2"/>
        <v>3388.06</v>
      </c>
      <c r="E117" s="9"/>
      <c r="F117" s="6"/>
      <c r="G117" s="6"/>
      <c r="H117" s="54"/>
      <c r="I117" s="8">
        <f t="shared" si="3"/>
        <v>183408.42299999992</v>
      </c>
    </row>
    <row r="118" spans="1:9" x14ac:dyDescent="0.25">
      <c r="A118" s="11">
        <v>45709</v>
      </c>
      <c r="B118" s="7">
        <v>289</v>
      </c>
      <c r="C118" s="8">
        <v>10.79</v>
      </c>
      <c r="D118" s="8">
        <f t="shared" si="2"/>
        <v>3118.31</v>
      </c>
      <c r="E118" s="9"/>
      <c r="F118" s="6"/>
      <c r="G118" s="6"/>
      <c r="H118" s="54"/>
      <c r="I118" s="8">
        <f t="shared" si="3"/>
        <v>186526.73299999992</v>
      </c>
    </row>
    <row r="119" spans="1:9" x14ac:dyDescent="0.25">
      <c r="A119" s="11">
        <v>45712</v>
      </c>
      <c r="B119" s="7">
        <v>403</v>
      </c>
      <c r="C119" s="8">
        <v>10.79</v>
      </c>
      <c r="D119" s="8">
        <f t="shared" si="2"/>
        <v>4348.37</v>
      </c>
      <c r="E119" s="9"/>
      <c r="F119" s="6"/>
      <c r="G119" s="6"/>
      <c r="H119" s="54"/>
      <c r="I119" s="8">
        <f t="shared" si="3"/>
        <v>190875.10299999992</v>
      </c>
    </row>
    <row r="120" spans="1:9" x14ac:dyDescent="0.25">
      <c r="A120" s="11">
        <v>45713</v>
      </c>
      <c r="B120" s="7">
        <v>568</v>
      </c>
      <c r="C120" s="8">
        <v>10.79</v>
      </c>
      <c r="D120" s="8">
        <f t="shared" si="2"/>
        <v>6128.7199999999993</v>
      </c>
      <c r="E120" s="9"/>
      <c r="F120" s="6"/>
      <c r="G120" s="6"/>
      <c r="H120" s="54"/>
      <c r="I120" s="8">
        <f t="shared" si="3"/>
        <v>197003.82299999992</v>
      </c>
    </row>
    <row r="121" spans="1:9" x14ac:dyDescent="0.25">
      <c r="A121" s="11">
        <v>45714</v>
      </c>
      <c r="B121" s="7">
        <v>221</v>
      </c>
      <c r="C121" s="8">
        <v>10.79</v>
      </c>
      <c r="D121" s="8">
        <f t="shared" si="2"/>
        <v>2384.5899999999997</v>
      </c>
      <c r="E121" s="9"/>
      <c r="F121" s="6"/>
      <c r="G121" s="6"/>
      <c r="H121" s="54"/>
      <c r="I121" s="8">
        <f t="shared" si="3"/>
        <v>199388.41299999991</v>
      </c>
    </row>
    <row r="122" spans="1:9" x14ac:dyDescent="0.25">
      <c r="A122" s="11">
        <v>45715</v>
      </c>
      <c r="B122" s="7">
        <v>494</v>
      </c>
      <c r="C122" s="8">
        <v>10.79</v>
      </c>
      <c r="D122" s="8">
        <f t="shared" si="2"/>
        <v>5330.2599999999993</v>
      </c>
      <c r="E122" s="9"/>
      <c r="F122" s="6"/>
      <c r="G122" s="6"/>
      <c r="H122" s="54"/>
      <c r="I122" s="8">
        <f t="shared" si="3"/>
        <v>204718.67299999992</v>
      </c>
    </row>
    <row r="123" spans="1:9" x14ac:dyDescent="0.25">
      <c r="A123" s="11">
        <v>45716</v>
      </c>
      <c r="B123" s="7">
        <v>621</v>
      </c>
      <c r="C123" s="8">
        <v>10.79</v>
      </c>
      <c r="D123" s="8">
        <f t="shared" si="2"/>
        <v>6700.5899999999992</v>
      </c>
      <c r="E123" s="9"/>
      <c r="F123" s="6"/>
      <c r="G123" s="6"/>
      <c r="H123" s="54"/>
      <c r="I123" s="8">
        <f t="shared" si="3"/>
        <v>211419.26299999992</v>
      </c>
    </row>
    <row r="124" spans="1:9" ht="16.5" thickBot="1" x14ac:dyDescent="0.3">
      <c r="A124" s="66" t="s">
        <v>12</v>
      </c>
      <c r="B124" s="67"/>
      <c r="C124" s="68"/>
      <c r="D124" s="68">
        <f t="shared" si="2"/>
        <v>0</v>
      </c>
      <c r="E124" s="69">
        <f>SUM(B104:B123)</f>
        <v>7169</v>
      </c>
      <c r="F124" s="70"/>
      <c r="G124" s="70"/>
      <c r="H124" s="71"/>
      <c r="I124" s="72">
        <f t="shared" si="3"/>
        <v>211419.26299999992</v>
      </c>
    </row>
    <row r="125" spans="1:9" x14ac:dyDescent="0.25">
      <c r="A125" s="20">
        <v>45719</v>
      </c>
      <c r="B125" s="21">
        <v>447</v>
      </c>
      <c r="C125" s="22">
        <v>10.79</v>
      </c>
      <c r="D125" s="23">
        <f t="shared" si="2"/>
        <v>4823.1299999999992</v>
      </c>
      <c r="E125" s="19"/>
      <c r="F125" s="6"/>
      <c r="G125" s="6"/>
      <c r="H125" s="54"/>
      <c r="I125" s="8">
        <f t="shared" si="3"/>
        <v>216242.39299999992</v>
      </c>
    </row>
    <row r="126" spans="1:9" x14ac:dyDescent="0.25">
      <c r="A126" s="24">
        <v>45720</v>
      </c>
      <c r="B126" s="7">
        <v>406</v>
      </c>
      <c r="C126" s="8">
        <v>10.79</v>
      </c>
      <c r="D126" s="25">
        <f t="shared" si="2"/>
        <v>4380.74</v>
      </c>
      <c r="E126" s="19"/>
      <c r="F126" s="6"/>
      <c r="G126" s="6"/>
      <c r="H126" s="54"/>
      <c r="I126" s="8">
        <f t="shared" si="3"/>
        <v>220623.13299999991</v>
      </c>
    </row>
    <row r="127" spans="1:9" x14ac:dyDescent="0.25">
      <c r="A127" s="24">
        <v>45721</v>
      </c>
      <c r="B127" s="7">
        <v>471</v>
      </c>
      <c r="C127" s="8">
        <v>10.79</v>
      </c>
      <c r="D127" s="25">
        <f t="shared" si="2"/>
        <v>5082.0899999999992</v>
      </c>
      <c r="E127" s="19"/>
      <c r="F127" s="6"/>
      <c r="G127" s="6"/>
      <c r="H127" s="54"/>
      <c r="I127" s="8">
        <f t="shared" si="3"/>
        <v>225705.22299999991</v>
      </c>
    </row>
    <row r="128" spans="1:9" x14ac:dyDescent="0.25">
      <c r="A128" s="24">
        <v>45722</v>
      </c>
      <c r="B128" s="7">
        <v>333</v>
      </c>
      <c r="C128" s="8">
        <v>10.79</v>
      </c>
      <c r="D128" s="25">
        <f t="shared" si="2"/>
        <v>3593.0699999999997</v>
      </c>
      <c r="E128" s="19"/>
      <c r="F128" s="6"/>
      <c r="G128" s="6"/>
      <c r="H128" s="54"/>
      <c r="I128" s="8">
        <f t="shared" si="3"/>
        <v>229298.29299999992</v>
      </c>
    </row>
    <row r="129" spans="1:12" ht="16.5" thickBot="1" x14ac:dyDescent="0.3">
      <c r="A129" s="26">
        <v>45723</v>
      </c>
      <c r="B129" s="27">
        <v>235</v>
      </c>
      <c r="C129" s="28">
        <v>10.79</v>
      </c>
      <c r="D129" s="29">
        <f t="shared" si="2"/>
        <v>2535.6499999999996</v>
      </c>
      <c r="E129" s="19"/>
      <c r="F129" s="6"/>
      <c r="G129" s="6"/>
      <c r="H129" s="54"/>
      <c r="I129" s="8">
        <f t="shared" si="3"/>
        <v>231833.94299999991</v>
      </c>
    </row>
    <row r="130" spans="1:12" x14ac:dyDescent="0.25">
      <c r="A130" s="20">
        <v>45726</v>
      </c>
      <c r="B130" s="21">
        <v>403</v>
      </c>
      <c r="C130" s="22">
        <v>10.79</v>
      </c>
      <c r="D130" s="23">
        <f t="shared" si="2"/>
        <v>4348.37</v>
      </c>
      <c r="E130" s="19"/>
      <c r="F130" s="6"/>
      <c r="G130" s="6"/>
      <c r="H130" s="54"/>
      <c r="I130" s="8">
        <f t="shared" si="3"/>
        <v>236182.31299999991</v>
      </c>
    </row>
    <row r="131" spans="1:12" x14ac:dyDescent="0.25">
      <c r="A131" s="24">
        <v>45727</v>
      </c>
      <c r="B131" s="7">
        <v>410</v>
      </c>
      <c r="C131" s="8">
        <v>10.79</v>
      </c>
      <c r="D131" s="25">
        <f t="shared" si="2"/>
        <v>4423.8999999999996</v>
      </c>
      <c r="E131" s="19"/>
      <c r="F131" s="6"/>
      <c r="G131" s="6"/>
      <c r="H131" s="54"/>
      <c r="I131" s="8">
        <f t="shared" si="3"/>
        <v>240606.2129999999</v>
      </c>
    </row>
    <row r="132" spans="1:12" x14ac:dyDescent="0.25">
      <c r="A132" s="24">
        <v>45728</v>
      </c>
      <c r="B132" s="7">
        <v>412</v>
      </c>
      <c r="C132" s="8">
        <v>10.79</v>
      </c>
      <c r="D132" s="25">
        <f t="shared" si="2"/>
        <v>4445.4799999999996</v>
      </c>
      <c r="E132" s="19"/>
      <c r="F132" s="11">
        <v>45728</v>
      </c>
      <c r="G132" s="6" t="s">
        <v>8</v>
      </c>
      <c r="H132" s="54">
        <v>39907.160000000003</v>
      </c>
      <c r="I132" s="8">
        <f t="shared" si="3"/>
        <v>205144.53299999991</v>
      </c>
      <c r="J132" s="10" t="s">
        <v>13</v>
      </c>
    </row>
    <row r="133" spans="1:12" x14ac:dyDescent="0.25">
      <c r="A133" s="24">
        <v>45729</v>
      </c>
      <c r="B133" s="7">
        <v>439</v>
      </c>
      <c r="C133" s="8">
        <v>10.79</v>
      </c>
      <c r="D133" s="25">
        <f t="shared" si="2"/>
        <v>4736.8099999999995</v>
      </c>
      <c r="E133" s="19"/>
      <c r="F133" s="6"/>
      <c r="G133" s="6"/>
      <c r="H133" s="54"/>
      <c r="I133" s="8">
        <f t="shared" si="3"/>
        <v>209881.34299999991</v>
      </c>
    </row>
    <row r="134" spans="1:12" ht="16.5" thickBot="1" x14ac:dyDescent="0.3">
      <c r="A134" s="26">
        <v>45730</v>
      </c>
      <c r="B134" s="27">
        <v>427</v>
      </c>
      <c r="C134" s="28">
        <v>10.79</v>
      </c>
      <c r="D134" s="29">
        <f t="shared" si="2"/>
        <v>4607.33</v>
      </c>
      <c r="E134" s="19"/>
      <c r="F134" s="6"/>
      <c r="G134" s="6"/>
      <c r="H134" s="54"/>
      <c r="I134" s="8">
        <f t="shared" si="3"/>
        <v>214488.67299999989</v>
      </c>
    </row>
    <row r="135" spans="1:12" ht="16.5" thickBot="1" x14ac:dyDescent="0.3">
      <c r="A135" s="20">
        <v>45733</v>
      </c>
      <c r="B135" s="21">
        <v>1063</v>
      </c>
      <c r="C135" s="22">
        <v>10.79</v>
      </c>
      <c r="D135" s="23">
        <f t="shared" si="2"/>
        <v>11469.769999999999</v>
      </c>
      <c r="E135" s="19"/>
      <c r="F135" s="6"/>
      <c r="G135" s="6"/>
      <c r="H135" s="54">
        <v>78200</v>
      </c>
      <c r="I135" s="8">
        <f t="shared" si="3"/>
        <v>147758.44299999988</v>
      </c>
      <c r="J135" s="10" t="s">
        <v>15</v>
      </c>
    </row>
    <row r="136" spans="1:12" x14ac:dyDescent="0.25">
      <c r="A136" s="24">
        <v>45734</v>
      </c>
      <c r="B136" s="7">
        <v>369</v>
      </c>
      <c r="C136" s="8">
        <v>10.79</v>
      </c>
      <c r="D136" s="25">
        <f t="shared" si="2"/>
        <v>3981.5099999999998</v>
      </c>
      <c r="E136" s="19"/>
      <c r="F136" s="6"/>
      <c r="G136" s="6"/>
      <c r="H136" s="54"/>
      <c r="I136" s="8">
        <f t="shared" si="3"/>
        <v>151739.95299999989</v>
      </c>
      <c r="K136" s="10" t="s">
        <v>17</v>
      </c>
      <c r="L136" s="48">
        <v>28232.58</v>
      </c>
    </row>
    <row r="137" spans="1:12" x14ac:dyDescent="0.25">
      <c r="A137" s="24">
        <v>45735</v>
      </c>
      <c r="B137" s="7">
        <v>568</v>
      </c>
      <c r="C137" s="8">
        <v>10.79</v>
      </c>
      <c r="D137" s="25">
        <f t="shared" si="2"/>
        <v>6128.7199999999993</v>
      </c>
      <c r="E137" s="19"/>
      <c r="F137" s="6"/>
      <c r="G137" s="6"/>
      <c r="H137" s="54"/>
      <c r="I137" s="8">
        <f t="shared" si="3"/>
        <v>157868.67299999989</v>
      </c>
      <c r="K137" s="10" t="s">
        <v>14</v>
      </c>
      <c r="L137" s="49">
        <v>29405.49</v>
      </c>
    </row>
    <row r="138" spans="1:12" ht="16.5" thickBot="1" x14ac:dyDescent="0.3">
      <c r="A138" s="24">
        <v>45736</v>
      </c>
      <c r="B138" s="7">
        <v>388</v>
      </c>
      <c r="C138" s="8">
        <v>10.79</v>
      </c>
      <c r="D138" s="25">
        <f t="shared" si="2"/>
        <v>4186.5199999999995</v>
      </c>
      <c r="E138" s="19"/>
      <c r="F138" s="6"/>
      <c r="G138" s="6"/>
      <c r="H138" s="54"/>
      <c r="I138" s="8">
        <f t="shared" si="3"/>
        <v>162055.19299999988</v>
      </c>
      <c r="K138" s="10" t="s">
        <v>12</v>
      </c>
      <c r="L138" s="50">
        <v>23620.6</v>
      </c>
    </row>
    <row r="139" spans="1:12" ht="16.5" thickBot="1" x14ac:dyDescent="0.3">
      <c r="A139" s="26">
        <v>45737</v>
      </c>
      <c r="B139" s="27">
        <v>431</v>
      </c>
      <c r="C139" s="28">
        <v>10.79</v>
      </c>
      <c r="D139" s="29">
        <f t="shared" si="2"/>
        <v>4650.49</v>
      </c>
      <c r="E139" s="19"/>
      <c r="F139" s="6"/>
      <c r="G139" s="6"/>
      <c r="H139" s="54"/>
      <c r="I139" s="8">
        <f t="shared" si="3"/>
        <v>166705.68299999987</v>
      </c>
      <c r="K139" s="52">
        <v>45770</v>
      </c>
      <c r="L139" s="48">
        <v>22474.243333333299</v>
      </c>
    </row>
    <row r="140" spans="1:12" x14ac:dyDescent="0.25">
      <c r="A140" s="35">
        <v>45740</v>
      </c>
      <c r="B140" s="36">
        <v>922</v>
      </c>
      <c r="C140" s="22">
        <v>10.79</v>
      </c>
      <c r="D140" s="23">
        <f t="shared" si="2"/>
        <v>9948.3799999999992</v>
      </c>
      <c r="E140" s="19"/>
      <c r="F140" s="6"/>
      <c r="G140" s="6"/>
      <c r="H140" s="54"/>
      <c r="I140" s="8">
        <f t="shared" si="3"/>
        <v>176654.06299999988</v>
      </c>
      <c r="K140" s="10" t="s">
        <v>22</v>
      </c>
      <c r="L140" s="49">
        <v>20168.253333333301</v>
      </c>
    </row>
    <row r="141" spans="1:12" ht="16.5" thickBot="1" x14ac:dyDescent="0.3">
      <c r="A141" s="24">
        <v>45741</v>
      </c>
      <c r="B141" s="7">
        <v>356</v>
      </c>
      <c r="C141" s="8">
        <v>10.79</v>
      </c>
      <c r="D141" s="25">
        <f t="shared" si="2"/>
        <v>3841.24</v>
      </c>
      <c r="E141" s="19"/>
      <c r="F141" s="6"/>
      <c r="G141" s="6"/>
      <c r="H141" s="54"/>
      <c r="I141" s="8">
        <f t="shared" si="3"/>
        <v>180495.30299999987</v>
      </c>
      <c r="L141" s="50">
        <v>17862.2633333333</v>
      </c>
    </row>
    <row r="142" spans="1:12" x14ac:dyDescent="0.25">
      <c r="A142" s="24">
        <v>45742</v>
      </c>
      <c r="B142" s="7">
        <v>415</v>
      </c>
      <c r="C142" s="8">
        <v>10.79</v>
      </c>
      <c r="D142" s="25">
        <f t="shared" si="2"/>
        <v>4477.8499999999995</v>
      </c>
      <c r="E142" s="19"/>
      <c r="F142" s="6"/>
      <c r="G142" s="6"/>
      <c r="H142" s="54"/>
      <c r="I142" s="8">
        <f t="shared" si="3"/>
        <v>184973.15299999987</v>
      </c>
      <c r="L142" s="48">
        <v>15556.2733333333</v>
      </c>
    </row>
    <row r="143" spans="1:12" x14ac:dyDescent="0.25">
      <c r="A143" s="24">
        <v>45743</v>
      </c>
      <c r="B143" s="7">
        <v>262</v>
      </c>
      <c r="C143" s="8">
        <v>10.79</v>
      </c>
      <c r="D143" s="25">
        <f t="shared" si="2"/>
        <v>2826.9799999999996</v>
      </c>
      <c r="E143" s="19"/>
      <c r="F143" s="6"/>
      <c r="G143" s="6"/>
      <c r="H143" s="54"/>
      <c r="I143" s="8">
        <f t="shared" si="3"/>
        <v>187800.13299999989</v>
      </c>
      <c r="L143" s="49">
        <v>13250.2833333333</v>
      </c>
    </row>
    <row r="144" spans="1:12" ht="16.5" thickBot="1" x14ac:dyDescent="0.3">
      <c r="A144" s="24">
        <v>45744</v>
      </c>
      <c r="B144" s="7">
        <v>260</v>
      </c>
      <c r="C144" s="8">
        <v>10.79</v>
      </c>
      <c r="D144" s="25">
        <f t="shared" si="2"/>
        <v>2805.3999999999996</v>
      </c>
      <c r="E144" s="19"/>
      <c r="F144" s="6"/>
      <c r="G144" s="6"/>
      <c r="H144" s="54"/>
      <c r="I144" s="8">
        <f t="shared" si="3"/>
        <v>190605.53299999988</v>
      </c>
      <c r="L144" s="50">
        <v>10944.2933333333</v>
      </c>
    </row>
    <row r="145" spans="1:15" ht="16.5" thickBot="1" x14ac:dyDescent="0.3">
      <c r="A145" s="37">
        <v>45747</v>
      </c>
      <c r="B145" s="38">
        <v>763</v>
      </c>
      <c r="C145" s="39">
        <v>10.79</v>
      </c>
      <c r="D145" s="40">
        <f t="shared" si="2"/>
        <v>8232.7699999999986</v>
      </c>
      <c r="E145" s="41"/>
      <c r="F145" s="42"/>
      <c r="G145" s="42"/>
      <c r="H145" s="55"/>
      <c r="I145" s="39">
        <f>I144+D145-H145</f>
        <v>198838.30299999987</v>
      </c>
      <c r="L145" s="48">
        <v>8638.3033333333406</v>
      </c>
    </row>
    <row r="146" spans="1:15" ht="16.5" thickBot="1" x14ac:dyDescent="0.3">
      <c r="A146" s="59" t="s">
        <v>21</v>
      </c>
      <c r="B146" s="60"/>
      <c r="C146" s="61"/>
      <c r="D146" s="80"/>
      <c r="E146" s="58">
        <f>SUM(B125:B145)</f>
        <v>9780</v>
      </c>
      <c r="F146" s="45"/>
      <c r="G146" s="45"/>
      <c r="H146" s="56"/>
      <c r="I146" s="47">
        <f t="shared" si="3"/>
        <v>198838.30299999987</v>
      </c>
      <c r="J146" s="79"/>
      <c r="L146" s="54">
        <f>J158*K158</f>
        <v>0</v>
      </c>
    </row>
    <row r="147" spans="1:15" x14ac:dyDescent="0.25">
      <c r="A147" s="32"/>
      <c r="B147" s="33"/>
      <c r="C147" s="34"/>
      <c r="D147" s="34">
        <f t="shared" si="2"/>
        <v>0</v>
      </c>
      <c r="E147" s="43"/>
      <c r="F147" s="32">
        <v>45769</v>
      </c>
      <c r="G147" s="44" t="s">
        <v>18</v>
      </c>
      <c r="H147" s="57">
        <v>100000</v>
      </c>
      <c r="I147" s="8">
        <f t="shared" si="3"/>
        <v>98838.302999999869</v>
      </c>
      <c r="L147" s="54">
        <f>J159*K159</f>
        <v>788.79449999999997</v>
      </c>
    </row>
    <row r="148" spans="1:15" x14ac:dyDescent="0.25">
      <c r="A148" s="32"/>
      <c r="B148" s="33"/>
      <c r="C148" s="34"/>
      <c r="D148" s="34">
        <f t="shared" si="2"/>
        <v>0</v>
      </c>
      <c r="E148" s="9"/>
      <c r="F148" s="32">
        <v>45770</v>
      </c>
      <c r="G148" s="44" t="s">
        <v>18</v>
      </c>
      <c r="H148" s="54">
        <v>318741.33</v>
      </c>
      <c r="I148" s="8">
        <f t="shared" si="3"/>
        <v>-219903.02700000015</v>
      </c>
      <c r="L148" s="54">
        <f>J160*K160</f>
        <v>0</v>
      </c>
    </row>
    <row r="149" spans="1:15" x14ac:dyDescent="0.25">
      <c r="A149" s="32"/>
      <c r="B149" s="33"/>
      <c r="C149" s="34"/>
      <c r="D149" s="34">
        <f t="shared" si="2"/>
        <v>0</v>
      </c>
      <c r="E149" s="9"/>
      <c r="F149" s="46" t="s">
        <v>19</v>
      </c>
      <c r="G149" s="6"/>
      <c r="H149" s="54">
        <v>-57033</v>
      </c>
      <c r="I149" s="8">
        <f t="shared" si="3"/>
        <v>-162870.02700000015</v>
      </c>
      <c r="L149" s="54">
        <f>J161*K161</f>
        <v>0</v>
      </c>
    </row>
    <row r="150" spans="1:15" x14ac:dyDescent="0.25">
      <c r="A150" s="32"/>
      <c r="B150" s="33"/>
      <c r="C150" s="34"/>
      <c r="D150" s="34">
        <f t="shared" si="2"/>
        <v>0</v>
      </c>
      <c r="E150" s="9"/>
      <c r="F150" s="46" t="s">
        <v>20</v>
      </c>
      <c r="G150" s="6"/>
      <c r="H150" s="54">
        <v>-1080</v>
      </c>
      <c r="I150" s="8">
        <f t="shared" si="3"/>
        <v>-161790.02700000015</v>
      </c>
      <c r="L150" s="54">
        <f t="shared" ref="L150:L155" si="4">J162*K162</f>
        <v>0</v>
      </c>
    </row>
    <row r="151" spans="1:15" x14ac:dyDescent="0.25">
      <c r="A151" s="11" t="s">
        <v>33</v>
      </c>
      <c r="B151" s="7">
        <v>1576</v>
      </c>
      <c r="C151" s="8">
        <v>10.79</v>
      </c>
      <c r="D151" s="34">
        <f t="shared" si="2"/>
        <v>17005.039999999997</v>
      </c>
      <c r="E151" s="9"/>
      <c r="F151" s="6"/>
      <c r="G151" s="6"/>
      <c r="H151" s="54"/>
      <c r="I151" s="8">
        <f t="shared" si="3"/>
        <v>-144784.98700000014</v>
      </c>
      <c r="L151" s="54">
        <f t="shared" si="4"/>
        <v>0</v>
      </c>
    </row>
    <row r="152" spans="1:15" x14ac:dyDescent="0.25">
      <c r="A152" s="11">
        <v>45776</v>
      </c>
      <c r="B152" s="7">
        <v>290</v>
      </c>
      <c r="C152" s="8">
        <v>10.79</v>
      </c>
      <c r="D152" s="8">
        <f t="shared" si="2"/>
        <v>3129.1</v>
      </c>
      <c r="E152" s="9"/>
      <c r="F152" s="6"/>
      <c r="G152" s="6"/>
      <c r="H152" s="54"/>
      <c r="I152" s="8">
        <f t="shared" si="3"/>
        <v>-141655.88700000013</v>
      </c>
      <c r="L152" s="54">
        <f t="shared" si="4"/>
        <v>0</v>
      </c>
    </row>
    <row r="153" spans="1:15" x14ac:dyDescent="0.25">
      <c r="A153" s="11">
        <v>45777</v>
      </c>
      <c r="B153" s="7">
        <v>382</v>
      </c>
      <c r="C153" s="8">
        <v>10.79</v>
      </c>
      <c r="D153" s="8">
        <f t="shared" si="2"/>
        <v>4121.78</v>
      </c>
      <c r="E153" s="9"/>
      <c r="F153" s="6"/>
      <c r="G153" s="6"/>
      <c r="H153" s="54"/>
      <c r="I153" s="8">
        <f t="shared" si="3"/>
        <v>-137534.10700000013</v>
      </c>
      <c r="L153" s="54">
        <f t="shared" si="4"/>
        <v>0</v>
      </c>
    </row>
    <row r="154" spans="1:15" ht="16.5" thickBot="1" x14ac:dyDescent="0.3">
      <c r="A154" s="65"/>
      <c r="B154" s="83"/>
      <c r="C154" s="84"/>
      <c r="D154" s="85">
        <f t="shared" si="2"/>
        <v>0</v>
      </c>
      <c r="E154" s="63">
        <f>SUM(B151:B153)</f>
        <v>2248</v>
      </c>
      <c r="F154" s="62"/>
      <c r="G154" s="62"/>
      <c r="H154" s="64"/>
      <c r="I154" s="28">
        <f>I153+D154-H154</f>
        <v>-137534.10700000013</v>
      </c>
      <c r="L154" s="54">
        <f t="shared" si="4"/>
        <v>0</v>
      </c>
    </row>
    <row r="155" spans="1:15" x14ac:dyDescent="0.25">
      <c r="A155" s="10" t="s">
        <v>24</v>
      </c>
      <c r="B155" s="33">
        <v>1705</v>
      </c>
      <c r="C155" s="34">
        <v>10.79</v>
      </c>
      <c r="D155" s="34">
        <f>B155*C155</f>
        <v>18396.949999999997</v>
      </c>
      <c r="E155" s="43"/>
      <c r="F155" s="44"/>
      <c r="G155" s="44"/>
      <c r="H155" s="57"/>
      <c r="I155" s="81">
        <f t="shared" ref="I155:I177" si="5">I154+D155-H155</f>
        <v>-119137.15700000014</v>
      </c>
      <c r="J155" s="82">
        <v>16.833600000000001</v>
      </c>
      <c r="K155" s="6">
        <v>7.5</v>
      </c>
      <c r="L155" s="54">
        <f t="shared" si="4"/>
        <v>0</v>
      </c>
      <c r="M155" s="6"/>
      <c r="N155" s="6"/>
      <c r="O155" s="6"/>
    </row>
    <row r="156" spans="1:15" x14ac:dyDescent="0.25">
      <c r="A156" s="6" t="s">
        <v>26</v>
      </c>
      <c r="B156" s="7">
        <v>108</v>
      </c>
      <c r="C156" s="34">
        <v>10.79</v>
      </c>
      <c r="D156" s="34">
        <f t="shared" ref="D156:D176" si="6">B156*C156</f>
        <v>1165.32</v>
      </c>
      <c r="E156" s="9"/>
      <c r="F156" s="6"/>
      <c r="G156" s="6"/>
      <c r="H156" s="54"/>
      <c r="I156" s="8">
        <f t="shared" si="5"/>
        <v>-117971.83700000013</v>
      </c>
      <c r="J156" s="6"/>
      <c r="K156" s="6"/>
      <c r="L156" s="54">
        <f t="shared" ref="L156:L162" si="7">J156*K156</f>
        <v>0</v>
      </c>
      <c r="M156" s="6"/>
      <c r="N156" s="6"/>
      <c r="O156" s="6"/>
    </row>
    <row r="157" spans="1:15" x14ac:dyDescent="0.25">
      <c r="A157" s="6" t="s">
        <v>27</v>
      </c>
      <c r="B157" s="7">
        <v>364</v>
      </c>
      <c r="C157" s="34">
        <v>10.79</v>
      </c>
      <c r="D157" s="34">
        <f>B157*C157</f>
        <v>3927.5599999999995</v>
      </c>
      <c r="E157" s="9"/>
      <c r="F157" s="6"/>
      <c r="G157" s="6"/>
      <c r="H157" s="54"/>
      <c r="I157" s="8">
        <f t="shared" si="5"/>
        <v>-114044.27700000013</v>
      </c>
      <c r="J157" s="6"/>
      <c r="K157" s="6"/>
      <c r="L157" s="54">
        <f t="shared" si="7"/>
        <v>0</v>
      </c>
      <c r="M157" s="6"/>
      <c r="N157" s="6"/>
      <c r="O157" s="6"/>
    </row>
    <row r="158" spans="1:15" x14ac:dyDescent="0.25">
      <c r="A158" s="6" t="s">
        <v>28</v>
      </c>
      <c r="B158" s="7">
        <v>364</v>
      </c>
      <c r="C158" s="34">
        <v>10.79</v>
      </c>
      <c r="D158" s="34">
        <f>B158*C158</f>
        <v>3927.5599999999995</v>
      </c>
      <c r="E158" s="9"/>
      <c r="F158" s="6"/>
      <c r="G158" s="6"/>
      <c r="H158" s="54"/>
      <c r="I158" s="8">
        <f t="shared" si="5"/>
        <v>-110116.71700000014</v>
      </c>
      <c r="J158" s="6"/>
      <c r="K158" s="6"/>
      <c r="M158" s="6"/>
      <c r="N158" s="6"/>
      <c r="O158" s="6"/>
    </row>
    <row r="159" spans="1:15" x14ac:dyDescent="0.25">
      <c r="A159" s="6" t="s">
        <v>31</v>
      </c>
      <c r="B159" s="7">
        <v>730</v>
      </c>
      <c r="C159" s="34">
        <v>10.79</v>
      </c>
      <c r="D159" s="34">
        <f t="shared" si="6"/>
        <v>7876.7</v>
      </c>
      <c r="E159" s="9"/>
      <c r="F159" s="6"/>
      <c r="G159" s="6"/>
      <c r="H159" s="54"/>
      <c r="I159" s="8">
        <f t="shared" si="5"/>
        <v>-102240.01700000014</v>
      </c>
      <c r="J159" s="6">
        <v>105.1726</v>
      </c>
      <c r="K159" s="6">
        <v>7.5</v>
      </c>
      <c r="M159" s="6"/>
      <c r="N159" s="6"/>
      <c r="O159" s="6"/>
    </row>
    <row r="160" spans="1:15" x14ac:dyDescent="0.25">
      <c r="A160" s="11" t="s">
        <v>25</v>
      </c>
      <c r="B160" s="7">
        <v>539</v>
      </c>
      <c r="C160" s="34">
        <v>10.79</v>
      </c>
      <c r="D160" s="34">
        <f t="shared" si="6"/>
        <v>5815.8099999999995</v>
      </c>
      <c r="E160" s="9"/>
      <c r="F160" s="6"/>
      <c r="G160" s="6"/>
      <c r="H160" s="54"/>
      <c r="I160" s="8">
        <f t="shared" si="5"/>
        <v>-96424.20700000014</v>
      </c>
      <c r="J160" s="6"/>
      <c r="K160" s="6"/>
      <c r="M160" s="6"/>
      <c r="N160" s="6"/>
      <c r="O160" s="6"/>
    </row>
    <row r="161" spans="1:15" x14ac:dyDescent="0.25">
      <c r="A161" s="6" t="s">
        <v>32</v>
      </c>
      <c r="B161" s="7">
        <v>261</v>
      </c>
      <c r="C161" s="34">
        <v>10.79</v>
      </c>
      <c r="D161" s="34">
        <f t="shared" si="6"/>
        <v>2816.1899999999996</v>
      </c>
      <c r="E161" s="9"/>
      <c r="F161" s="6"/>
      <c r="G161" s="6"/>
      <c r="H161" s="54"/>
      <c r="I161" s="8">
        <f t="shared" si="5"/>
        <v>-93608.017000000138</v>
      </c>
      <c r="J161" s="6"/>
      <c r="K161" s="6"/>
      <c r="M161" s="6"/>
      <c r="N161" s="6"/>
      <c r="O161" s="6"/>
    </row>
    <row r="162" spans="1:15" x14ac:dyDescent="0.25">
      <c r="A162" s="44" t="s">
        <v>29</v>
      </c>
      <c r="B162" s="33">
        <v>390</v>
      </c>
      <c r="C162" s="34">
        <v>10.79</v>
      </c>
      <c r="D162" s="34">
        <f t="shared" si="6"/>
        <v>4208.0999999999995</v>
      </c>
      <c r="E162" s="43"/>
      <c r="F162" s="44"/>
      <c r="G162" s="44"/>
      <c r="H162" s="57"/>
      <c r="I162" s="8">
        <f t="shared" si="5"/>
        <v>-89399.917000000132</v>
      </c>
      <c r="J162" s="6"/>
      <c r="K162" s="6"/>
      <c r="L162" s="54">
        <f t="shared" si="7"/>
        <v>0</v>
      </c>
      <c r="M162" s="6"/>
      <c r="N162" s="6"/>
      <c r="O162" s="6"/>
    </row>
    <row r="163" spans="1:15" x14ac:dyDescent="0.25">
      <c r="A163" s="6" t="s">
        <v>30</v>
      </c>
      <c r="B163" s="7">
        <v>308</v>
      </c>
      <c r="C163" s="8">
        <v>10.79</v>
      </c>
      <c r="D163" s="8">
        <f t="shared" si="6"/>
        <v>3323.3199999999997</v>
      </c>
      <c r="E163" s="9"/>
      <c r="F163" s="6"/>
      <c r="G163" s="6"/>
      <c r="H163" s="54"/>
      <c r="I163" s="8">
        <f t="shared" si="5"/>
        <v>-86076.597000000125</v>
      </c>
      <c r="J163" s="6"/>
      <c r="K163" s="6"/>
      <c r="L163" s="54">
        <v>0</v>
      </c>
      <c r="M163" s="6"/>
      <c r="N163" s="6"/>
      <c r="O163" s="6"/>
    </row>
    <row r="164" spans="1:15" x14ac:dyDescent="0.25">
      <c r="A164" s="44" t="s">
        <v>34</v>
      </c>
      <c r="B164" s="33">
        <v>390</v>
      </c>
      <c r="C164" s="8">
        <v>10.79</v>
      </c>
      <c r="D164" s="8">
        <f t="shared" si="6"/>
        <v>4208.0999999999995</v>
      </c>
      <c r="E164" s="43"/>
      <c r="F164" s="44"/>
      <c r="G164" s="44"/>
      <c r="H164" s="57"/>
      <c r="I164" s="8">
        <f t="shared" si="5"/>
        <v>-81868.497000000119</v>
      </c>
      <c r="J164" s="6"/>
      <c r="K164" s="6"/>
      <c r="L164" s="6"/>
      <c r="M164" s="6"/>
      <c r="N164" s="6"/>
      <c r="O164" s="6"/>
    </row>
    <row r="165" spans="1:15" x14ac:dyDescent="0.25">
      <c r="A165" s="44" t="s">
        <v>35</v>
      </c>
      <c r="B165" s="7"/>
      <c r="C165" s="8">
        <v>10.79</v>
      </c>
      <c r="D165" s="8">
        <f t="shared" si="6"/>
        <v>0</v>
      </c>
      <c r="E165" s="9"/>
      <c r="F165" s="6"/>
      <c r="G165" s="6"/>
      <c r="H165" s="54"/>
      <c r="I165" s="8">
        <f t="shared" si="5"/>
        <v>-81868.497000000119</v>
      </c>
      <c r="J165" s="6"/>
      <c r="K165" s="6"/>
      <c r="L165" s="6"/>
      <c r="M165" s="6"/>
      <c r="N165" s="6"/>
      <c r="O165" s="6"/>
    </row>
    <row r="166" spans="1:15" x14ac:dyDescent="0.25">
      <c r="A166" s="44" t="s">
        <v>36</v>
      </c>
      <c r="B166" s="7"/>
      <c r="C166" s="8">
        <v>10.79</v>
      </c>
      <c r="D166" s="8">
        <f t="shared" si="6"/>
        <v>0</v>
      </c>
      <c r="E166" s="9"/>
      <c r="F166" s="6"/>
      <c r="G166" s="6"/>
      <c r="H166" s="54"/>
      <c r="I166" s="8">
        <f t="shared" si="5"/>
        <v>-81868.497000000119</v>
      </c>
      <c r="J166" s="6"/>
      <c r="K166" s="6"/>
      <c r="L166" s="6"/>
      <c r="M166" s="6"/>
      <c r="N166" s="6"/>
      <c r="O166" s="6"/>
    </row>
    <row r="167" spans="1:15" x14ac:dyDescent="0.25">
      <c r="A167" s="44" t="s">
        <v>37</v>
      </c>
      <c r="B167" s="7"/>
      <c r="C167" s="8">
        <v>10.79</v>
      </c>
      <c r="D167" s="8">
        <f t="shared" si="6"/>
        <v>0</v>
      </c>
      <c r="E167" s="9"/>
      <c r="F167" s="6"/>
      <c r="G167" s="6"/>
      <c r="H167" s="54"/>
      <c r="I167" s="8">
        <f t="shared" si="5"/>
        <v>-81868.497000000119</v>
      </c>
      <c r="J167" s="6"/>
      <c r="K167" s="6"/>
      <c r="L167" s="6"/>
      <c r="M167" s="6"/>
      <c r="N167" s="6"/>
      <c r="O167" s="6"/>
    </row>
    <row r="168" spans="1:15" x14ac:dyDescent="0.25">
      <c r="A168" s="44" t="s">
        <v>38</v>
      </c>
      <c r="B168" s="7">
        <v>1172</v>
      </c>
      <c r="C168" s="8">
        <v>10.79</v>
      </c>
      <c r="D168" s="8">
        <f t="shared" si="6"/>
        <v>12645.88</v>
      </c>
      <c r="E168" s="9"/>
      <c r="F168" s="6"/>
      <c r="G168" s="6" t="s">
        <v>18</v>
      </c>
      <c r="H168" s="54">
        <v>112331.84</v>
      </c>
      <c r="I168" s="8">
        <f t="shared" si="5"/>
        <v>-181554.45700000011</v>
      </c>
      <c r="J168" s="6"/>
      <c r="K168" s="6"/>
      <c r="L168" s="6"/>
      <c r="M168" s="6"/>
      <c r="N168" s="6"/>
      <c r="O168" s="6"/>
    </row>
    <row r="169" spans="1:15" x14ac:dyDescent="0.25">
      <c r="A169" s="44" t="s">
        <v>39</v>
      </c>
      <c r="B169" s="7">
        <v>329</v>
      </c>
      <c r="C169" s="8">
        <v>10.79</v>
      </c>
      <c r="D169" s="8">
        <f t="shared" si="6"/>
        <v>3549.91</v>
      </c>
      <c r="E169" s="9"/>
      <c r="F169" s="6"/>
      <c r="G169" s="6"/>
      <c r="H169" s="54"/>
      <c r="I169" s="8">
        <f>I168+D169-H169</f>
        <v>-178004.54700000011</v>
      </c>
      <c r="J169" s="6"/>
      <c r="K169" s="6"/>
      <c r="L169" s="6"/>
      <c r="M169" s="6"/>
      <c r="N169" s="6"/>
      <c r="O169" s="6"/>
    </row>
    <row r="170" spans="1:15" x14ac:dyDescent="0.25">
      <c r="A170" s="44" t="s">
        <v>40</v>
      </c>
      <c r="B170" s="7">
        <v>85</v>
      </c>
      <c r="C170" s="8">
        <v>10.79</v>
      </c>
      <c r="D170" s="8">
        <f t="shared" si="6"/>
        <v>917.15</v>
      </c>
      <c r="E170" s="9"/>
      <c r="F170" s="6"/>
      <c r="G170" s="6"/>
      <c r="H170" s="54"/>
      <c r="I170" s="8">
        <f t="shared" si="5"/>
        <v>-177087.39700000011</v>
      </c>
      <c r="J170" s="6"/>
      <c r="K170" s="6"/>
      <c r="L170" s="6"/>
      <c r="M170" s="6"/>
      <c r="N170" s="6"/>
      <c r="O170" s="6"/>
    </row>
    <row r="171" spans="1:15" x14ac:dyDescent="0.25">
      <c r="A171" s="44" t="s">
        <v>41</v>
      </c>
      <c r="B171" s="7">
        <v>192</v>
      </c>
      <c r="C171" s="8">
        <v>10.79</v>
      </c>
      <c r="D171" s="8">
        <f t="shared" si="6"/>
        <v>2071.6799999999998</v>
      </c>
      <c r="E171" s="9"/>
      <c r="F171" s="6"/>
      <c r="G171" s="6"/>
      <c r="H171" s="54"/>
      <c r="I171" s="8">
        <f t="shared" si="5"/>
        <v>-175015.71700000012</v>
      </c>
      <c r="J171" s="6"/>
      <c r="K171" s="6"/>
      <c r="L171" s="6"/>
      <c r="M171" s="6"/>
      <c r="N171" s="6"/>
      <c r="O171" s="6"/>
    </row>
    <row r="172" spans="1:15" x14ac:dyDescent="0.25">
      <c r="A172" s="44" t="s">
        <v>42</v>
      </c>
      <c r="B172" s="7">
        <v>227</v>
      </c>
      <c r="C172" s="8">
        <v>10.79</v>
      </c>
      <c r="D172" s="8">
        <f t="shared" si="6"/>
        <v>2449.33</v>
      </c>
      <c r="E172" s="9"/>
      <c r="F172" s="6"/>
      <c r="G172" s="6"/>
      <c r="H172" s="54"/>
      <c r="I172" s="8">
        <f t="shared" si="5"/>
        <v>-172566.38700000013</v>
      </c>
      <c r="J172" s="6"/>
      <c r="K172" s="6"/>
      <c r="L172" s="6"/>
      <c r="M172" s="6"/>
      <c r="N172" s="6"/>
      <c r="O172" s="6"/>
    </row>
    <row r="173" spans="1:15" x14ac:dyDescent="0.25">
      <c r="A173" s="44" t="s">
        <v>43</v>
      </c>
      <c r="B173" s="7">
        <v>119</v>
      </c>
      <c r="C173" s="8">
        <v>10.79</v>
      </c>
      <c r="D173" s="8">
        <f t="shared" si="6"/>
        <v>1284.01</v>
      </c>
      <c r="E173" s="9"/>
      <c r="F173" s="6"/>
      <c r="G173" s="6"/>
      <c r="H173" s="54"/>
      <c r="I173" s="8">
        <f t="shared" si="5"/>
        <v>-171282.37700000012</v>
      </c>
      <c r="J173" s="6"/>
      <c r="K173" s="6"/>
      <c r="L173" s="6"/>
      <c r="M173" s="6"/>
      <c r="N173" s="6"/>
      <c r="O173" s="6"/>
    </row>
    <row r="174" spans="1:15" x14ac:dyDescent="0.25">
      <c r="A174" s="44" t="s">
        <v>44</v>
      </c>
      <c r="B174" s="7"/>
      <c r="C174" s="8">
        <v>10.79</v>
      </c>
      <c r="D174" s="8">
        <f t="shared" si="6"/>
        <v>0</v>
      </c>
      <c r="E174" s="9"/>
      <c r="F174" s="6"/>
      <c r="G174" s="6"/>
      <c r="H174" s="54"/>
      <c r="I174" s="8">
        <f t="shared" si="5"/>
        <v>-171282.37700000012</v>
      </c>
      <c r="J174" s="6"/>
      <c r="K174" s="6"/>
      <c r="L174" s="6"/>
      <c r="M174" s="6"/>
      <c r="N174" s="6"/>
      <c r="O174" s="6"/>
    </row>
    <row r="175" spans="1:15" x14ac:dyDescent="0.25">
      <c r="A175" s="44" t="s">
        <v>45</v>
      </c>
      <c r="B175" s="7"/>
      <c r="C175" s="8">
        <v>10.79</v>
      </c>
      <c r="D175" s="8">
        <f t="shared" si="6"/>
        <v>0</v>
      </c>
      <c r="E175" s="9"/>
      <c r="F175" s="6"/>
      <c r="G175" s="6"/>
      <c r="H175" s="54"/>
      <c r="I175" s="8">
        <f t="shared" si="5"/>
        <v>-171282.37700000012</v>
      </c>
      <c r="J175" s="6"/>
      <c r="K175" s="6"/>
      <c r="L175" s="6"/>
      <c r="M175" s="6"/>
      <c r="N175" s="6"/>
      <c r="O175" s="6"/>
    </row>
    <row r="176" spans="1:15" x14ac:dyDescent="0.25">
      <c r="A176" s="44" t="s">
        <v>46</v>
      </c>
      <c r="B176" s="7"/>
      <c r="C176" s="8">
        <v>10.79</v>
      </c>
      <c r="D176" s="8">
        <f t="shared" si="6"/>
        <v>0</v>
      </c>
      <c r="E176" s="9"/>
      <c r="F176" s="6"/>
      <c r="G176" s="6"/>
      <c r="H176" s="54"/>
      <c r="I176" s="8">
        <f t="shared" si="5"/>
        <v>-171282.37700000012</v>
      </c>
      <c r="J176" s="6"/>
      <c r="K176" s="6"/>
      <c r="L176" s="6"/>
      <c r="M176" s="6"/>
      <c r="N176" s="6"/>
      <c r="O176" s="6"/>
    </row>
    <row r="177" spans="1:15" x14ac:dyDescent="0.25">
      <c r="A177" s="44" t="s">
        <v>47</v>
      </c>
      <c r="B177" s="7">
        <v>344</v>
      </c>
      <c r="C177" s="8">
        <v>10.79</v>
      </c>
      <c r="D177" s="8">
        <f>B177*C177</f>
        <v>3711.7599999999998</v>
      </c>
      <c r="E177" s="9"/>
      <c r="F177" s="6"/>
      <c r="G177" s="6"/>
      <c r="H177" s="54"/>
      <c r="I177" s="8">
        <f t="shared" si="5"/>
        <v>-167570.61700000011</v>
      </c>
      <c r="J177" s="6"/>
      <c r="K177" s="6"/>
      <c r="L177" s="6"/>
      <c r="M177" s="6"/>
      <c r="N177" s="6"/>
      <c r="O177" s="6"/>
    </row>
    <row r="178" spans="1:15" x14ac:dyDescent="0.25">
      <c r="A178" s="86" t="s">
        <v>23</v>
      </c>
      <c r="B178" s="7">
        <v>344</v>
      </c>
      <c r="C178" s="8">
        <v>10.79</v>
      </c>
      <c r="D178" s="8">
        <f t="shared" ref="D178:D179" si="8">B178*C178</f>
        <v>3711.7599999999998</v>
      </c>
      <c r="E178" s="9"/>
      <c r="F178" s="6"/>
      <c r="G178" s="6"/>
      <c r="H178" s="54"/>
      <c r="I178" s="8">
        <f t="shared" ref="I178:I179" si="9">I177+D178-H178</f>
        <v>-163858.85700000011</v>
      </c>
      <c r="J178" s="6"/>
      <c r="K178" s="6"/>
      <c r="L178" s="6"/>
      <c r="M178" s="6"/>
      <c r="N178" s="6"/>
      <c r="O178" s="6"/>
    </row>
    <row r="179" spans="1:15" x14ac:dyDescent="0.25">
      <c r="A179" s="6" t="s">
        <v>49</v>
      </c>
      <c r="B179" s="7">
        <v>329</v>
      </c>
      <c r="C179" s="8">
        <v>10.79</v>
      </c>
      <c r="D179" s="8">
        <f t="shared" si="8"/>
        <v>3549.91</v>
      </c>
      <c r="E179" s="9"/>
      <c r="F179" s="6"/>
      <c r="G179" s="6"/>
      <c r="H179" s="54">
        <v>1</v>
      </c>
      <c r="I179" s="8">
        <f t="shared" si="9"/>
        <v>-160309.9470000001</v>
      </c>
      <c r="J179" s="6">
        <v>0</v>
      </c>
      <c r="K179" s="6">
        <v>7.5</v>
      </c>
      <c r="L179" s="54"/>
      <c r="M179" s="6"/>
      <c r="N179" s="87">
        <v>1</v>
      </c>
      <c r="O179" s="6"/>
    </row>
    <row r="180" spans="1:15" x14ac:dyDescent="0.25">
      <c r="D180" s="15">
        <f t="shared" ref="D179:D180" si="10">SUM(D3:D179)</f>
        <v>519863.38299999997</v>
      </c>
      <c r="L180" s="10">
        <f t="shared" ref="L179:L180" si="11">SUM(L3:L179)</f>
        <v>190941.37783333313</v>
      </c>
    </row>
  </sheetData>
  <phoneticPr fontId="8" type="noConversion"/>
  <pageMargins left="0" right="0" top="0" bottom="0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2025-07-14T12:41:13Z</dcterms:modified>
</cp:coreProperties>
</file>