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F6F79850-A95A-418A-90DC-3A007FEDEF9C}" xr6:coauthVersionLast="47" xr6:coauthVersionMax="47" xr10:uidLastSave="{00000000-0000-0000-0000-000000000000}"/>
  <bookViews>
    <workbookView xWindow="1560" yWindow="1560" windowWidth="21600" windowHeight="11295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E25" i="11"/>
  <c r="E24" i="11"/>
  <c r="E21" i="22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<sst xmlns="http://schemas.openxmlformats.org/spreadsheetml/2006/main" count="274" uniqueCount="77">
  <si>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</si>
  <si>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</si>
  <si>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</si>
  <si>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</si>
  <si>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</si>
  <si>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</si>
  <si>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</si>
  <si>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</si>
  <si>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</si>
  <si>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</si>
  <si>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</si>
  <si>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</si>
  <si>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</si>
  <si>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</si>
  <si>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</si>
  <si>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</si>
  <si>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</si>
  <si>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</si>
  <si>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</si>
  <si>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</si>
  <si>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</si>
  <si>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</si>
  <si>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</si>
  <si>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</si>
  <si>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</si>
  <si>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</si>
  <si>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</si>
  <si>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</si>
  <si>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</si>
  <si>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</si>
  <si>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</si>
  <si>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</si>
  <si>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</si>
  <si>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</si>
  <si>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</si>
  <si>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</si>
  <si>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</si>
  <si>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</si>
  <si>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</si>
  <si>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</si>
  <si>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</si>
  <si>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</si>
  <si>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</si>
  <si>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</si>
  <si>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</si>
  <si>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</si>
  <si>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</si>
  <si>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</si>
  <si>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</si>
  <si>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</si>
  <si>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</si>
  <si>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</si>
  <si>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</si>
  <si>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</si>
  <si>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</si>
  <si>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</si>
  <si>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</si>
  <si>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</si>
  <si>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</si>
  <si>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</si>
  <si>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</si>
  <si>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</si>
  <si>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</si>
  <si>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</si>
  <si>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</si>
  <si>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</si>
  <si>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</si>
  <si>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</si>
  <si>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</si>
  <si>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</si>
  <si>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</si>
  <si>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</si>
  <si>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</si>
  <si>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</si>
  <si>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20.05.2025</t>
  </si>
  <si>
    <t xml:space="preserve">Пленка для  упаковки фисташки "Тарелка" БОПП 20 мкм проз.,310*170 мм </t>
  </si>
  <si>
    <t xml:space="preserve">гофрокороб 460*340*130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</si>
</sst>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ht="63" x14ac:dyDescent="0.25">
      <c r="A24" s="3" t="s">
        <v>74</v>
      </c>
      <c r="B24" s="28" t="s">
        <v>65</v>
      </c>
      <c r="C24" s="20">
        <v>9.9</v>
      </c>
      <c r="D24" s="21">
        <v>682</v>
      </c>
      <c r="E24" s="21">
        <f>C24*D24</f>
        <v>6751.8</v>
      </c>
      <c r="F24" s="3" t="s">
        <v>73</v>
      </c>
      <c r="G24" s="6">
        <v>245268</v>
      </c>
      <c r="H24" s="3"/>
      <c r="I24" s="21">
        <f t="shared" si="0"/>
        <v>202444.99599999998</v>
      </c>
    </row>
    <row r="25" spans="1:9" ht="63" x14ac:dyDescent="0.25">
      <c r="A25" s="3" t="s">
        <v>74</v>
      </c>
      <c r="B25" s="28" t="s">
        <v>75</v>
      </c>
      <c r="C25" s="20">
        <v>20</v>
      </c>
      <c r="D25" s="21">
        <v>692</v>
      </c>
      <c r="E25" s="21">
        <f>C25*D25</f>
        <v>13840</v>
      </c>
      <c r="F25" s="3"/>
      <c r="G25" s="6"/>
      <c r="H25" s="3"/>
      <c r="I25" s="21">
        <f t="shared" si="0"/>
        <v>188604.99599999998</v>
      </c>
    </row>
    <row r="26" spans="1:9" x14ac:dyDescent="0.25">
      <c r="A26" s="3" t="s">
        <v>74</v>
      </c>
      <c r="B26" s="28" t="s">
        <v>76</v>
      </c>
      <c r="C26" s="20">
        <v>660</v>
      </c>
      <c r="D26" s="21">
        <v>33</v>
      </c>
      <c r="E26" s="21">
        <f>C26*D26</f>
        <v>21780</v>
      </c>
      <c r="F26" s="3"/>
      <c r="G26" s="6"/>
      <c r="H26" s="3"/>
      <c r="I26" s="21">
        <f t="shared" si="0"/>
        <v>166824.99599999998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166824.99599999998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166824.99599999998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166824.99599999998</v>
      </c>
    </row>
    <row r="30" spans="1:9" x14ac:dyDescent="0.25">
      <c r="E30" s="37">
        <f>SUM(E3:E27)</f>
        <v>1097870.6040000001</v>
      </c>
      <c r="G30" s="7">
        <f>SUM(G2:G28)</f>
        <v>1264695.6000000001</v>
      </c>
      <c r="I30" s="37">
        <f>G30-E30</f>
        <v>166824.99600000004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6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2025-07-30T09:27:50Z</dcterms:modified>
  <cp:category/>
  <cp:contentStatus/>
</cp:coreProperties>
</file>