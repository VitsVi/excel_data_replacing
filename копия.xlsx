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4-28.04" sheetId="1" state="visible" r:id="rId1"/>
    <sheet name="29.04." sheetId="2" state="visible" r:id="rId2"/>
    <sheet name="30.04.-04.05." sheetId="3" state="visible" r:id="rId3"/>
    <sheet name="05.05." sheetId="4" state="visible" r:id="rId4"/>
    <sheet name="06.05." sheetId="5" state="visible" r:id="rId5"/>
    <sheet name="07.05" sheetId="6" state="visible" r:id="rId6"/>
    <sheet name="08.05." sheetId="7" state="visible" r:id="rId7"/>
    <sheet name="09.05.-11.05." sheetId="8" state="visible" r:id="rId8"/>
    <sheet name="12.05." sheetId="9" state="visible" r:id="rId9"/>
    <sheet name="13.05." sheetId="10" state="visible" r:id="rId10"/>
    <sheet name="14.05." sheetId="11" state="visible" r:id="rId11"/>
    <sheet name="15.05." sheetId="12" state="visible" r:id="rId12"/>
    <sheet name="16.05.-18.05." sheetId="13" state="visible" r:id="rId13"/>
    <sheet name="19.05." sheetId="14" state="visible" r:id="rId14"/>
    <sheet name="20.05." sheetId="15" state="visible" r:id="rId15"/>
    <sheet name="22.05." sheetId="16" state="visible" r:id="rId16"/>
    <sheet name="21.05." sheetId="17" state="visible" r:id="rId17"/>
    <sheet name="23.05.-25.05." sheetId="18" state="visible" r:id="rId18"/>
    <sheet name="26.05." sheetId="19" state="visible" r:id="rId19"/>
    <sheet name="27.05." sheetId="20" state="visible" r:id="rId20"/>
    <sheet name="28.05." sheetId="21" state="visible" r:id="rId21"/>
    <sheet name="29.05. " sheetId="22" state="visible" r:id="rId22"/>
    <sheet name="30.01.-01.06." sheetId="23" state="visible" r:id="rId23"/>
    <sheet name="02.06." sheetId="24" state="visible" r:id="rId24"/>
    <sheet name="Лист1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#,##0.00\ &quot;₽&quot;"/>
    <numFmt numFmtId="166" formatCode="#,##0.000\ &quot;₽&quot;"/>
    <numFmt numFmtId="167" formatCode="#,##0.00\ &quot;₽&quot;;[Red]\-#,##0.00\ &quot;₽&quot;"/>
    <numFmt numFmtId="168" formatCode="0.0"/>
    <numFmt numFmtId="169" formatCode="#,##0.00\ _₽"/>
  </numFmts>
  <fonts count="22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theme="1"/>
      <sz val="18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color rgb="FF000000"/>
      <sz val="11"/>
    </font>
    <font>
      <name val="Calibri"/>
      <charset val="204"/>
      <family val="2"/>
      <color theme="1"/>
      <sz val="11"/>
    </font>
    <font>
      <name val="Times New Roman"/>
      <charset val="204"/>
      <family val="1"/>
      <b val="1"/>
      <color rgb="FF000000"/>
      <sz val="18"/>
    </font>
    <font>
      <name val="Times New Roman"/>
      <charset val="204"/>
      <family val="1"/>
      <color rgb="FFFF0000"/>
      <sz val="11"/>
    </font>
    <font>
      <name val="Calibri"/>
      <charset val="204"/>
      <family val="2"/>
      <color theme="1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i val="1"/>
      <color theme="1"/>
      <sz val="11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rgb="FFFF0000"/>
      <sz val="10"/>
    </font>
    <font>
      <name val="Times New Roman"/>
      <charset val="204"/>
      <family val="1"/>
      <color rgb="FFED0000"/>
      <sz val="11"/>
    </font>
    <font>
      <name val="Aptos Narrow"/>
      <family val="2"/>
      <color theme="1"/>
      <sz val="12"/>
    </font>
    <font>
      <name val="Times New Roman"/>
      <charset val="204"/>
      <family val="1"/>
      <b val="1"/>
      <color theme="1"/>
      <sz val="12"/>
    </font>
    <font>
      <name val="Aptos Narrow"/>
      <family val="2"/>
      <b val="1"/>
      <color theme="1"/>
      <sz val="12"/>
    </font>
    <font>
      <name val="Times New Roman"/>
      <charset val="204"/>
      <family val="1"/>
      <color theme="1"/>
      <sz val="12"/>
    </font>
    <font>
      <name val="Arial"/>
      <charset val="204"/>
      <family val="2"/>
      <color theme="1"/>
      <sz val="12"/>
    </font>
  </fonts>
  <fills count="20">
    <fill>
      <patternFill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00B0F0"/>
        <bgColor rgb="FF00B0F0"/>
      </patternFill>
    </fill>
    <fill>
      <patternFill patternType="solid">
        <fgColor rgb="FFFDC7EB"/>
        <bgColor rgb="FFFDC7EB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theme="9"/>
        <bgColor theme="9"/>
      </patternFill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rgb="FFC5E0B3"/>
        <bgColor rgb="FFC5E0B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5" fillId="3" borderId="7" applyAlignment="1" pivotButton="0" quotePrefix="0" xfId="0">
      <alignment vertical="center"/>
    </xf>
    <xf numFmtId="0" fontId="5" fillId="3" borderId="8" applyAlignment="1" pivotButton="0" quotePrefix="0" xfId="0">
      <alignment vertical="center" wrapText="1"/>
    </xf>
    <xf numFmtId="164" fontId="2" fillId="3" borderId="7" applyAlignment="1" pivotButton="0" quotePrefix="0" xfId="0">
      <alignment horizontal="center" vertical="center"/>
    </xf>
    <xf numFmtId="2" fontId="5" fillId="3" borderId="7" applyAlignment="1" pivotButton="0" quotePrefix="0" xfId="0">
      <alignment horizontal="center" vertical="center"/>
    </xf>
    <xf numFmtId="2" fontId="5" fillId="3" borderId="9" applyAlignment="1" pivotButton="0" quotePrefix="0" xfId="0">
      <alignment horizontal="center" vertical="center"/>
    </xf>
    <xf numFmtId="165" fontId="5" fillId="3" borderId="9" applyAlignment="1" pivotButton="0" quotePrefix="0" xfId="0">
      <alignment horizontal="center" vertical="center"/>
    </xf>
    <xf numFmtId="165" fontId="2" fillId="3" borderId="10" applyAlignment="1" pivotButton="0" quotePrefix="0" xfId="0">
      <alignment horizontal="center" vertical="center"/>
    </xf>
    <xf numFmtId="166" fontId="5" fillId="3" borderId="7" pivotButton="0" quotePrefix="0" xfId="0"/>
    <xf numFmtId="0" fontId="5" fillId="3" borderId="11" applyAlignment="1" pivotButton="0" quotePrefix="0" xfId="0">
      <alignment vertical="center" wrapText="1"/>
    </xf>
    <xf numFmtId="165" fontId="5" fillId="3" borderId="12" applyAlignment="1" pivotButton="0" quotePrefix="0" xfId="0">
      <alignment horizontal="center" vertical="center"/>
    </xf>
    <xf numFmtId="0" fontId="5" fillId="3" borderId="13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horizontal="center" vertical="center"/>
    </xf>
    <xf numFmtId="164" fontId="2" fillId="3" borderId="7" applyAlignment="1" pivotButton="0" quotePrefix="0" xfId="0">
      <alignment horizontal="right" vertical="center"/>
    </xf>
    <xf numFmtId="165" fontId="5" fillId="3" borderId="9" applyAlignment="1" pivotButton="0" quotePrefix="0" xfId="0">
      <alignment horizontal="right" vertical="center"/>
    </xf>
    <xf numFmtId="165" fontId="2" fillId="3" borderId="10" applyAlignment="1" pivotButton="0" quotePrefix="0" xfId="0">
      <alignment horizontal="right" vertical="center"/>
    </xf>
    <xf numFmtId="0" fontId="5" fillId="3" borderId="14" pivotButton="0" quotePrefix="0" xfId="0"/>
    <xf numFmtId="0" fontId="5" fillId="3" borderId="14" applyAlignment="1" pivotButton="0" quotePrefix="0" xfId="0">
      <alignment horizontal="center" vertical="center"/>
    </xf>
    <xf numFmtId="165" fontId="5" fillId="3" borderId="12" applyAlignment="1" pivotButton="0" quotePrefix="0" xfId="0">
      <alignment horizontal="right" vertical="center"/>
    </xf>
    <xf numFmtId="166" fontId="5" fillId="3" borderId="14" pivotButton="0" quotePrefix="0" xfId="0"/>
    <xf numFmtId="0" fontId="2" fillId="2" borderId="14" pivotButton="0" quotePrefix="0" xfId="0"/>
    <xf numFmtId="0" fontId="5" fillId="2" borderId="14" applyAlignment="1" pivotButton="0" quotePrefix="0" xfId="0">
      <alignment horizontal="center" vertical="center"/>
    </xf>
    <xf numFmtId="0" fontId="5" fillId="2" borderId="11" applyAlignment="1" pivotButton="0" quotePrefix="0" xfId="0">
      <alignment vertical="center"/>
    </xf>
    <xf numFmtId="2" fontId="4" fillId="2" borderId="14" pivotButton="0" quotePrefix="0" xfId="0"/>
    <xf numFmtId="2" fontId="4" fillId="2" borderId="12" pivotButton="0" quotePrefix="0" xfId="0"/>
    <xf numFmtId="0" fontId="5" fillId="2" borderId="12" pivotButton="0" quotePrefix="0" xfId="0"/>
    <xf numFmtId="165" fontId="4" fillId="2" borderId="14" pivotButton="0" quotePrefix="0" xfId="0"/>
    <xf numFmtId="165" fontId="5" fillId="2" borderId="14" pivotButton="0" quotePrefix="0" xfId="0"/>
    <xf numFmtId="0" fontId="5" fillId="0" borderId="0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4" borderId="14" pivotButton="0" quotePrefix="0" xfId="0"/>
    <xf numFmtId="0" fontId="4" fillId="4" borderId="14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/>
    </xf>
    <xf numFmtId="0" fontId="6" fillId="0" borderId="12" pivotButton="0" quotePrefix="0" xfId="0"/>
    <xf numFmtId="0" fontId="5" fillId="5" borderId="7" pivotButton="0" quotePrefix="0" xfId="0"/>
    <xf numFmtId="2" fontId="4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2" fontId="5" fillId="3" borderId="14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0" fillId="0" borderId="8" pivotButton="0" quotePrefix="0" xfId="0"/>
    <xf numFmtId="0" fontId="4" fillId="6" borderId="13" applyAlignment="1" pivotButton="0" quotePrefix="0" xfId="0">
      <alignment horizontal="center"/>
    </xf>
    <xf numFmtId="0" fontId="6" fillId="0" borderId="11" pivotButton="0" quotePrefix="0" xfId="0"/>
    <xf numFmtId="0" fontId="5" fillId="0" borderId="1" applyAlignment="1" pivotButton="0" quotePrefix="0" xfId="0">
      <alignment horizontal="center" wrapText="1"/>
    </xf>
    <xf numFmtId="0" fontId="8" fillId="0" borderId="0" pivotButton="0" quotePrefix="0" xfId="0"/>
    <xf numFmtId="0" fontId="4" fillId="3" borderId="14" pivotButton="0" quotePrefix="0" xfId="0"/>
    <xf numFmtId="0" fontId="2" fillId="3" borderId="14" applyAlignment="1" pivotButton="0" quotePrefix="0" xfId="0">
      <alignment horizontal="center" vertical="center"/>
    </xf>
    <xf numFmtId="165" fontId="2" fillId="3" borderId="14" applyAlignment="1" pivotButton="0" quotePrefix="0" xfId="0">
      <alignment vertical="center"/>
    </xf>
    <xf numFmtId="165" fontId="3" fillId="3" borderId="14" applyAlignment="1" pivotButton="0" quotePrefix="0" xfId="0">
      <alignment vertical="center"/>
    </xf>
    <xf numFmtId="0" fontId="2" fillId="3" borderId="14" applyAlignment="1" pivotButton="0" quotePrefix="0" xfId="0">
      <alignment vertical="center"/>
    </xf>
    <xf numFmtId="165" fontId="4" fillId="3" borderId="14" applyAlignment="1" pivotButton="0" quotePrefix="0" xfId="0">
      <alignment horizontal="right"/>
    </xf>
    <xf numFmtId="0" fontId="6" fillId="0" borderId="1" pivotButton="0" quotePrefix="0" xfId="0"/>
    <xf numFmtId="0" fontId="5" fillId="7" borderId="14" applyAlignment="1" pivotButton="0" quotePrefix="0" xfId="0">
      <alignment horizontal="left"/>
    </xf>
    <xf numFmtId="0" fontId="2" fillId="7" borderId="14" applyAlignment="1" pivotButton="0" quotePrefix="0" xfId="0">
      <alignment horizontal="center" vertical="center"/>
    </xf>
    <xf numFmtId="165" fontId="2" fillId="7" borderId="14" applyAlignment="1" pivotButton="0" quotePrefix="0" xfId="0">
      <alignment horizontal="center" vertical="center"/>
    </xf>
    <xf numFmtId="0" fontId="5" fillId="7" borderId="14" pivotButton="0" quotePrefix="0" xfId="0"/>
    <xf numFmtId="2" fontId="2" fillId="7" borderId="14" pivotButton="0" quotePrefix="0" xfId="0"/>
    <xf numFmtId="2" fontId="3" fillId="7" borderId="14" pivotButton="0" quotePrefix="0" xfId="0"/>
    <xf numFmtId="165" fontId="4" fillId="7" borderId="14" applyAlignment="1" pivotButton="0" quotePrefix="0" xfId="0">
      <alignment horizontal="right"/>
    </xf>
    <xf numFmtId="0" fontId="5" fillId="7" borderId="14" applyAlignment="1" pivotButton="0" quotePrefix="0" xfId="0">
      <alignment horizontal="center" vertical="center"/>
    </xf>
    <xf numFmtId="165" fontId="5" fillId="7" borderId="14" applyAlignment="1" pivotButton="0" quotePrefix="0" xfId="0">
      <alignment horizontal="center"/>
    </xf>
    <xf numFmtId="165" fontId="5" fillId="7" borderId="14" applyAlignment="1" pivotButton="0" quotePrefix="0" xfId="0">
      <alignment horizontal="right"/>
    </xf>
    <xf numFmtId="0" fontId="4" fillId="7" borderId="14" pivotButton="0" quotePrefix="0" xfId="0"/>
    <xf numFmtId="0" fontId="4" fillId="7" borderId="14" applyAlignment="1" pivotButton="0" quotePrefix="0" xfId="0">
      <alignment wrapText="1"/>
    </xf>
    <xf numFmtId="0" fontId="2" fillId="7" borderId="14" applyAlignment="1" pivotButton="0" quotePrefix="0" xfId="0">
      <alignment vertical="center"/>
    </xf>
    <xf numFmtId="165" fontId="2" fillId="7" borderId="14" applyAlignment="1" pivotButton="0" quotePrefix="0" xfId="0">
      <alignment vertical="center"/>
    </xf>
    <xf numFmtId="165" fontId="4" fillId="7" borderId="14" pivotButton="0" quotePrefix="0" xfId="0"/>
    <xf numFmtId="0" fontId="5" fillId="7" borderId="14" applyAlignment="1" pivotButton="0" quotePrefix="0" xfId="0">
      <alignment wrapText="1"/>
    </xf>
    <xf numFmtId="14" fontId="5" fillId="7" borderId="14" applyAlignment="1" pivotButton="0" quotePrefix="0" xfId="0">
      <alignment wrapText="1"/>
    </xf>
    <xf numFmtId="0" fontId="5" fillId="7" borderId="14" applyAlignment="1" pivotButton="0" quotePrefix="0" xfId="0">
      <alignment vertical="center"/>
    </xf>
    <xf numFmtId="165" fontId="5" fillId="7" borderId="14" applyAlignment="1" pivotButton="0" quotePrefix="0" xfId="0">
      <alignment vertical="center"/>
    </xf>
    <xf numFmtId="0" fontId="4" fillId="7" borderId="14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6" borderId="14" pivotButton="0" quotePrefix="0" xfId="0"/>
    <xf numFmtId="2" fontId="2" fillId="6" borderId="14" applyAlignment="1" pivotButton="0" quotePrefix="0" xfId="0">
      <alignment horizontal="center" vertical="center"/>
    </xf>
    <xf numFmtId="165" fontId="2" fillId="6" borderId="14" applyAlignment="1" pivotButton="0" quotePrefix="0" xfId="0">
      <alignment vertical="center"/>
    </xf>
    <xf numFmtId="165" fontId="3" fillId="6" borderId="14" applyAlignment="1" pivotButton="0" quotePrefix="0" xfId="0">
      <alignment vertical="center"/>
    </xf>
    <xf numFmtId="2" fontId="2" fillId="6" borderId="14" applyAlignment="1" pivotButton="0" quotePrefix="0" xfId="0">
      <alignment vertical="center"/>
    </xf>
    <xf numFmtId="165" fontId="4" fillId="6" borderId="14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/>
    </xf>
    <xf numFmtId="0" fontId="3" fillId="9" borderId="13" applyAlignment="1" pivotButton="0" quotePrefix="0" xfId="0">
      <alignment horizontal="center"/>
    </xf>
    <xf numFmtId="0" fontId="4" fillId="8" borderId="13" applyAlignment="1" pivotButton="0" quotePrefix="0" xfId="0">
      <alignment horizontal="center" vertical="center" wrapText="1"/>
    </xf>
    <xf numFmtId="165" fontId="4" fillId="8" borderId="13" applyAlignment="1" pivotButton="0" quotePrefix="0" xfId="0">
      <alignment horizontal="center"/>
    </xf>
    <xf numFmtId="0" fontId="4" fillId="9" borderId="13" applyAlignment="1" pivotButton="0" quotePrefix="0" xfId="0">
      <alignment horizontal="center" vertical="center" wrapText="1"/>
    </xf>
    <xf numFmtId="165" fontId="4" fillId="9" borderId="13" applyAlignment="1" pivotButton="0" quotePrefix="0" xfId="0">
      <alignment horizontal="center" vertical="center"/>
    </xf>
    <xf numFmtId="0" fontId="4" fillId="10" borderId="13" applyAlignment="1" pivotButton="0" quotePrefix="0" xfId="0">
      <alignment horizontal="center"/>
    </xf>
    <xf numFmtId="165" fontId="3" fillId="0" borderId="14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2" fontId="2" fillId="0" borderId="1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5" fontId="9" fillId="0" borderId="14" applyAlignment="1" pivotButton="0" quotePrefix="0" xfId="0">
      <alignment horizontal="center" vertical="center" wrapText="1"/>
    </xf>
    <xf numFmtId="165" fontId="2" fillId="0" borderId="14" applyAlignment="1" pivotButton="0" quotePrefix="0" xfId="0">
      <alignment vertical="center" wrapText="1"/>
    </xf>
    <xf numFmtId="165" fontId="5" fillId="5" borderId="14" applyAlignment="1" pivotButton="0" quotePrefix="0" xfId="0">
      <alignment horizontal="right" vertical="center"/>
    </xf>
    <xf numFmtId="165" fontId="2" fillId="0" borderId="14" applyAlignment="1" pivotButton="0" quotePrefix="0" xfId="0">
      <alignment horizontal="left" vertical="center" wrapText="1"/>
    </xf>
    <xf numFmtId="165" fontId="5" fillId="0" borderId="13" applyAlignment="1" pivotButton="0" quotePrefix="0" xfId="0">
      <alignment horizontal="center" vertical="center"/>
    </xf>
    <xf numFmtId="165" fontId="2" fillId="0" borderId="14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165" fontId="2" fillId="5" borderId="14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/>
    </xf>
    <xf numFmtId="165" fontId="2" fillId="5" borderId="14" applyAlignment="1" pivotButton="0" quotePrefix="0" xfId="0">
      <alignment horizontal="right" vertical="center" wrapText="1"/>
    </xf>
    <xf numFmtId="165" fontId="2" fillId="0" borderId="13" applyAlignment="1" pivotButton="0" quotePrefix="0" xfId="0">
      <alignment horizontal="center" vertical="center" wrapText="1"/>
    </xf>
    <xf numFmtId="165" fontId="5" fillId="10" borderId="14" applyAlignment="1" pivotButton="0" quotePrefix="0" xfId="0">
      <alignment horizontal="right" vertical="center"/>
    </xf>
    <xf numFmtId="165" fontId="2" fillId="0" borderId="14" applyAlignment="1" pivotButton="0" quotePrefix="0" xfId="0">
      <alignment horizontal="right" vertical="center" wrapText="1"/>
    </xf>
    <xf numFmtId="165" fontId="5" fillId="0" borderId="14" applyAlignment="1" pivotButton="0" quotePrefix="0" xfId="0">
      <alignment horizontal="right" vertical="center"/>
    </xf>
    <xf numFmtId="0" fontId="3" fillId="5" borderId="14" applyAlignment="1" pivotButton="0" quotePrefix="0" xfId="0">
      <alignment horizontal="center" vertical="center"/>
    </xf>
    <xf numFmtId="165" fontId="5" fillId="10" borderId="13" applyAlignment="1" pivotButton="0" quotePrefix="0" xfId="0">
      <alignment horizontal="center" vertical="center"/>
    </xf>
    <xf numFmtId="167" fontId="3" fillId="5" borderId="14" applyAlignment="1" pivotButton="0" quotePrefix="0" xfId="0">
      <alignment horizontal="center" vertical="center"/>
    </xf>
    <xf numFmtId="165" fontId="5" fillId="10" borderId="14" applyAlignment="1" pivotButton="0" quotePrefix="0" xfId="0">
      <alignment horizontal="left" vertical="center"/>
    </xf>
    <xf numFmtId="165" fontId="5" fillId="10" borderId="14" applyAlignment="1" pivotButton="0" quotePrefix="0" xfId="0">
      <alignment horizontal="center" vertical="center"/>
    </xf>
    <xf numFmtId="165" fontId="10" fillId="0" borderId="14" applyAlignment="1" pivotButton="0" quotePrefix="0" xfId="0">
      <alignment horizontal="center" vertical="center"/>
    </xf>
    <xf numFmtId="165" fontId="4" fillId="8" borderId="14" applyAlignment="1" pivotButton="0" quotePrefix="0" xfId="0">
      <alignment horizontal="center" vertical="center"/>
    </xf>
    <xf numFmtId="165" fontId="4" fillId="8" borderId="12" applyAlignment="1" pivotButton="0" quotePrefix="0" xfId="0">
      <alignment horizontal="center" vertical="center"/>
    </xf>
    <xf numFmtId="165" fontId="4" fillId="8" borderId="14" applyAlignment="1" pivotButton="0" quotePrefix="0" xfId="0">
      <alignment horizontal="center"/>
    </xf>
    <xf numFmtId="165" fontId="4" fillId="9" borderId="14" applyAlignment="1" pivotButton="0" quotePrefix="0" xfId="0">
      <alignment horizontal="center"/>
    </xf>
    <xf numFmtId="0" fontId="4" fillId="8" borderId="14" applyAlignment="1" pivotButton="0" quotePrefix="0" xfId="0">
      <alignment vertical="center"/>
    </xf>
    <xf numFmtId="165" fontId="3" fillId="8" borderId="13" applyAlignment="1" pivotButton="0" quotePrefix="0" xfId="0">
      <alignment horizontal="center" vertical="center"/>
    </xf>
    <xf numFmtId="0" fontId="4" fillId="11" borderId="13" applyAlignment="1" pivotButton="0" quotePrefix="0" xfId="0">
      <alignment horizontal="center" vertical="center"/>
    </xf>
    <xf numFmtId="165" fontId="4" fillId="11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3" fillId="2" borderId="15" applyAlignment="1" pivotButton="0" quotePrefix="0" xfId="0">
      <alignment horizontal="left" vertical="center" wrapText="1"/>
    </xf>
    <xf numFmtId="14" fontId="3" fillId="2" borderId="16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 wrapText="1"/>
    </xf>
    <xf numFmtId="0" fontId="3" fillId="2" borderId="18" applyAlignment="1" pivotButton="0" quotePrefix="0" xfId="0">
      <alignment vertical="center" wrapText="1"/>
    </xf>
    <xf numFmtId="0" fontId="3" fillId="2" borderId="19" applyAlignment="1" pivotButton="0" quotePrefix="0" xfId="0">
      <alignment horizontal="left" vertical="center" wrapText="1"/>
    </xf>
    <xf numFmtId="0" fontId="3" fillId="2" borderId="20" applyAlignment="1" pivotButton="0" quotePrefix="0" xfId="0">
      <alignment horizontal="left" vertical="center" wrapText="1"/>
    </xf>
    <xf numFmtId="0" fontId="3" fillId="2" borderId="18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left" vertical="center" wrapText="1"/>
    </xf>
    <xf numFmtId="0" fontId="12" fillId="2" borderId="15" applyAlignment="1" pivotButton="0" quotePrefix="0" xfId="0">
      <alignment horizontal="left" vertical="center" wrapText="1"/>
    </xf>
    <xf numFmtId="49" fontId="3" fillId="0" borderId="22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4" fillId="12" borderId="14" applyAlignment="1" pivotButton="0" quotePrefix="0" xfId="0">
      <alignment horizontal="center" vertical="center"/>
    </xf>
    <xf numFmtId="0" fontId="3" fillId="12" borderId="14" applyAlignment="1" pivotButton="0" quotePrefix="0" xfId="0">
      <alignment horizontal="center" vertical="center"/>
    </xf>
    <xf numFmtId="0" fontId="2" fillId="12" borderId="14" applyAlignment="1" pivotButton="0" quotePrefix="0" xfId="0">
      <alignment horizontal="left" vertical="center" wrapText="1"/>
    </xf>
    <xf numFmtId="0" fontId="2" fillId="12" borderId="14" applyAlignment="1" pivotButton="0" quotePrefix="0" xfId="0">
      <alignment horizontal="center" vertical="center"/>
    </xf>
    <xf numFmtId="2" fontId="5" fillId="12" borderId="14" applyAlignment="1" pivotButton="0" quotePrefix="0" xfId="0">
      <alignment horizontal="center" vertical="center"/>
    </xf>
    <xf numFmtId="168" fontId="2" fillId="12" borderId="14" applyAlignment="1" pivotButton="0" quotePrefix="0" xfId="0">
      <alignment horizontal="center" vertical="center"/>
    </xf>
    <xf numFmtId="165" fontId="5" fillId="12" borderId="14" applyAlignment="1" pivotButton="0" quotePrefix="0" xfId="0">
      <alignment horizontal="center" vertical="center"/>
    </xf>
    <xf numFmtId="1" fontId="13" fillId="0" borderId="12" applyAlignment="1" pivotButton="0" quotePrefix="0" xfId="0">
      <alignment horizontal="center" vertical="center" wrapText="1"/>
    </xf>
    <xf numFmtId="0" fontId="5" fillId="12" borderId="14" applyAlignment="1" pivotButton="0" quotePrefix="0" xfId="0">
      <alignment horizontal="left" vertical="center" wrapText="1"/>
    </xf>
    <xf numFmtId="1" fontId="14" fillId="0" borderId="12" applyAlignment="1" pivotButton="0" quotePrefix="0" xfId="0">
      <alignment horizontal="center" vertical="center"/>
    </xf>
    <xf numFmtId="0" fontId="2" fillId="12" borderId="14" applyAlignment="1" pivotButton="0" quotePrefix="0" xfId="0">
      <alignment horizontal="center" vertical="center" wrapText="1"/>
    </xf>
    <xf numFmtId="2" fontId="15" fillId="0" borderId="12" applyAlignment="1" pivotButton="0" quotePrefix="0" xfId="0">
      <alignment horizontal="center" vertical="center"/>
    </xf>
    <xf numFmtId="0" fontId="4" fillId="12" borderId="23" applyAlignment="1" pivotButton="0" quotePrefix="0" xfId="0">
      <alignment horizontal="center" vertical="center"/>
    </xf>
    <xf numFmtId="0" fontId="3" fillId="12" borderId="7" applyAlignment="1" pivotButton="0" quotePrefix="0" xfId="0">
      <alignment horizontal="center" vertical="center"/>
    </xf>
    <xf numFmtId="0" fontId="5" fillId="12" borderId="10" applyAlignment="1" pivotButton="0" quotePrefix="0" xfId="0">
      <alignment horizontal="center" vertical="center" wrapText="1"/>
    </xf>
    <xf numFmtId="0" fontId="2" fillId="12" borderId="7" applyAlignment="1" pivotButton="0" quotePrefix="0" xfId="0">
      <alignment horizontal="center" vertical="center"/>
    </xf>
    <xf numFmtId="2" fontId="5" fillId="12" borderId="10" applyAlignment="1" pivotButton="0" quotePrefix="0" xfId="0">
      <alignment horizontal="center" vertical="center"/>
    </xf>
    <xf numFmtId="168" fontId="2" fillId="12" borderId="7" applyAlignment="1" pivotButton="0" quotePrefix="0" xfId="0">
      <alignment horizontal="center" vertical="center"/>
    </xf>
    <xf numFmtId="2" fontId="5" fillId="12" borderId="9" applyAlignment="1" pivotButton="0" quotePrefix="0" xfId="0">
      <alignment horizontal="center" vertical="center"/>
    </xf>
    <xf numFmtId="165" fontId="5" fillId="12" borderId="7" applyAlignment="1" pivotButton="0" quotePrefix="0" xfId="0">
      <alignment horizontal="center" vertical="center"/>
    </xf>
    <xf numFmtId="165" fontId="5" fillId="12" borderId="24" applyAlignment="1" pivotButton="0" quotePrefix="0" xfId="0">
      <alignment horizontal="center" vertical="center"/>
    </xf>
    <xf numFmtId="0" fontId="5" fillId="12" borderId="11" applyAlignment="1" pivotButton="0" quotePrefix="0" xfId="0">
      <alignment horizontal="center" vertical="center" wrapText="1"/>
    </xf>
    <xf numFmtId="2" fontId="5" fillId="12" borderId="13" applyAlignment="1" pivotButton="0" quotePrefix="0" xfId="0">
      <alignment horizontal="center" vertical="center"/>
    </xf>
    <xf numFmtId="0" fontId="4" fillId="12" borderId="25" applyAlignment="1" pivotButton="0" quotePrefix="0" xfId="0">
      <alignment horizontal="center" vertical="center"/>
    </xf>
    <xf numFmtId="0" fontId="3" fillId="12" borderId="26" applyAlignment="1" pivotButton="0" quotePrefix="0" xfId="0">
      <alignment horizontal="center" vertical="center"/>
    </xf>
    <xf numFmtId="0" fontId="5" fillId="12" borderId="27" applyAlignment="1" pivotButton="0" quotePrefix="0" xfId="0">
      <alignment horizontal="center" vertical="center" wrapText="1"/>
    </xf>
    <xf numFmtId="0" fontId="2" fillId="12" borderId="28" applyAlignment="1" pivotButton="0" quotePrefix="0" xfId="0">
      <alignment horizontal="center" vertical="center"/>
    </xf>
    <xf numFmtId="2" fontId="5" fillId="12" borderId="29" applyAlignment="1" pivotButton="0" quotePrefix="0" xfId="0">
      <alignment horizontal="center" vertical="center"/>
    </xf>
    <xf numFmtId="168" fontId="2" fillId="12" borderId="28" applyAlignment="1" pivotButton="0" quotePrefix="0" xfId="0">
      <alignment horizontal="center" vertical="center"/>
    </xf>
    <xf numFmtId="2" fontId="5" fillId="12" borderId="30" applyAlignment="1" pivotButton="0" quotePrefix="0" xfId="0">
      <alignment horizontal="center" vertical="center"/>
    </xf>
    <xf numFmtId="165" fontId="5" fillId="12" borderId="28" applyAlignment="1" pivotButton="0" quotePrefix="0" xfId="0">
      <alignment horizontal="center" vertical="center"/>
    </xf>
    <xf numFmtId="165" fontId="5" fillId="12" borderId="31" applyAlignment="1" pivotButton="0" quotePrefix="0" xfId="0">
      <alignment horizontal="center" vertical="center"/>
    </xf>
    <xf numFmtId="0" fontId="4" fillId="12" borderId="7" pivotButton="0" quotePrefix="0" xfId="0"/>
    <xf numFmtId="0" fontId="2" fillId="12" borderId="10" pivotButton="0" quotePrefix="0" xfId="0"/>
    <xf numFmtId="0" fontId="2" fillId="12" borderId="7" pivotButton="0" quotePrefix="0" xfId="0"/>
    <xf numFmtId="2" fontId="5" fillId="12" borderId="9" applyAlignment="1" pivotButton="0" quotePrefix="0" xfId="0">
      <alignment horizontal="center"/>
    </xf>
    <xf numFmtId="165" fontId="5" fillId="12" borderId="7" pivotButton="0" quotePrefix="0" xfId="0"/>
    <xf numFmtId="2" fontId="15" fillId="0" borderId="14" applyAlignment="1" pivotButton="0" quotePrefix="0" xfId="0">
      <alignment horizontal="center" vertical="center"/>
    </xf>
    <xf numFmtId="0" fontId="2" fillId="12" borderId="13" pivotButton="0" quotePrefix="0" xfId="0"/>
    <xf numFmtId="0" fontId="2" fillId="12" borderId="14" pivotButton="0" quotePrefix="0" xfId="0"/>
    <xf numFmtId="2" fontId="5" fillId="12" borderId="13" applyAlignment="1" pivotButton="0" quotePrefix="0" xfId="0">
      <alignment horizontal="center"/>
    </xf>
    <xf numFmtId="165" fontId="5" fillId="12" borderId="14" pivotButton="0" quotePrefix="0" xfId="0"/>
    <xf numFmtId="0" fontId="3" fillId="13" borderId="7" applyAlignment="1" pivotButton="0" quotePrefix="0" xfId="0">
      <alignment horizontal="center"/>
    </xf>
    <xf numFmtId="0" fontId="4" fillId="13" borderId="9" applyAlignment="1" pivotButton="0" quotePrefix="0" xfId="0">
      <alignment horizontal="center" vertical="center"/>
    </xf>
    <xf numFmtId="0" fontId="5" fillId="13" borderId="10" applyAlignment="1" pivotButton="0" quotePrefix="0" xfId="0">
      <alignment vertical="center"/>
    </xf>
    <xf numFmtId="0" fontId="2" fillId="14" borderId="14" pivotButton="0" quotePrefix="0" xfId="0"/>
    <xf numFmtId="2" fontId="4" fillId="15" borderId="13" applyAlignment="1" pivotButton="0" quotePrefix="0" xfId="0">
      <alignment horizontal="center"/>
    </xf>
    <xf numFmtId="2" fontId="4" fillId="13" borderId="7" applyAlignment="1" pivotButton="0" quotePrefix="0" xfId="0">
      <alignment horizontal="center"/>
    </xf>
    <xf numFmtId="169" fontId="4" fillId="13" borderId="9" applyAlignment="1" pivotButton="0" quotePrefix="0" xfId="0">
      <alignment horizontal="center"/>
    </xf>
    <xf numFmtId="165" fontId="4" fillId="13" borderId="10" pivotButton="0" quotePrefix="0" xfId="0"/>
    <xf numFmtId="3" fontId="4" fillId="0" borderId="10" applyAlignment="1" pivotButton="0" quotePrefix="0" xfId="0">
      <alignment horizontal="center"/>
    </xf>
    <xf numFmtId="0" fontId="3" fillId="12" borderId="32" applyAlignment="1" pivotButton="0" quotePrefix="0" xfId="0">
      <alignment horizontal="center" vertical="center" wrapText="1"/>
    </xf>
    <xf numFmtId="0" fontId="4" fillId="16" borderId="14" applyAlignment="1" pivotButton="0" quotePrefix="0" xfId="0">
      <alignment horizontal="center" vertical="center"/>
    </xf>
    <xf numFmtId="0" fontId="4" fillId="16" borderId="14" applyAlignment="1" pivotButton="0" quotePrefix="0" xfId="0">
      <alignment horizontal="center"/>
    </xf>
    <xf numFmtId="0" fontId="6" fillId="0" borderId="7" pivotButton="0" quotePrefix="0" xfId="0"/>
    <xf numFmtId="2" fontId="3" fillId="12" borderId="14" applyAlignment="1" pivotButton="0" quotePrefix="0" xfId="0">
      <alignment horizontal="center" vertical="center"/>
    </xf>
    <xf numFmtId="165" fontId="3" fillId="12" borderId="14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49" fontId="11" fillId="5" borderId="0" applyAlignment="1" pivotButton="0" quotePrefix="0" xfId="0">
      <alignment horizontal="center"/>
    </xf>
    <xf numFmtId="0" fontId="3" fillId="2" borderId="14" pivotButton="0" quotePrefix="0" xfId="0"/>
    <xf numFmtId="0" fontId="4" fillId="2" borderId="32" applyAlignment="1" pivotButton="0" quotePrefix="0" xfId="0">
      <alignment horizontal="center" vertical="center"/>
    </xf>
    <xf numFmtId="0" fontId="4" fillId="2" borderId="32" applyAlignment="1" pivotButton="0" quotePrefix="0" xfId="0">
      <alignment vertical="center"/>
    </xf>
    <xf numFmtId="0" fontId="4" fillId="2" borderId="33" pivotButton="0" quotePrefix="0" xfId="0"/>
    <xf numFmtId="0" fontId="4" fillId="2" borderId="14" pivotButton="0" quotePrefix="0" xfId="0"/>
    <xf numFmtId="0" fontId="4" fillId="2" borderId="34" pivotButton="0" quotePrefix="0" xfId="0"/>
    <xf numFmtId="0" fontId="3" fillId="3" borderId="14" applyAlignment="1" pivotButton="0" quotePrefix="0" xfId="0">
      <alignment vertical="center"/>
    </xf>
    <xf numFmtId="0" fontId="2" fillId="3" borderId="14" applyAlignment="1" pivotButton="0" quotePrefix="0" xfId="0">
      <alignment horizontal="center" wrapText="1"/>
    </xf>
    <xf numFmtId="2" fontId="2" fillId="3" borderId="14" applyAlignment="1" pivotButton="0" quotePrefix="0" xfId="0">
      <alignment horizontal="center" vertical="center"/>
    </xf>
    <xf numFmtId="165" fontId="5" fillId="3" borderId="11" applyAlignment="1" pivotButton="0" quotePrefix="0" xfId="0">
      <alignment horizontal="right" vertical="center"/>
    </xf>
    <xf numFmtId="0" fontId="11" fillId="16" borderId="14" applyAlignment="1" pivotButton="0" quotePrefix="0" xfId="0">
      <alignment horizontal="center"/>
    </xf>
    <xf numFmtId="0" fontId="3" fillId="3" borderId="14" pivotButton="0" quotePrefix="0" xfId="0"/>
    <xf numFmtId="0" fontId="2" fillId="3" borderId="14" pivotButton="0" quotePrefix="0" xfId="0"/>
    <xf numFmtId="0" fontId="2" fillId="3" borderId="14" applyAlignment="1" pivotButton="0" quotePrefix="0" xfId="0">
      <alignment horizontal="center"/>
    </xf>
    <xf numFmtId="165" fontId="3" fillId="3" borderId="14" pivotButton="0" quotePrefix="0" xfId="0"/>
    <xf numFmtId="0" fontId="2" fillId="3" borderId="14" applyAlignment="1" pivotButton="0" quotePrefix="0" xfId="0">
      <alignment wrapText="1"/>
    </xf>
    <xf numFmtId="2" fontId="2" fillId="3" borderId="14" applyAlignment="1" pivotButton="0" quotePrefix="0" xfId="0">
      <alignment horizontal="right" vertical="center"/>
    </xf>
    <xf numFmtId="0" fontId="2" fillId="3" borderId="14" applyAlignment="1" pivotButton="0" quotePrefix="0" xfId="0">
      <alignment horizontal="center" vertical="center" wrapText="1"/>
    </xf>
    <xf numFmtId="2" fontId="3" fillId="3" borderId="14" applyAlignment="1" pivotButton="0" quotePrefix="0" xfId="0">
      <alignment horizontal="right" vertical="center"/>
    </xf>
    <xf numFmtId="0" fontId="2" fillId="16" borderId="14" applyAlignment="1" pivotButton="0" quotePrefix="0" xfId="0">
      <alignment horizontal="center"/>
    </xf>
    <xf numFmtId="0" fontId="4" fillId="2" borderId="14" applyAlignment="1" pivotButton="0" quotePrefix="0" xfId="0">
      <alignment horizontal="center"/>
    </xf>
    <xf numFmtId="0" fontId="5" fillId="2" borderId="8" applyAlignment="1" pivotButton="0" quotePrefix="0" xfId="0">
      <alignment horizontal="center" vertical="center"/>
    </xf>
    <xf numFmtId="0" fontId="5" fillId="2" borderId="7" applyAlignment="1" pivotButton="0" quotePrefix="0" xfId="0">
      <alignment vertical="center"/>
    </xf>
    <xf numFmtId="0" fontId="5" fillId="2" borderId="9" pivotButton="0" quotePrefix="0" xfId="0"/>
    <xf numFmtId="2" fontId="4" fillId="2" borderId="7" pivotButton="0" quotePrefix="0" xfId="0"/>
    <xf numFmtId="0" fontId="5" fillId="2" borderId="7" pivotButton="0" quotePrefix="0" xfId="0"/>
    <xf numFmtId="165" fontId="4" fillId="2" borderId="7" pivotButton="0" quotePrefix="0" xfId="0"/>
    <xf numFmtId="0" fontId="7" fillId="3" borderId="8" applyAlignment="1" pivotButton="0" quotePrefix="0" xfId="0">
      <alignment horizontal="center" vertical="center"/>
    </xf>
    <xf numFmtId="0" fontId="16" fillId="0" borderId="0" pivotButton="0" quotePrefix="0" xfId="0"/>
    <xf numFmtId="0" fontId="4" fillId="2" borderId="33" applyAlignment="1" pivotButton="0" quotePrefix="0" xfId="0">
      <alignment horizontal="center" vertical="center"/>
    </xf>
    <xf numFmtId="0" fontId="4" fillId="2" borderId="14" applyAlignment="1" pivotButton="0" quotePrefix="0" xfId="0">
      <alignment vertical="center"/>
    </xf>
    <xf numFmtId="0" fontId="4" fillId="2" borderId="32" pivotButton="0" quotePrefix="0" xfId="0"/>
    <xf numFmtId="0" fontId="4" fillId="3" borderId="32" pivotButton="0" quotePrefix="0" xfId="0"/>
    <xf numFmtId="0" fontId="2" fillId="3" borderId="32" applyAlignment="1" pivotButton="0" quotePrefix="0" xfId="0">
      <alignment horizontal="center" vertical="center" wrapText="1"/>
    </xf>
    <xf numFmtId="0" fontId="5" fillId="3" borderId="35" applyAlignment="1" pivotButton="0" quotePrefix="0" xfId="0">
      <alignment vertical="center"/>
    </xf>
    <xf numFmtId="0" fontId="5" fillId="3" borderId="14" applyAlignment="1" pivotButton="0" quotePrefix="0" xfId="0">
      <alignment vertical="center"/>
    </xf>
    <xf numFmtId="2" fontId="2" fillId="3" borderId="14" pivotButton="0" quotePrefix="0" xfId="0"/>
    <xf numFmtId="165" fontId="2" fillId="3" borderId="32" pivotButton="0" quotePrefix="0" xfId="0"/>
    <xf numFmtId="2" fontId="5" fillId="3" borderId="34" applyAlignment="1" pivotButton="0" quotePrefix="0" xfId="0">
      <alignment horizontal="right"/>
    </xf>
    <xf numFmtId="0" fontId="5" fillId="3" borderId="32" applyAlignment="1" pivotButton="0" quotePrefix="0" xfId="0">
      <alignment horizontal="center"/>
    </xf>
    <xf numFmtId="0" fontId="3" fillId="0" borderId="14" pivotButton="0" quotePrefix="0" xfId="0"/>
    <xf numFmtId="0" fontId="4" fillId="5" borderId="14" applyAlignment="1" pivotButton="0" quotePrefix="0" xfId="0">
      <alignment horizontal="center" vertical="center"/>
    </xf>
    <xf numFmtId="0" fontId="4" fillId="5" borderId="14" applyAlignment="1" pivotButton="0" quotePrefix="0" xfId="0">
      <alignment vertical="center"/>
    </xf>
    <xf numFmtId="2" fontId="4" fillId="5" borderId="14" applyAlignment="1" pivotButton="0" quotePrefix="0" xfId="0">
      <alignment horizontal="center"/>
    </xf>
    <xf numFmtId="2" fontId="2" fillId="5" borderId="14" pivotButton="0" quotePrefix="0" xfId="0"/>
    <xf numFmtId="167" fontId="3" fillId="5" borderId="14" pivotButton="0" quotePrefix="0" xfId="0"/>
    <xf numFmtId="2" fontId="4" fillId="5" borderId="14" pivotButton="0" quotePrefix="0" xfId="0"/>
    <xf numFmtId="165" fontId="4" fillId="5" borderId="14" pivotButton="0" quotePrefix="0" xfId="0"/>
    <xf numFmtId="0" fontId="2" fillId="0" borderId="14" pivotButton="0" quotePrefix="0" xfId="0"/>
    <xf numFmtId="0" fontId="2" fillId="0" borderId="14" applyAlignment="1" pivotButton="0" quotePrefix="0" xfId="0">
      <alignment horizontal="center" vertical="center"/>
    </xf>
    <xf numFmtId="2" fontId="3" fillId="0" borderId="14" pivotButton="0" quotePrefix="0" xfId="0"/>
    <xf numFmtId="167" fontId="3" fillId="0" borderId="14" pivotButton="0" quotePrefix="0" xfId="0"/>
    <xf numFmtId="0" fontId="2" fillId="0" borderId="0" applyAlignment="1" pivotButton="0" quotePrefix="0" xfId="0">
      <alignment horizontal="center" vertical="center"/>
    </xf>
    <xf numFmtId="165" fontId="3" fillId="0" borderId="0" pivotButton="0" quotePrefix="0" xfId="0"/>
    <xf numFmtId="49" fontId="11" fillId="5" borderId="0" applyAlignment="1" pivotButton="0" quotePrefix="0" xfId="0">
      <alignment horizontal="left"/>
    </xf>
    <xf numFmtId="0" fontId="2" fillId="5" borderId="0" pivotButton="0" quotePrefix="0" xfId="0"/>
    <xf numFmtId="0" fontId="4" fillId="2" borderId="18" applyAlignment="1" pivotButton="0" quotePrefix="0" xfId="0">
      <alignment horizontal="center" vertical="center" wrapText="1"/>
    </xf>
    <xf numFmtId="0" fontId="4" fillId="2" borderId="20" applyAlignment="1" pivotButton="0" quotePrefix="0" xfId="0">
      <alignment horizontal="center" vertical="center" wrapText="1"/>
    </xf>
    <xf numFmtId="0" fontId="5" fillId="3" borderId="14" applyAlignment="1" pivotButton="0" quotePrefix="0" xfId="0">
      <alignment vertical="center" wrapText="1"/>
    </xf>
    <xf numFmtId="164" fontId="5" fillId="17" borderId="14" applyAlignment="1" pivotButton="0" quotePrefix="0" xfId="0">
      <alignment wrapText="1"/>
    </xf>
    <xf numFmtId="164" fontId="5" fillId="3" borderId="14" applyAlignment="1" pivotButton="0" quotePrefix="0" xfId="0">
      <alignment horizontal="center" vertical="center"/>
    </xf>
    <xf numFmtId="168" fontId="5" fillId="3" borderId="9" applyAlignment="1" pivotButton="0" quotePrefix="0" xfId="0">
      <alignment horizontal="center" vertical="center"/>
    </xf>
    <xf numFmtId="164" fontId="2" fillId="3" borderId="14" applyAlignment="1" pivotButton="0" quotePrefix="0" xfId="0">
      <alignment horizontal="right" vertical="center"/>
    </xf>
    <xf numFmtId="4" fontId="2" fillId="12" borderId="14" applyAlignment="1" pivotButton="0" quotePrefix="0" xfId="0">
      <alignment horizontal="left" vertical="center" wrapText="1"/>
    </xf>
    <xf numFmtId="0" fontId="4" fillId="18" borderId="14" applyAlignment="1" pivotButton="0" quotePrefix="0" xfId="0">
      <alignment horizontal="center"/>
    </xf>
    <xf numFmtId="1" fontId="2" fillId="3" borderId="14" applyAlignment="1" pivotButton="0" quotePrefix="0" xfId="0">
      <alignment horizontal="center" vertical="center"/>
    </xf>
    <xf numFmtId="0" fontId="4" fillId="3" borderId="32" applyAlignment="1" pivotButton="0" quotePrefix="0" xfId="0">
      <alignment vertical="center"/>
    </xf>
    <xf numFmtId="4" fontId="2" fillId="3" borderId="32" applyAlignment="1" pivotButton="0" quotePrefix="0" xfId="0">
      <alignment horizontal="center" vertical="center" wrapText="1"/>
    </xf>
    <xf numFmtId="2" fontId="2" fillId="3" borderId="14" applyAlignment="1" pivotButton="0" quotePrefix="0" xfId="0">
      <alignment vertical="center"/>
    </xf>
    <xf numFmtId="167" fontId="3" fillId="17" borderId="14" applyAlignment="1" pivotButton="0" quotePrefix="0" xfId="0">
      <alignment vertical="center"/>
    </xf>
    <xf numFmtId="0" fontId="6" fillId="8" borderId="11" pivotButton="0" quotePrefix="0" xfId="0"/>
    <xf numFmtId="0" fontId="6" fillId="8" borderId="12" pivotButton="0" quotePrefix="0" xfId="0"/>
    <xf numFmtId="4" fontId="2" fillId="0" borderId="14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4" fontId="6" fillId="0" borderId="14" applyAlignment="1" pivotButton="0" quotePrefix="0" xfId="0">
      <alignment horizontal="center" vertical="center" wrapText="1"/>
    </xf>
    <xf numFmtId="4" fontId="5" fillId="10" borderId="13" applyAlignment="1" pivotButton="0" quotePrefix="0" xfId="0">
      <alignment horizontal="center" vertical="center"/>
    </xf>
    <xf numFmtId="4" fontId="5" fillId="10" borderId="14" applyAlignment="1" pivotButton="0" quotePrefix="0" xfId="0">
      <alignment horizontal="center" vertical="center"/>
    </xf>
    <xf numFmtId="0" fontId="5" fillId="18" borderId="14" applyAlignment="1" pivotButton="0" quotePrefix="0" xfId="0">
      <alignment horizontal="left"/>
    </xf>
    <xf numFmtId="165" fontId="2" fillId="18" borderId="14" applyAlignment="1" pivotButton="0" quotePrefix="0" xfId="0">
      <alignment horizontal="center" vertical="center"/>
    </xf>
    <xf numFmtId="165" fontId="5" fillId="18" borderId="14" applyAlignment="1" pivotButton="0" quotePrefix="0" xfId="0">
      <alignment horizontal="right"/>
    </xf>
    <xf numFmtId="0" fontId="2" fillId="18" borderId="0" pivotButton="0" quotePrefix="0" xfId="0"/>
    <xf numFmtId="165" fontId="4" fillId="8" borderId="13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0" fontId="3" fillId="18" borderId="14" applyAlignment="1" pivotButton="0" quotePrefix="0" xfId="0">
      <alignment vertical="center"/>
    </xf>
    <xf numFmtId="0" fontId="2" fillId="18" borderId="14" applyAlignment="1" pivotButton="0" quotePrefix="0" xfId="0">
      <alignment horizontal="center" vertical="center"/>
    </xf>
    <xf numFmtId="0" fontId="2" fillId="18" borderId="14" applyAlignment="1" pivotButton="0" quotePrefix="0" xfId="0">
      <alignment vertical="center"/>
    </xf>
    <xf numFmtId="2" fontId="2" fillId="18" borderId="14" applyAlignment="1" pivotButton="0" quotePrefix="0" xfId="0">
      <alignment horizontal="center" vertical="center" wrapText="1"/>
    </xf>
    <xf numFmtId="165" fontId="3" fillId="18" borderId="14" pivotButton="0" quotePrefix="0" xfId="0"/>
    <xf numFmtId="165" fontId="5" fillId="18" borderId="11" applyAlignment="1" pivotButton="0" quotePrefix="0" xfId="0">
      <alignment horizontal="right" vertical="center"/>
    </xf>
    <xf numFmtId="0" fontId="11" fillId="18" borderId="13" applyAlignment="1" pivotButton="0" quotePrefix="0" xfId="0">
      <alignment horizontal="center"/>
    </xf>
    <xf numFmtId="49" fontId="11" fillId="18" borderId="0" applyAlignment="1" pivotButton="0" quotePrefix="0" xfId="0">
      <alignment horizontal="left"/>
    </xf>
    <xf numFmtId="0" fontId="2" fillId="18" borderId="14" applyAlignment="1" pivotButton="0" quotePrefix="0" xfId="0">
      <alignment horizontal="center" vertical="center" wrapText="1"/>
    </xf>
    <xf numFmtId="2" fontId="2" fillId="18" borderId="14" applyAlignment="1" pivotButton="0" quotePrefix="0" xfId="0">
      <alignment horizontal="center" vertical="center"/>
    </xf>
    <xf numFmtId="165" fontId="3" fillId="18" borderId="14" applyAlignment="1" pivotButton="0" quotePrefix="0" xfId="0">
      <alignment vertical="center"/>
    </xf>
    <xf numFmtId="0" fontId="8" fillId="18" borderId="0" pivotButton="0" quotePrefix="0" xfId="0"/>
    <xf numFmtId="0" fontId="17" fillId="18" borderId="0" pivotButton="0" quotePrefix="0" xfId="0"/>
    <xf numFmtId="0" fontId="11" fillId="16" borderId="13" applyAlignment="1" pivotButton="0" quotePrefix="0" xfId="0">
      <alignment horizontal="center"/>
    </xf>
    <xf numFmtId="0" fontId="5" fillId="18" borderId="14" pivotButton="0" quotePrefix="0" xfId="0"/>
    <xf numFmtId="2" fontId="2" fillId="18" borderId="14" pivotButton="0" quotePrefix="0" xfId="0"/>
    <xf numFmtId="2" fontId="3" fillId="18" borderId="14" pivotButton="0" quotePrefix="0" xfId="0"/>
    <xf numFmtId="165" fontId="4" fillId="18" borderId="14" applyAlignment="1" pivotButton="0" quotePrefix="0" xfId="0">
      <alignment horizontal="right"/>
    </xf>
    <xf numFmtId="0" fontId="5" fillId="18" borderId="14" applyAlignment="1" pivotButton="0" quotePrefix="0" xfId="0">
      <alignment wrapText="1"/>
    </xf>
    <xf numFmtId="0" fontId="4" fillId="18" borderId="14" pivotButton="0" quotePrefix="0" xfId="0"/>
    <xf numFmtId="165" fontId="2" fillId="18" borderId="14" applyAlignment="1" pivotButton="0" quotePrefix="0" xfId="0">
      <alignment vertical="center"/>
    </xf>
    <xf numFmtId="0" fontId="2" fillId="10" borderId="0" pivotButton="0" quotePrefix="0" xfId="0"/>
    <xf numFmtId="49" fontId="11" fillId="18" borderId="0" applyAlignment="1" pivotButton="0" quotePrefix="0" xfId="0">
      <alignment horizontal="center"/>
    </xf>
    <xf numFmtId="49" fontId="11" fillId="10" borderId="0" applyAlignment="1" pivotButton="0" quotePrefix="0" xfId="0">
      <alignment horizontal="center"/>
    </xf>
    <xf numFmtId="165" fontId="4" fillId="18" borderId="14" pivotButton="0" quotePrefix="0" xfId="0"/>
    <xf numFmtId="2" fontId="2" fillId="3" borderId="14" applyAlignment="1" pivotButton="0" quotePrefix="0" xfId="0">
      <alignment horizontal="center" vertical="center" wrapText="1"/>
    </xf>
    <xf numFmtId="0" fontId="4" fillId="18" borderId="13" applyAlignment="1" pivotButton="0" quotePrefix="0" xfId="0">
      <alignment horizontal="center" vertical="center"/>
    </xf>
    <xf numFmtId="0" fontId="6" fillId="18" borderId="12" pivotButton="0" quotePrefix="0" xfId="0"/>
    <xf numFmtId="165" fontId="4" fillId="18" borderId="13" applyAlignment="1" pivotButton="0" quotePrefix="0" xfId="0">
      <alignment horizontal="center" vertical="center"/>
    </xf>
    <xf numFmtId="0" fontId="6" fillId="18" borderId="11" pivotButton="0" quotePrefix="0" xfId="0"/>
    <xf numFmtId="1" fontId="13" fillId="0" borderId="12" applyAlignment="1" pivotButton="0" quotePrefix="0" xfId="0">
      <alignment horizontal="center" vertical="center"/>
    </xf>
    <xf numFmtId="0" fontId="4" fillId="18" borderId="14" applyAlignment="1" pivotButton="0" quotePrefix="0" xfId="0">
      <alignment horizontal="center" vertical="center"/>
    </xf>
    <xf numFmtId="0" fontId="3" fillId="18" borderId="14" applyAlignment="1" pivotButton="0" quotePrefix="0" xfId="0">
      <alignment horizontal="center" vertical="center"/>
    </xf>
    <xf numFmtId="4" fontId="2" fillId="18" borderId="14" applyAlignment="1" pivotButton="0" quotePrefix="0" xfId="0">
      <alignment horizontal="left" vertical="center" wrapText="1"/>
    </xf>
    <xf numFmtId="168" fontId="2" fillId="18" borderId="14" applyAlignment="1" pivotButton="0" quotePrefix="0" xfId="0">
      <alignment horizontal="center" vertical="center"/>
    </xf>
    <xf numFmtId="2" fontId="5" fillId="18" borderId="14" applyAlignment="1" pivotButton="0" quotePrefix="0" xfId="0">
      <alignment horizontal="center" vertical="center"/>
    </xf>
    <xf numFmtId="165" fontId="5" fillId="18" borderId="14" applyAlignment="1" pivotButton="0" quotePrefix="0" xfId="0">
      <alignment horizontal="center" vertical="center"/>
    </xf>
    <xf numFmtId="0" fontId="5" fillId="18" borderId="14" applyAlignment="1" pivotButton="0" quotePrefix="0" xfId="0">
      <alignment horizontal="left" vertical="center" wrapText="1"/>
    </xf>
    <xf numFmtId="0" fontId="3" fillId="19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17" fillId="19" borderId="14" pivotButton="0" quotePrefix="0" xfId="0"/>
    <xf numFmtId="0" fontId="3" fillId="0" borderId="14" applyAlignment="1" pivotButton="0" quotePrefix="0" xfId="0">
      <alignment vertical="center"/>
    </xf>
    <xf numFmtId="0" fontId="18" fillId="0" borderId="14" pivotButton="0" quotePrefix="0" xfId="0"/>
    <xf numFmtId="165" fontId="3" fillId="10" borderId="14" applyAlignment="1" pivotButton="0" quotePrefix="0" xfId="0">
      <alignment horizontal="center" vertical="center" wrapText="1"/>
    </xf>
    <xf numFmtId="0" fontId="19" fillId="0" borderId="14" pivotButton="0" quotePrefix="0" xfId="0"/>
    <xf numFmtId="0" fontId="2" fillId="0" borderId="14" applyAlignment="1" pivotButton="0" quotePrefix="0" xfId="0">
      <alignment vertical="center"/>
    </xf>
    <xf numFmtId="4" fontId="2" fillId="0" borderId="14" applyAlignment="1" pivotButton="0" quotePrefix="0" xfId="0">
      <alignment vertical="center"/>
    </xf>
    <xf numFmtId="0" fontId="17" fillId="0" borderId="14" pivotButton="0" quotePrefix="0" xfId="0"/>
    <xf numFmtId="4" fontId="2" fillId="0" borderId="14" pivotButton="0" quotePrefix="0" xfId="0"/>
    <xf numFmtId="0" fontId="20" fillId="0" borderId="14" pivotButton="0" quotePrefix="0" xfId="0"/>
    <xf numFmtId="0" fontId="21" fillId="0" borderId="0" pivotButton="0" quotePrefix="0" xfId="0"/>
    <xf numFmtId="0" fontId="2" fillId="19" borderId="14" pivotButton="0" quotePrefix="0" xfId="0"/>
    <xf numFmtId="4" fontId="2" fillId="19" borderId="14" pivotButton="0" quotePrefix="0" xfId="0"/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49" fontId="3" fillId="0" borderId="36" applyAlignment="1" pivotButton="0" quotePrefix="0" xfId="0">
      <alignment horizontal="left" wrapText="1"/>
    </xf>
    <xf numFmtId="168" fontId="5" fillId="3" borderId="14" applyAlignment="1" pivotButton="0" quotePrefix="0" xfId="0">
      <alignment horizontal="center" vertical="center"/>
    </xf>
    <xf numFmtId="165" fontId="2" fillId="3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0" fillId="0" borderId="7" pivotButton="0" quotePrefix="0" xfId="0"/>
    <xf numFmtId="0" fontId="21" fillId="0" borderId="14" pivotButton="0" quotePrefix="0" xfId="0"/>
    <xf numFmtId="0" fontId="21" fillId="0" borderId="14" applyAlignment="1" pivotButton="0" quotePrefix="0" xfId="0">
      <alignment vertical="center"/>
    </xf>
    <xf numFmtId="4" fontId="6" fillId="0" borderId="13" applyAlignment="1" pivotButton="0" quotePrefix="0" xfId="0">
      <alignment horizontal="center" vertical="center" wrapText="1"/>
    </xf>
    <xf numFmtId="2" fontId="2" fillId="18" borderId="14" applyAlignment="1" pivotButton="0" quotePrefix="0" xfId="0">
      <alignment vertical="center"/>
    </xf>
    <xf numFmtId="0" fontId="21" fillId="0" borderId="32" applyAlignment="1" pivotButton="0" quotePrefix="0" xfId="0">
      <alignment vertical="center"/>
    </xf>
    <xf numFmtId="0" fontId="21" fillId="0" borderId="7" applyAlignment="1" pivotButton="0" quotePrefix="0" xfId="0">
      <alignment vertical="center"/>
    </xf>
    <xf numFmtId="0" fontId="6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27.875" customWidth="1" min="1" max="1"/>
    <col width="45.5" customWidth="1" min="2" max="2"/>
    <col width="25.75" customWidth="1" min="3" max="3"/>
    <col width="12.75" customWidth="1" min="4" max="4"/>
    <col width="17.375" customWidth="1" min="5" max="5"/>
    <col width="8.875" customWidth="1" min="6" max="6"/>
    <col width="9.625" customWidth="1" min="7" max="7"/>
    <col width="7.125" customWidth="1" min="8" max="8"/>
    <col width="9.375" customWidth="1" min="9" max="9"/>
    <col width="13.5" customWidth="1" min="10" max="10"/>
    <col width="8.375" customWidth="1" min="11" max="11"/>
  </cols>
  <sheetData>
    <row r="1">
      <c r="A1" s="1" t="inlineStr">
        <is>
          <t>Ежедневный финансовый отчет</t>
        </is>
      </c>
      <c r="K1" s="2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2" t="n"/>
    </row>
    <row r="3">
      <c r="A3" s="5" t="inlineStr">
        <is>
          <t>Контрагент</t>
        </is>
      </c>
      <c r="B3" s="6" t="inlineStr">
        <is>
          <t xml:space="preserve">поставщик </t>
        </is>
      </c>
      <c r="C3" s="7" t="inlineStr">
        <is>
          <t>наименование</t>
        </is>
      </c>
      <c r="D3" s="8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  <c r="K3" s="12" t="n"/>
    </row>
    <row r="4">
      <c r="A4" s="13" t="n"/>
      <c r="B4" s="14" t="n"/>
      <c r="C4" s="15" t="n"/>
      <c r="D4" s="16" t="n"/>
      <c r="E4" s="17" t="n"/>
      <c r="F4" s="17" t="n"/>
      <c r="G4" s="18" t="n"/>
      <c r="H4" s="19">
        <f>G4*E4</f>
        <v/>
      </c>
      <c r="I4" s="19">
        <f>H4*F4</f>
        <v/>
      </c>
      <c r="J4" s="20" t="n"/>
      <c r="K4" s="2" t="n"/>
    </row>
    <row r="5">
      <c r="A5" s="13" t="n"/>
      <c r="B5" s="21" t="n"/>
      <c r="C5" s="15" t="n"/>
      <c r="D5" s="16" t="n"/>
      <c r="E5" s="17" t="n"/>
      <c r="F5" s="17" t="n"/>
      <c r="G5" s="22" t="n"/>
      <c r="H5" s="19">
        <f>G5*E5</f>
        <v/>
      </c>
      <c r="I5" s="19">
        <f>H5*F5</f>
        <v/>
      </c>
      <c r="J5" s="20" t="n"/>
      <c r="K5" s="2" t="n"/>
    </row>
    <row r="6">
      <c r="A6" s="13" t="n"/>
      <c r="B6" s="23" t="n"/>
      <c r="C6" s="15" t="n"/>
      <c r="D6" s="16" t="n"/>
      <c r="E6" s="17" t="n"/>
      <c r="F6" s="17" t="n"/>
      <c r="G6" s="22" t="n"/>
      <c r="H6" s="19">
        <f>G6*E6</f>
        <v/>
      </c>
      <c r="I6" s="19">
        <f>H6*F6</f>
        <v/>
      </c>
      <c r="J6" s="20" t="n"/>
      <c r="K6" s="2" t="n"/>
    </row>
    <row r="7">
      <c r="A7" s="13" t="n"/>
      <c r="B7" s="23" t="n"/>
      <c r="C7" s="15" t="n"/>
      <c r="D7" s="16" t="n"/>
      <c r="E7" s="17" t="n"/>
      <c r="F7" s="17" t="n"/>
      <c r="G7" s="22" t="n"/>
      <c r="H7" s="19">
        <f>G7*E7</f>
        <v/>
      </c>
      <c r="I7" s="19">
        <f>H7*F7</f>
        <v/>
      </c>
      <c r="J7" s="20" t="n"/>
      <c r="K7" s="2" t="n"/>
    </row>
    <row r="8">
      <c r="A8" s="13" t="n"/>
      <c r="B8" s="24" t="n"/>
      <c r="C8" s="15" t="n"/>
      <c r="D8" s="16" t="n"/>
      <c r="E8" s="17" t="n"/>
      <c r="F8" s="17" t="n"/>
      <c r="G8" s="22" t="n"/>
      <c r="H8" s="19">
        <f>G8*E8</f>
        <v/>
      </c>
      <c r="I8" s="19">
        <f>H8*F8</f>
        <v/>
      </c>
      <c r="J8" s="20" t="n"/>
      <c r="K8" s="2" t="n"/>
    </row>
    <row r="9">
      <c r="A9" s="13" t="n"/>
      <c r="B9" s="23" t="n"/>
      <c r="C9" s="15" t="n"/>
      <c r="D9" s="16" t="n"/>
      <c r="E9" s="17" t="n"/>
      <c r="F9" s="17" t="n"/>
      <c r="G9" s="22" t="n"/>
      <c r="H9" s="19">
        <f>G9*E9</f>
        <v/>
      </c>
      <c r="I9" s="19">
        <f>H9*F9</f>
        <v/>
      </c>
      <c r="J9" s="20" t="n"/>
      <c r="K9" s="2" t="n"/>
    </row>
    <row r="10">
      <c r="A10" s="13" t="n"/>
      <c r="B10" s="25" t="n"/>
      <c r="C10" s="21" t="n"/>
      <c r="D10" s="26" t="n"/>
      <c r="E10" s="16" t="n"/>
      <c r="F10" s="17" t="n"/>
      <c r="G10" s="17" t="n"/>
      <c r="H10" s="27" t="n"/>
      <c r="I10" s="28" t="n"/>
      <c r="J10" s="20" t="n"/>
      <c r="K10" s="2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  <c r="K11" s="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  <c r="K12" s="2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  <c r="K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  <c r="K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  <c r="K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  <c r="K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  <c r="K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  <c r="K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71709.45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  <c r="K19" s="2" t="n"/>
    </row>
    <row r="20">
      <c r="A20" s="66" t="n"/>
      <c r="B20" s="67" t="n"/>
      <c r="C20" s="68" t="n"/>
      <c r="D20" s="68" t="n"/>
      <c r="E20" s="69" t="n"/>
      <c r="F20" s="70" t="n"/>
      <c r="G20" s="71" t="n"/>
      <c r="H20" s="72">
        <f>F20*G20</f>
        <v/>
      </c>
      <c r="I20" s="2" t="n"/>
      <c r="J20" s="2" t="n"/>
      <c r="K20" s="2" t="n"/>
    </row>
    <row r="21">
      <c r="A21" s="66" t="n"/>
      <c r="B21" s="67" t="n"/>
      <c r="C21" s="68" t="n"/>
      <c r="D21" s="68" t="n"/>
      <c r="E21" s="69" t="n"/>
      <c r="F21" s="70" t="n"/>
      <c r="G21" s="71" t="n"/>
      <c r="H21" s="72">
        <f>F21*G21</f>
        <v/>
      </c>
      <c r="I21" s="2" t="n"/>
      <c r="J21" s="2" t="n"/>
      <c r="K21" s="2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2" t="n"/>
      <c r="J22" s="2" t="n"/>
      <c r="K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 t="n"/>
      <c r="I23" s="2" t="n"/>
      <c r="J23" s="2" t="n"/>
      <c r="K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  <c r="K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  <c r="K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  <c r="K26" s="2" t="n"/>
    </row>
    <row r="27">
      <c r="A27" s="81" t="inlineStr">
        <is>
          <t xml:space="preserve">уборка </t>
        </is>
      </c>
      <c r="B27" s="67" t="n"/>
      <c r="C27" s="68" t="n">
        <v>6000</v>
      </c>
      <c r="D27" s="68" t="n">
        <v>6000</v>
      </c>
      <c r="E27" s="76" t="n"/>
      <c r="F27" s="78" t="n"/>
      <c r="G27" s="79" t="n"/>
      <c r="H27" s="80" t="n"/>
      <c r="I27" s="2" t="n"/>
      <c r="J27" s="2" t="n"/>
      <c r="K27" s="2" t="n"/>
    </row>
    <row r="28">
      <c r="A28" s="82" t="n"/>
      <c r="B28" s="67" t="n"/>
      <c r="C28" s="68" t="n"/>
      <c r="D28" s="68" t="n"/>
      <c r="E28" s="76" t="n"/>
      <c r="F28" s="78" t="n"/>
      <c r="G28" s="79" t="n"/>
      <c r="H28" s="72">
        <f>F28*G28</f>
        <v/>
      </c>
      <c r="I28" s="2" t="n"/>
      <c r="J28" s="2" t="n"/>
      <c r="K28" s="2" t="n"/>
    </row>
    <row r="29">
      <c r="A29" s="81" t="n"/>
      <c r="B29" s="67" t="n"/>
      <c r="C29" s="68" t="n"/>
      <c r="D29" s="68" t="n"/>
      <c r="E29" s="76" t="n"/>
      <c r="F29" s="78" t="n"/>
      <c r="G29" s="79" t="n"/>
      <c r="H29" s="72">
        <f>F29*G29</f>
        <v/>
      </c>
      <c r="I29" s="2" t="n"/>
      <c r="J29" s="2" t="n"/>
      <c r="K29" s="2" t="n"/>
    </row>
    <row r="30">
      <c r="A30" s="69" t="n"/>
      <c r="B30" s="67" t="n"/>
      <c r="C30" s="68" t="n"/>
      <c r="D30" s="68" t="n"/>
      <c r="E30" s="76" t="n"/>
      <c r="F30" s="78" t="n"/>
      <c r="G30" s="79" t="n"/>
      <c r="H30" s="72">
        <f>F30*G30</f>
        <v/>
      </c>
      <c r="I30" s="2" t="n"/>
      <c r="J30" s="2" t="n"/>
      <c r="K30" s="2" t="n"/>
    </row>
    <row r="31">
      <c r="A31" s="69" t="n"/>
      <c r="B31" s="67" t="n"/>
      <c r="C31" s="68" t="n"/>
      <c r="D31" s="74" t="n"/>
      <c r="E31" s="76" t="n"/>
      <c r="F31" s="78" t="n"/>
      <c r="G31" s="79" t="n"/>
      <c r="H31" s="72">
        <f>F31*G31</f>
        <v/>
      </c>
      <c r="I31" s="2" t="n"/>
      <c r="J31" s="2" t="n"/>
      <c r="K31" s="2" t="n"/>
    </row>
    <row r="32">
      <c r="A32" s="81" t="n"/>
      <c r="B32" s="67" t="n"/>
      <c r="C32" s="68" t="n"/>
      <c r="D32" s="68" t="n"/>
      <c r="E32" s="76" t="n"/>
      <c r="F32" s="78" t="n"/>
      <c r="G32" s="79" t="n"/>
      <c r="H32" s="72">
        <f>F32*G32</f>
        <v/>
      </c>
      <c r="I32" s="2" t="n"/>
      <c r="J32" s="2" t="n"/>
      <c r="K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  <c r="K33" s="2" t="n"/>
    </row>
    <row r="34">
      <c r="A34" s="69" t="n"/>
      <c r="B34" s="67" t="n"/>
      <c r="C34" s="68" t="n"/>
      <c r="D34" s="74" t="n"/>
      <c r="E34" s="76" t="n"/>
      <c r="F34" s="78" t="n"/>
      <c r="G34" s="79" t="n"/>
      <c r="H34" s="72">
        <f>F34*G34</f>
        <v/>
      </c>
      <c r="I34" s="2" t="n"/>
      <c r="J34" s="2" t="n"/>
      <c r="K34" s="2" t="n"/>
    </row>
    <row r="35">
      <c r="A35" s="69" t="n"/>
      <c r="B35" s="67" t="n"/>
      <c r="C35" s="68" t="n"/>
      <c r="D35" s="74" t="n"/>
      <c r="E35" s="76" t="n"/>
      <c r="F35" s="78" t="n"/>
      <c r="G35" s="79" t="n"/>
      <c r="H35" s="72">
        <f>F35*G35</f>
        <v/>
      </c>
      <c r="I35" s="2" t="n"/>
      <c r="J35" s="2" t="n"/>
      <c r="K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  <c r="K36" s="2" t="n"/>
    </row>
    <row r="37">
      <c r="A37" s="69" t="n"/>
      <c r="B37" s="67" t="n"/>
      <c r="C37" s="68" t="n"/>
      <c r="D37" s="75" t="n"/>
      <c r="E37" s="76" t="n"/>
      <c r="F37" s="78" t="n"/>
      <c r="G37" s="79" t="n"/>
      <c r="H37" s="72">
        <f>F37*G37</f>
        <v/>
      </c>
      <c r="I37" s="2" t="n"/>
      <c r="J37" s="2" t="n"/>
      <c r="K37" s="2" t="n"/>
    </row>
    <row r="38">
      <c r="A38" s="69" t="n"/>
      <c r="B38" s="67" t="n"/>
      <c r="C38" s="68" t="n"/>
      <c r="D38" s="75" t="n"/>
      <c r="E38" s="76" t="n"/>
      <c r="F38" s="78" t="n"/>
      <c r="G38" s="79" t="n"/>
      <c r="H38" s="72">
        <f>F38*G38</f>
        <v/>
      </c>
      <c r="I38" s="2" t="n"/>
      <c r="J38" s="2" t="n"/>
      <c r="K38" s="2" t="n"/>
    </row>
    <row r="39">
      <c r="A39" s="69" t="n"/>
      <c r="B39" s="67" t="n"/>
      <c r="C39" s="68" t="n"/>
      <c r="D39" s="75" t="n"/>
      <c r="E39" s="76" t="n"/>
      <c r="F39" s="78" t="n"/>
      <c r="G39" s="79" t="n"/>
      <c r="H39" s="72">
        <f>F39*G39</f>
        <v/>
      </c>
      <c r="I39" s="2" t="n"/>
      <c r="J39" s="2" t="n"/>
      <c r="K39" s="2" t="n"/>
    </row>
    <row r="40">
      <c r="A40" s="83" t="n"/>
      <c r="B40" s="67" t="n"/>
      <c r="C40" s="68" t="n"/>
      <c r="D40" s="84" t="n"/>
      <c r="E40" s="85" t="inlineStr">
        <is>
          <t>Итого расход:</t>
        </is>
      </c>
      <c r="F40" s="78" t="n"/>
      <c r="G40" s="79" t="n"/>
      <c r="H40" s="72">
        <f>F40*G40</f>
        <v/>
      </c>
      <c r="I40" s="86" t="n"/>
      <c r="J40" s="86" t="n"/>
      <c r="K40" s="86" t="n"/>
    </row>
    <row r="41">
      <c r="A41" s="87" t="inlineStr">
        <is>
          <t>Остаток на конец дня:</t>
        </is>
      </c>
      <c r="B41" s="88" t="n"/>
      <c r="C41" s="89" t="n"/>
      <c r="D41" s="90">
        <f>SUM(D20,D21:D24,D19,)-SUM(D27:D40,)</f>
        <v/>
      </c>
      <c r="E41" s="87" t="inlineStr">
        <is>
          <t>Остаток на конец дня:</t>
        </is>
      </c>
      <c r="F41" s="91" t="n"/>
      <c r="G41" s="89" t="n"/>
      <c r="H41" s="92">
        <f>SUM(H19+H25-H40)</f>
        <v/>
      </c>
      <c r="I41" s="2" t="n"/>
      <c r="J41" s="2" t="n"/>
      <c r="K41" s="2" t="n"/>
    </row>
    <row r="42">
      <c r="A42" s="93" t="n"/>
      <c r="B42" s="94" t="n"/>
      <c r="C42" s="43" t="n"/>
      <c r="D42" s="41" t="n"/>
      <c r="E42" s="41" t="n"/>
      <c r="F42" s="41" t="n"/>
      <c r="G42" s="2" t="n"/>
      <c r="H42" s="2" t="n"/>
      <c r="I42" s="2" t="n"/>
      <c r="J42" s="2" t="n"/>
      <c r="K42" s="2" t="n"/>
    </row>
    <row r="43">
      <c r="A43" s="95" t="inlineStr">
        <is>
          <t>Расчётный счёт</t>
        </is>
      </c>
      <c r="B43" s="54" t="n"/>
      <c r="C43" s="54" t="n"/>
      <c r="D43" s="54" t="n"/>
      <c r="E43" s="54" t="n"/>
      <c r="F43" s="54" t="n"/>
      <c r="G43" s="54" t="n"/>
      <c r="H43" s="54" t="n"/>
      <c r="I43" s="2" t="n"/>
      <c r="J43" s="2" t="n"/>
      <c r="K43" s="2" t="n"/>
    </row>
    <row r="44">
      <c r="A44" s="96" t="inlineStr">
        <is>
          <t>ВТБ</t>
        </is>
      </c>
      <c r="B44" s="56" t="n"/>
      <c r="C44" s="56" t="n"/>
      <c r="D44" s="47" t="n"/>
      <c r="E44" s="97" t="inlineStr">
        <is>
          <t>Альфабанк</t>
        </is>
      </c>
      <c r="F44" s="56" t="n"/>
      <c r="G44" s="56" t="n"/>
      <c r="H44" s="47" t="n"/>
      <c r="I44" s="2" t="n"/>
      <c r="J44" s="2" t="n"/>
      <c r="K44" s="2" t="n"/>
    </row>
    <row r="45">
      <c r="A45" s="98" t="inlineStr">
        <is>
          <t>Остаток на начало дня:</t>
        </is>
      </c>
      <c r="B45" s="47" t="n"/>
      <c r="C45" s="99" t="n">
        <v>324024.72</v>
      </c>
      <c r="D45" s="56" t="n"/>
      <c r="E45" s="100" t="inlineStr">
        <is>
          <t>Остаток на начало дня:</t>
        </is>
      </c>
      <c r="F45" s="47" t="n"/>
      <c r="G45" s="101" t="n">
        <v>3090.7</v>
      </c>
      <c r="H45" s="47" t="n"/>
      <c r="I45" s="2" t="n"/>
      <c r="J45" s="2" t="n"/>
      <c r="K45" s="2" t="n"/>
    </row>
    <row r="46">
      <c r="A46" s="102" t="inlineStr">
        <is>
          <t>Поступление</t>
        </is>
      </c>
      <c r="B46" s="47" t="n"/>
      <c r="C46" s="102" t="inlineStr">
        <is>
          <t>Расход</t>
        </is>
      </c>
      <c r="D46" s="47" t="n"/>
      <c r="E46" s="102" t="inlineStr">
        <is>
          <t>Поступление</t>
        </is>
      </c>
      <c r="F46" s="47" t="n"/>
      <c r="G46" s="102" t="inlineStr">
        <is>
          <t>Расход</t>
        </is>
      </c>
      <c r="H46" s="47" t="n"/>
      <c r="I46" s="86" t="n"/>
      <c r="J46" s="86" t="n"/>
      <c r="K46" s="86" t="n"/>
    </row>
    <row r="47">
      <c r="A47" s="103" t="inlineStr">
        <is>
          <t>от кого</t>
        </is>
      </c>
      <c r="B47" s="103" t="inlineStr">
        <is>
          <t>сумма</t>
        </is>
      </c>
      <c r="C47" s="103" t="inlineStr">
        <is>
          <t>кому</t>
        </is>
      </c>
      <c r="D47" s="103" t="inlineStr">
        <is>
          <t>сумма</t>
        </is>
      </c>
      <c r="E47" s="103" t="inlineStr">
        <is>
          <t>от кого</t>
        </is>
      </c>
      <c r="F47" s="103" t="inlineStr">
        <is>
          <t>сумма</t>
        </is>
      </c>
      <c r="G47" s="103" t="inlineStr">
        <is>
          <t xml:space="preserve">кому </t>
        </is>
      </c>
      <c r="H47" s="103" t="inlineStr">
        <is>
          <t>сумма</t>
        </is>
      </c>
      <c r="I47" s="86" t="n"/>
      <c r="J47" s="86" t="n"/>
      <c r="K47" s="86" t="n"/>
    </row>
    <row r="48">
      <c r="A48" s="104" t="inlineStr">
        <is>
          <t xml:space="preserve">проценты по депозиту </t>
        </is>
      </c>
      <c r="B48" s="105" t="n">
        <v>505.97</v>
      </c>
      <c r="C48" s="106" t="inlineStr">
        <is>
          <t xml:space="preserve">комиссия банка </t>
        </is>
      </c>
      <c r="D48" s="107" t="n">
        <v>50</v>
      </c>
      <c r="E48" s="108" t="n"/>
      <c r="F48" s="109" t="n"/>
      <c r="G48" s="110" t="n"/>
      <c r="H48" s="109" t="n"/>
      <c r="I48" s="86" t="n"/>
      <c r="J48" s="86" t="n"/>
      <c r="K48" s="86" t="n"/>
    </row>
    <row r="49">
      <c r="A49" s="111" t="inlineStr">
        <is>
          <t xml:space="preserve">ООО Яндекс лавка </t>
        </is>
      </c>
      <c r="B49" s="112" t="n">
        <v>1123200</v>
      </c>
      <c r="C49" s="112" t="inlineStr">
        <is>
          <t>Интернет решения  за МФУ</t>
        </is>
      </c>
      <c r="D49" s="107" t="n">
        <v>19713</v>
      </c>
      <c r="E49" s="110" t="n"/>
      <c r="F49" s="109" t="n"/>
      <c r="G49" s="110" t="n"/>
      <c r="H49" s="109" t="n"/>
      <c r="I49" s="86" t="n"/>
      <c r="J49" s="86" t="n"/>
      <c r="K49" s="86" t="n"/>
    </row>
    <row r="50">
      <c r="A50" s="111" t="n"/>
      <c r="B50" s="113" t="n"/>
      <c r="C50" s="113" t="inlineStr">
        <is>
          <t xml:space="preserve">Единый налоговый платеж </t>
        </is>
      </c>
      <c r="D50" s="107" t="n">
        <v>196093</v>
      </c>
      <c r="E50" s="110" t="n"/>
      <c r="F50" s="109" t="n"/>
      <c r="G50" s="114" t="n"/>
      <c r="H50" s="109" t="n"/>
      <c r="I50" s="86" t="n"/>
      <c r="J50" s="86" t="n"/>
      <c r="K50" s="86" t="n"/>
    </row>
    <row r="51">
      <c r="A51" s="115" t="n"/>
      <c r="B51" s="113" t="n"/>
      <c r="C51" s="113" t="inlineStr">
        <is>
          <t>Размещение на депозите 1231000</t>
        </is>
      </c>
      <c r="D51" s="107" t="n">
        <v>0</v>
      </c>
      <c r="E51" s="108" t="n"/>
      <c r="F51" s="116" t="n"/>
      <c r="G51" s="114" t="n"/>
      <c r="H51" s="109" t="n"/>
      <c r="I51" s="86" t="n"/>
      <c r="J51" s="86" t="n"/>
      <c r="K51" s="86" t="n"/>
    </row>
    <row r="52">
      <c r="A52" s="117" t="n"/>
      <c r="B52" s="113" t="n"/>
      <c r="C52" s="113" t="n"/>
      <c r="D52" s="107" t="n"/>
      <c r="E52" s="118" t="n"/>
      <c r="F52" s="119" t="n"/>
      <c r="G52" s="120" t="n"/>
      <c r="H52" s="120" t="n"/>
      <c r="I52" s="86" t="n"/>
      <c r="J52" s="86" t="n"/>
      <c r="K52" s="86" t="n"/>
    </row>
    <row r="53">
      <c r="A53" s="117" t="n"/>
      <c r="B53" s="113" t="n"/>
      <c r="C53" s="113" t="n"/>
      <c r="D53" s="107" t="n"/>
      <c r="E53" s="118" t="n"/>
      <c r="F53" s="119" t="n"/>
      <c r="G53" s="121" t="n"/>
      <c r="H53" s="120" t="n"/>
      <c r="I53" s="86" t="n"/>
      <c r="J53" s="86" t="n"/>
      <c r="K53" s="86" t="n"/>
    </row>
    <row r="54">
      <c r="A54" s="122" t="n"/>
      <c r="B54" s="113" t="n"/>
      <c r="C54" s="113" t="n"/>
      <c r="D54" s="107" t="n"/>
      <c r="E54" s="118" t="n"/>
      <c r="F54" s="118" t="n"/>
      <c r="G54" s="123" t="n"/>
      <c r="H54" s="120" t="n"/>
      <c r="I54" s="86" t="n"/>
      <c r="J54" s="86" t="n"/>
      <c r="K54" s="86" t="n"/>
    </row>
    <row r="55">
      <c r="A55" s="124" t="n"/>
      <c r="B55" s="122" t="n"/>
      <c r="C55" s="113" t="n"/>
      <c r="D55" s="107" t="n"/>
      <c r="E55" s="124" t="n"/>
      <c r="F55" s="118" t="n"/>
      <c r="G55" s="110" t="n"/>
      <c r="H55" s="120" t="n"/>
      <c r="I55" s="86" t="n"/>
      <c r="J55" s="86" t="n"/>
      <c r="K55" s="86" t="n"/>
    </row>
    <row r="56">
      <c r="A56" s="124" t="n"/>
      <c r="B56" s="125" t="n"/>
      <c r="C56" s="110" t="n"/>
      <c r="D56" s="126" t="n"/>
      <c r="E56" s="124" t="n"/>
      <c r="F56" s="118" t="n"/>
      <c r="G56" s="110" t="n"/>
      <c r="H56" s="120" t="n"/>
      <c r="I56" s="86" t="n"/>
      <c r="J56" s="86" t="n"/>
      <c r="K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  <c r="K57" s="86" t="n"/>
    </row>
    <row r="58">
      <c r="A58" s="124" t="n"/>
      <c r="B58" s="125" t="n"/>
      <c r="C58" s="110" t="n"/>
      <c r="D58" s="126" t="n"/>
      <c r="E58" s="124" t="n"/>
      <c r="F58" s="118" t="n"/>
      <c r="G58" s="110" t="n"/>
      <c r="H58" s="120" t="n"/>
      <c r="I58" s="86" t="n"/>
      <c r="J58" s="86" t="n"/>
      <c r="K58" s="86" t="n"/>
    </row>
    <row r="59">
      <c r="A59" s="124" t="n"/>
      <c r="B59" s="125" t="n"/>
      <c r="C59" s="110" t="n"/>
      <c r="D59" s="126" t="n"/>
      <c r="E59" s="124" t="n"/>
      <c r="F59" s="118" t="n"/>
      <c r="G59" s="110" t="n"/>
      <c r="H59" s="120" t="n"/>
      <c r="I59" s="86" t="n"/>
      <c r="J59" s="86" t="n"/>
      <c r="K59" s="86" t="n"/>
    </row>
    <row r="60">
      <c r="A60" s="124" t="n"/>
      <c r="B60" s="125" t="n"/>
      <c r="C60" s="110" t="n"/>
      <c r="D60" s="126" t="n"/>
      <c r="E60" s="124" t="n"/>
      <c r="F60" s="118" t="n"/>
      <c r="G60" s="110" t="n"/>
      <c r="H60" s="120" t="n"/>
      <c r="I60" s="86" t="n"/>
      <c r="J60" s="86" t="n"/>
      <c r="K60" s="86" t="n"/>
    </row>
    <row r="61">
      <c r="A61" s="127" t="n"/>
      <c r="B61" s="128">
        <f>SUM(B48:B60)+C45</f>
        <v/>
      </c>
      <c r="C61" s="129" t="n"/>
      <c r="D61" s="128">
        <f>SUM(D48:D60)</f>
        <v/>
      </c>
      <c r="E61" s="130" t="n"/>
      <c r="F61" s="130">
        <f>SUM(F48:F60)</f>
        <v/>
      </c>
      <c r="G61" s="130" t="n"/>
      <c r="H61" s="130">
        <f>SUM(H48:H60)</f>
        <v/>
      </c>
      <c r="I61" s="2" t="n"/>
      <c r="J61" s="2" t="n"/>
      <c r="K61" s="2" t="n"/>
    </row>
    <row r="62">
      <c r="A62" s="131" t="inlineStr">
        <is>
          <t>Остаток на конец дня:</t>
        </is>
      </c>
      <c r="B62" s="132">
        <f>B61-D61</f>
        <v/>
      </c>
      <c r="C62" s="56" t="n"/>
      <c r="D62" s="47" t="n"/>
      <c r="E62" s="100" t="inlineStr">
        <is>
          <t>Остаток на конец дня:</t>
        </is>
      </c>
      <c r="F62" s="101">
        <f>G45+F61-H61</f>
        <v/>
      </c>
      <c r="G62" s="56" t="n"/>
      <c r="H62" s="47" t="n"/>
      <c r="I62" s="2" t="n"/>
      <c r="J62" s="2" t="n"/>
      <c r="K62" s="2" t="n"/>
    </row>
    <row r="63">
      <c r="A63" s="133" t="inlineStr">
        <is>
          <t>ИТОГО:</t>
        </is>
      </c>
      <c r="B63" s="47" t="n"/>
      <c r="C63" s="134">
        <f>B62+F62</f>
        <v/>
      </c>
      <c r="D63" s="56" t="n"/>
      <c r="E63" s="56" t="n"/>
      <c r="F63" s="56" t="n"/>
      <c r="G63" s="56" t="n"/>
      <c r="H63" s="47" t="n"/>
      <c r="I63" s="2" t="n"/>
      <c r="J63" s="2" t="n"/>
      <c r="K63" s="2" t="n"/>
    </row>
    <row r="64">
      <c r="A64" s="41" t="n"/>
      <c r="B64" s="94" t="n"/>
      <c r="C64" s="43" t="n"/>
      <c r="D64" s="41" t="n"/>
      <c r="E64" s="41" t="n"/>
      <c r="F64" s="41" t="n"/>
      <c r="G64" s="41" t="n"/>
      <c r="H64" s="93" t="n"/>
      <c r="I64" s="135" t="n"/>
      <c r="J64" s="135" t="n"/>
      <c r="K64" s="135" t="n"/>
    </row>
    <row r="65">
      <c r="A65" s="136" t="n"/>
      <c r="B65" s="137" t="inlineStr">
        <is>
          <t>Реализация по безналичному расчёту</t>
        </is>
      </c>
      <c r="D65" s="2" t="n"/>
      <c r="E65" s="41" t="n"/>
      <c r="F65" s="41" t="n"/>
      <c r="G65" s="41" t="n"/>
      <c r="H65" s="138" t="n"/>
      <c r="I65" s="2" t="n"/>
      <c r="J65" s="2" t="n"/>
      <c r="K65" s="2" t="n"/>
    </row>
    <row r="66">
      <c r="A66" s="139" t="inlineStr">
        <is>
          <t>Контрагент</t>
        </is>
      </c>
      <c r="B66" s="140" t="inlineStr">
        <is>
          <t>поставщик</t>
        </is>
      </c>
      <c r="C66" s="141" t="inlineStr">
        <is>
          <t>наименование</t>
        </is>
      </c>
      <c r="D66" s="142" t="inlineStr">
        <is>
          <t>вес упаковки, тарелки</t>
        </is>
      </c>
      <c r="E66" s="143" t="inlineStr">
        <is>
          <t>кол.-во пакетов, коробок</t>
        </is>
      </c>
      <c r="F66" s="144" t="inlineStr">
        <is>
          <t>кол-во мест в коробке/упаковке</t>
        </is>
      </c>
      <c r="G66" s="145" t="inlineStr">
        <is>
          <t>общий вес, кг.</t>
        </is>
      </c>
      <c r="H66" s="146" t="inlineStr">
        <is>
          <t>цена пакет, тарелка</t>
        </is>
      </c>
      <c r="I66" s="147" t="inlineStr">
        <is>
          <t>сумма</t>
        </is>
      </c>
      <c r="J66" s="148" t="inlineStr">
        <is>
          <t>Комментарий</t>
        </is>
      </c>
      <c r="K66" s="149" t="n"/>
    </row>
    <row r="67">
      <c r="A67" s="150" t="n"/>
      <c r="B67" s="151" t="n"/>
      <c r="C67" s="152" t="n"/>
      <c r="D67" s="153" t="n"/>
      <c r="E67" s="154" t="n"/>
      <c r="F67" s="155" t="n"/>
      <c r="G67" s="154" t="n"/>
      <c r="H67" s="156" t="n"/>
      <c r="I67" s="156" t="n"/>
      <c r="J67" s="157" t="n"/>
      <c r="K67" s="2" t="n"/>
    </row>
    <row r="68">
      <c r="A68" s="150" t="n"/>
      <c r="B68" s="151" t="n"/>
      <c r="C68" s="158" t="n"/>
      <c r="D68" s="153" t="n"/>
      <c r="E68" s="154" t="n"/>
      <c r="F68" s="155" t="n"/>
      <c r="G68" s="154" t="n"/>
      <c r="H68" s="156" t="n"/>
      <c r="I68" s="156" t="n"/>
      <c r="J68" s="159" t="n"/>
      <c r="K68" s="2" t="n"/>
    </row>
    <row r="69">
      <c r="A69" s="150" t="n"/>
      <c r="B69" s="151" t="n"/>
      <c r="C69" s="152" t="n"/>
      <c r="D69" s="153" t="n"/>
      <c r="E69" s="154" t="n"/>
      <c r="F69" s="155" t="n"/>
      <c r="G69" s="154" t="n"/>
      <c r="H69" s="156" t="n"/>
      <c r="I69" s="156" t="n"/>
      <c r="J69" s="159" t="n"/>
      <c r="K69" s="2" t="n"/>
    </row>
    <row r="70">
      <c r="A70" s="150" t="n"/>
      <c r="B70" s="151" t="n"/>
      <c r="C70" s="152" t="n"/>
      <c r="D70" s="153" t="n"/>
      <c r="E70" s="154" t="n"/>
      <c r="F70" s="155" t="n"/>
      <c r="G70" s="154" t="n"/>
      <c r="H70" s="156" t="n"/>
      <c r="I70" s="156" t="n"/>
      <c r="J70" s="159" t="n"/>
      <c r="K70" s="2" t="n"/>
    </row>
    <row r="71">
      <c r="A71" s="150" t="n"/>
      <c r="B71" s="151" t="n"/>
      <c r="C71" s="152" t="n"/>
      <c r="D71" s="153" t="n"/>
      <c r="E71" s="154" t="n"/>
      <c r="F71" s="155" t="n"/>
      <c r="G71" s="154" t="n"/>
      <c r="H71" s="156" t="n"/>
      <c r="I71" s="156" t="n"/>
      <c r="J71" s="159" t="n"/>
      <c r="K71" s="2" t="n"/>
    </row>
    <row r="72">
      <c r="A72" s="150" t="n"/>
      <c r="B72" s="151" t="n"/>
      <c r="C72" s="152" t="n"/>
      <c r="D72" s="153" t="n"/>
      <c r="E72" s="154" t="n"/>
      <c r="F72" s="155" t="n"/>
      <c r="G72" s="154" t="n"/>
      <c r="H72" s="156" t="n"/>
      <c r="I72" s="156" t="n"/>
      <c r="J72" s="159" t="n"/>
      <c r="K72" s="2" t="n"/>
    </row>
    <row r="73">
      <c r="A73" s="150" t="n"/>
      <c r="B73" s="150" t="n"/>
      <c r="C73" s="160" t="n"/>
      <c r="D73" s="153" t="n"/>
      <c r="E73" s="154" t="n"/>
      <c r="F73" s="155" t="n"/>
      <c r="G73" s="154" t="n"/>
      <c r="H73" s="156" t="n"/>
      <c r="I73" s="156" t="n"/>
      <c r="J73" s="161" t="n"/>
      <c r="K73" s="2" t="n"/>
    </row>
    <row r="74">
      <c r="A74" s="162" t="n"/>
      <c r="B74" s="163" t="n"/>
      <c r="C74" s="164" t="n"/>
      <c r="D74" s="165" t="n"/>
      <c r="E74" s="166" t="n"/>
      <c r="F74" s="167" t="n"/>
      <c r="G74" s="168" t="n"/>
      <c r="H74" s="169" t="n"/>
      <c r="I74" s="170" t="n"/>
      <c r="J74" s="161" t="n"/>
      <c r="K74" s="2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  <c r="K75" s="2" t="n"/>
    </row>
    <row r="76">
      <c r="A76" s="162" t="n"/>
      <c r="B76" s="163" t="n"/>
      <c r="C76" s="171" t="n"/>
      <c r="D76" s="153" t="n"/>
      <c r="E76" s="172" t="n"/>
      <c r="F76" s="155" t="n"/>
      <c r="G76" s="168" t="n"/>
      <c r="H76" s="156" t="n"/>
      <c r="I76" s="170" t="n"/>
      <c r="J76" s="161" t="n"/>
      <c r="K76" s="2" t="n"/>
    </row>
    <row r="77">
      <c r="A77" s="162" t="n"/>
      <c r="B77" s="163" t="n"/>
      <c r="C77" s="171" t="n"/>
      <c r="D77" s="153" t="n"/>
      <c r="E77" s="172" t="n"/>
      <c r="F77" s="155" t="n"/>
      <c r="G77" s="168" t="n"/>
      <c r="H77" s="156" t="n"/>
      <c r="I77" s="170" t="n"/>
      <c r="J77" s="161" t="n"/>
      <c r="K77" s="2" t="n"/>
    </row>
    <row r="78">
      <c r="A78" s="162" t="n"/>
      <c r="B78" s="163" t="n"/>
      <c r="C78" s="171" t="n"/>
      <c r="D78" s="153" t="n"/>
      <c r="E78" s="172" t="n"/>
      <c r="F78" s="155" t="n"/>
      <c r="G78" s="168" t="n"/>
      <c r="H78" s="156" t="n"/>
      <c r="I78" s="170" t="n"/>
      <c r="J78" s="161" t="n"/>
      <c r="K78" s="2" t="n"/>
    </row>
    <row r="79">
      <c r="A79" s="173" t="n"/>
      <c r="B79" s="174" t="n"/>
      <c r="C79" s="175" t="n"/>
      <c r="D79" s="176" t="n"/>
      <c r="E79" s="177" t="n"/>
      <c r="F79" s="178" t="n"/>
      <c r="G79" s="179" t="n"/>
      <c r="H79" s="180" t="n"/>
      <c r="I79" s="181" t="n"/>
      <c r="J79" s="161" t="n"/>
      <c r="K79" s="2" t="n"/>
    </row>
    <row r="80">
      <c r="A80" s="182" t="n"/>
      <c r="B80" s="163" t="n"/>
      <c r="C80" s="183" t="n"/>
      <c r="D80" s="184" t="n"/>
      <c r="E80" s="166" t="n"/>
      <c r="F80" s="167" t="n"/>
      <c r="G80" s="185">
        <f>D80*F80</f>
        <v/>
      </c>
      <c r="H80" s="186" t="n"/>
      <c r="I80" s="186">
        <f>F80*H80*E80</f>
        <v/>
      </c>
      <c r="J80" s="187" t="n"/>
      <c r="K80" s="2" t="n"/>
    </row>
    <row r="81">
      <c r="A81" s="182" t="n"/>
      <c r="B81" s="163" t="n"/>
      <c r="C81" s="188" t="n"/>
      <c r="D81" s="189" t="n"/>
      <c r="E81" s="190" t="n"/>
      <c r="F81" s="189" t="n"/>
      <c r="G81" s="185">
        <f>D81*F81</f>
        <v/>
      </c>
      <c r="H81" s="191" t="n"/>
      <c r="I81" s="186">
        <f>F81*H81*E81</f>
        <v/>
      </c>
      <c r="J81" s="187" t="n"/>
      <c r="K81" s="2" t="n"/>
    </row>
    <row r="82">
      <c r="A82" s="192" t="inlineStr">
        <is>
          <t>ИТОГО:</t>
        </is>
      </c>
      <c r="B82" s="193" t="n"/>
      <c r="C82" s="194" t="n"/>
      <c r="D82" s="195" t="n"/>
      <c r="E82" s="196">
        <f>SUM(E67:E81)</f>
        <v/>
      </c>
      <c r="F82" s="197">
        <f>SUM(F67:F79)</f>
        <v/>
      </c>
      <c r="G82" s="198">
        <f>SUM(G67:G74)</f>
        <v/>
      </c>
      <c r="H82" s="199" t="n"/>
      <c r="I82" s="199">
        <f>SUM(I67:I75)</f>
        <v/>
      </c>
      <c r="J82" s="200" t="n"/>
      <c r="K82" s="2" t="n"/>
    </row>
    <row r="83">
      <c r="A83" s="2" t="n"/>
      <c r="B83" s="94" t="n"/>
      <c r="C83" s="43" t="n"/>
      <c r="D83" s="41" t="n"/>
      <c r="E83" s="41" t="n"/>
      <c r="F83" s="41" t="n"/>
      <c r="G83" s="41" t="n"/>
      <c r="H83" s="2" t="n"/>
      <c r="I83" s="2" t="n"/>
      <c r="J83" s="2" t="n"/>
      <c r="K83" s="2" t="n"/>
    </row>
    <row r="84">
      <c r="A84" s="201" t="inlineStr">
        <is>
          <t>реализация Всего касса+безнал:</t>
        </is>
      </c>
      <c r="B84" s="202" t="inlineStr">
        <is>
          <t>кг</t>
        </is>
      </c>
      <c r="C84" s="203" t="inlineStr">
        <is>
          <t>на сумму</t>
        </is>
      </c>
      <c r="D84" s="41" t="n"/>
      <c r="E84" s="41" t="n"/>
      <c r="F84" s="41" t="n"/>
      <c r="G84" s="41" t="n"/>
      <c r="H84" s="2" t="n"/>
      <c r="I84" s="2" t="n"/>
      <c r="J84" s="2" t="n"/>
      <c r="K84" s="2" t="n"/>
    </row>
    <row r="85">
      <c r="A85" s="204" t="n"/>
      <c r="B85" s="205">
        <f>E12+G82</f>
        <v/>
      </c>
      <c r="C85" s="206">
        <f>I12+H82+I82</f>
        <v/>
      </c>
      <c r="D85" s="41" t="n"/>
      <c r="E85" s="41" t="n"/>
      <c r="F85" s="41" t="n"/>
      <c r="G85" s="41" t="n"/>
      <c r="H85" s="2" t="n"/>
      <c r="I85" s="2" t="n"/>
      <c r="J85" s="2" t="n"/>
      <c r="K85" s="2" t="n"/>
    </row>
    <row r="86">
      <c r="A86" s="207" t="inlineStr">
        <is>
          <t>Услуги оказывают нам (доставка сырья и комплектующих на склад, Товара покупателям)</t>
        </is>
      </c>
      <c r="B86" s="54" t="n"/>
      <c r="C86" s="54" t="n"/>
      <c r="D86" s="54" t="n"/>
      <c r="E86" s="54" t="n"/>
      <c r="F86" s="54" t="n"/>
      <c r="G86" s="54" t="n"/>
      <c r="H86" s="54" t="n"/>
      <c r="I86" s="208" t="n"/>
      <c r="J86" s="58" t="n"/>
      <c r="K86" s="2" t="n"/>
    </row>
    <row r="87">
      <c r="A87" s="209" t="inlineStr">
        <is>
          <t>Контрагент</t>
        </is>
      </c>
      <c r="B87" s="210" t="inlineStr">
        <is>
          <t>вид услуги</t>
        </is>
      </c>
      <c r="C87" s="211" t="inlineStr">
        <is>
          <t>Кому</t>
        </is>
      </c>
      <c r="D87" s="212" t="inlineStr">
        <is>
          <t>наименование</t>
        </is>
      </c>
      <c r="E87" s="213" t="inlineStr">
        <is>
          <t xml:space="preserve">город доставки </t>
        </is>
      </c>
      <c r="F87" s="214" t="inlineStr">
        <is>
          <t>цена</t>
        </is>
      </c>
      <c r="G87" s="213" t="inlineStr">
        <is>
          <t>сумма</t>
        </is>
      </c>
      <c r="H87" s="212" t="inlineStr">
        <is>
          <t>за тонну</t>
        </is>
      </c>
      <c r="I87" s="208" t="n"/>
      <c r="J87" s="58" t="n"/>
      <c r="K87" s="2" t="n"/>
    </row>
    <row r="88">
      <c r="A88" s="215" t="n"/>
      <c r="B88" s="60" t="n"/>
      <c r="C88" s="216" t="n"/>
      <c r="D88" s="60" t="n"/>
      <c r="E88" s="217" t="n"/>
      <c r="F88" s="62" t="n"/>
      <c r="G88" s="218">
        <f>F88+F1206</f>
        <v/>
      </c>
      <c r="H88" s="219" t="n"/>
      <c r="I88" s="208" t="n"/>
      <c r="J88" s="58" t="n"/>
      <c r="K88" s="2" t="n"/>
    </row>
    <row r="89">
      <c r="A89" s="220" t="n"/>
      <c r="B89" s="60" t="n"/>
      <c r="C89" s="221" t="n"/>
      <c r="D89" s="222" t="n"/>
      <c r="E89" s="217" t="n"/>
      <c r="F89" s="223" t="n"/>
      <c r="G89" s="218">
        <f>F89+F1207</f>
        <v/>
      </c>
      <c r="H89" s="219" t="n"/>
      <c r="I89" s="208" t="n"/>
      <c r="J89" s="58" t="n"/>
      <c r="K89" s="2" t="n"/>
    </row>
    <row r="90">
      <c r="A90" s="220" t="n"/>
      <c r="B90" s="60" t="n"/>
      <c r="C90" s="221" t="n"/>
      <c r="D90" s="222" t="n"/>
      <c r="E90" s="217" t="n"/>
      <c r="F90" s="223" t="n"/>
      <c r="G90" s="218">
        <f>F90+F1208</f>
        <v/>
      </c>
      <c r="H90" s="219" t="n"/>
      <c r="I90" s="2" t="n"/>
      <c r="J90" s="2" t="n"/>
      <c r="K90" s="2" t="n"/>
    </row>
    <row r="91">
      <c r="A91" s="220" t="n"/>
      <c r="B91" s="60" t="n"/>
      <c r="C91" s="224" t="n"/>
      <c r="D91" s="222" t="n"/>
      <c r="E91" s="225" t="n"/>
      <c r="F91" s="223" t="n"/>
      <c r="G91" s="218">
        <f>F91+F1209</f>
        <v/>
      </c>
      <c r="H91" s="219" t="n"/>
      <c r="I91" s="2" t="n"/>
      <c r="J91" s="2" t="n"/>
      <c r="K91" s="2" t="n"/>
    </row>
    <row r="92">
      <c r="A92" s="220" t="n"/>
      <c r="B92" s="60" t="n"/>
      <c r="C92" s="221" t="n"/>
      <c r="D92" s="226" t="n"/>
      <c r="E92" s="225" t="n"/>
      <c r="F92" s="223" t="n"/>
      <c r="G92" s="218">
        <f>F92+F1210</f>
        <v/>
      </c>
      <c r="H92" s="219" t="n"/>
      <c r="I92" s="2" t="n"/>
      <c r="J92" s="2" t="n"/>
      <c r="K92" s="2" t="n"/>
    </row>
    <row r="93">
      <c r="A93" s="220" t="n"/>
      <c r="B93" s="60" t="n"/>
      <c r="C93" s="221" t="n"/>
      <c r="D93" s="226" t="n"/>
      <c r="E93" s="227" t="n"/>
      <c r="F93" s="223" t="n"/>
      <c r="G93" s="218">
        <f>F93+F1211</f>
        <v/>
      </c>
      <c r="H93" s="219" t="n"/>
      <c r="I93" s="2" t="n"/>
      <c r="J93" s="2" t="n"/>
      <c r="K93" s="2" t="n"/>
    </row>
    <row r="94">
      <c r="A94" s="220" t="n"/>
      <c r="B94" s="60" t="n"/>
      <c r="C94" s="221" t="n"/>
      <c r="D94" s="226" t="n"/>
      <c r="E94" s="227" t="n"/>
      <c r="F94" s="223" t="n"/>
      <c r="G94" s="218">
        <f>F94+F1212</f>
        <v/>
      </c>
      <c r="H94" s="219" t="n"/>
      <c r="I94" s="2" t="n"/>
      <c r="J94" s="2" t="n"/>
      <c r="K94" s="2" t="n"/>
    </row>
    <row r="95">
      <c r="A95" s="220" t="n"/>
      <c r="B95" s="60" t="n"/>
      <c r="C95" s="221" t="n"/>
      <c r="D95" s="226" t="n"/>
      <c r="E95" s="227" t="n"/>
      <c r="F95" s="223" t="n"/>
      <c r="G95" s="218">
        <f>F95+F1213</f>
        <v/>
      </c>
      <c r="H95" s="228" t="n"/>
      <c r="I95" s="2" t="n"/>
      <c r="J95" s="2" t="n"/>
      <c r="K95" s="2" t="n"/>
    </row>
    <row r="96">
      <c r="A96" s="229" t="inlineStr">
        <is>
          <t>ИТОГО:</t>
        </is>
      </c>
      <c r="B96" s="230" t="n"/>
      <c r="C96" s="231" t="n"/>
      <c r="D96" s="232" t="n"/>
      <c r="E96" s="233">
        <f>SUM(E88:E95)</f>
        <v/>
      </c>
      <c r="F96" s="234" t="n"/>
      <c r="G96" s="235">
        <f>SUM(G88:G95)</f>
        <v/>
      </c>
      <c r="H96" s="235" t="n"/>
      <c r="I96" s="2" t="n"/>
      <c r="J96" s="2" t="n"/>
      <c r="K96" s="2" t="n"/>
    </row>
    <row r="97">
      <c r="A97" s="41" t="n"/>
      <c r="B97" s="94" t="n"/>
      <c r="C97" s="43" t="n"/>
      <c r="D97" s="41" t="n"/>
      <c r="E97" s="41" t="n"/>
      <c r="F97" s="41" t="n"/>
      <c r="G97" s="41" t="n"/>
      <c r="H97" s="41" t="n"/>
      <c r="I97" s="2" t="n"/>
      <c r="J97" s="2" t="n"/>
      <c r="K97" s="2" t="n"/>
    </row>
    <row r="98">
      <c r="A98" s="236" t="inlineStr">
        <is>
          <t>Услуги оказываем мы</t>
        </is>
      </c>
      <c r="B98" s="54" t="n"/>
      <c r="C98" s="54" t="n"/>
      <c r="D98" s="54" t="n"/>
      <c r="E98" s="54" t="n"/>
      <c r="F98" s="54" t="n"/>
      <c r="G98" s="54" t="n"/>
      <c r="H98" s="54" t="n"/>
      <c r="I98" s="237" t="n"/>
      <c r="J98" s="2" t="n"/>
      <c r="K98" s="2" t="n"/>
    </row>
    <row r="99">
      <c r="A99" s="209" t="inlineStr">
        <is>
          <t>Контрагент</t>
        </is>
      </c>
      <c r="B99" s="238" t="inlineStr">
        <is>
          <t>вид услуги</t>
        </is>
      </c>
      <c r="C99" s="239" t="inlineStr">
        <is>
          <t>наименование</t>
        </is>
      </c>
      <c r="D99" s="240" t="inlineStr">
        <is>
          <t>вес, кг, шт</t>
        </is>
      </c>
      <c r="E99" s="240" t="inlineStr">
        <is>
          <t>цена</t>
        </is>
      </c>
      <c r="F99" s="240" t="inlineStr">
        <is>
          <t>сумма</t>
        </is>
      </c>
      <c r="G99" s="213" t="inlineStr">
        <is>
          <t>№УПД</t>
        </is>
      </c>
      <c r="H99" s="213" t="n"/>
      <c r="I99" s="2" t="n"/>
      <c r="J99" s="2" t="n"/>
      <c r="K99" s="2" t="n"/>
    </row>
    <row r="100">
      <c r="A100" s="241" t="n"/>
      <c r="B100" s="242" t="n"/>
      <c r="C100" s="243" t="n"/>
      <c r="D100" s="244" t="n"/>
      <c r="E100" s="245" t="n"/>
      <c r="F100" s="246" t="n"/>
      <c r="G100" s="247" t="n"/>
      <c r="H100" s="248" t="n"/>
      <c r="I100" s="2" t="n"/>
      <c r="J100" s="2" t="n"/>
      <c r="K100" s="2" t="n"/>
    </row>
    <row r="101">
      <c r="A101" s="249" t="n"/>
      <c r="B101" s="250" t="n"/>
      <c r="C101" s="251" t="n"/>
      <c r="D101" s="252" t="n"/>
      <c r="E101" s="253" t="n"/>
      <c r="F101" s="254">
        <f>D101*E101</f>
        <v/>
      </c>
      <c r="G101" s="255" t="n"/>
      <c r="H101" s="256" t="n"/>
      <c r="I101" s="2" t="n"/>
      <c r="J101" s="2" t="n"/>
      <c r="K101" s="2" t="n"/>
    </row>
    <row r="102">
      <c r="A102" s="257" t="n"/>
      <c r="B102" s="258" t="n"/>
      <c r="C102" s="257" t="n"/>
      <c r="D102" s="257" t="n"/>
      <c r="E102" s="257" t="n"/>
      <c r="F102" s="254">
        <f>D102*E102</f>
        <v/>
      </c>
      <c r="G102" s="257" t="n"/>
      <c r="H102" s="257" t="n"/>
      <c r="I102" s="2" t="n"/>
      <c r="J102" s="2" t="n"/>
      <c r="K102" s="2" t="n"/>
    </row>
    <row r="103">
      <c r="A103" s="249" t="n"/>
      <c r="B103" s="258" t="n"/>
      <c r="C103" s="257" t="n"/>
      <c r="D103" s="259" t="n"/>
      <c r="E103" s="257" t="n"/>
      <c r="F103" s="260" t="n"/>
      <c r="G103" s="257" t="n"/>
      <c r="H103" s="257" t="n"/>
      <c r="I103" s="2" t="n"/>
      <c r="J103" s="2" t="n"/>
      <c r="K103" s="2" t="n"/>
    </row>
    <row r="104">
      <c r="A104" s="2" t="n"/>
      <c r="B104" s="261" t="n"/>
      <c r="C104" s="2" t="n"/>
      <c r="D104" s="2" t="n"/>
      <c r="E104" s="2" t="n"/>
      <c r="F104" s="262" t="n"/>
      <c r="G104" s="2" t="n"/>
      <c r="H104" s="2" t="n"/>
      <c r="I104" s="263" t="n"/>
      <c r="J104" s="264" t="n"/>
      <c r="K104" s="2" t="n"/>
    </row>
  </sheetData>
  <mergeCells count="6">
    <mergeCell ref="A1:J1"/>
    <mergeCell ref="A86:H86"/>
    <mergeCell ref="A43:H43"/>
    <mergeCell ref="A98:H98"/>
    <mergeCell ref="A2:J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0.375" customWidth="1" min="4" max="4"/>
    <col width="17.375" customWidth="1" min="5" max="5"/>
    <col width="16.125" customWidth="1" min="6" max="6"/>
    <col width="14.625" customWidth="1" min="7" max="7"/>
    <col width="11.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ИП1</t>
        </is>
      </c>
      <c r="B4" s="267" t="n"/>
      <c r="C4" s="268" t="inlineStr">
        <is>
          <t>квадромикс 200 гр</t>
        </is>
      </c>
      <c r="D4" s="269" t="n">
        <v>0.2</v>
      </c>
      <c r="E4" s="17" t="n">
        <v>4</v>
      </c>
      <c r="F4" s="17" t="n">
        <v>18</v>
      </c>
      <c r="G4" s="270" t="n">
        <v>0.8</v>
      </c>
      <c r="H4" s="19" t="n">
        <v>75</v>
      </c>
      <c r="I4" s="19">
        <f>H4*E4</f>
        <v/>
      </c>
      <c r="J4" s="20" t="n"/>
    </row>
    <row r="5">
      <c r="A5" s="13" t="n"/>
      <c r="B5" s="267" t="n"/>
      <c r="C5" s="268" t="inlineStr">
        <is>
          <t>арахис ассорти 200 гр</t>
        </is>
      </c>
      <c r="D5" s="269" t="n">
        <v>0.2</v>
      </c>
      <c r="E5" s="17" t="n">
        <v>4</v>
      </c>
      <c r="F5" s="17" t="n">
        <v>18</v>
      </c>
      <c r="G5" s="270" t="n">
        <v>0.8</v>
      </c>
      <c r="H5" s="19" t="n">
        <v>85</v>
      </c>
      <c r="I5" s="19">
        <f>H5*E5</f>
        <v/>
      </c>
      <c r="J5" s="20" t="n"/>
    </row>
    <row r="6">
      <c r="A6" s="13" t="n"/>
      <c r="B6" s="244" t="n"/>
      <c r="C6" s="268" t="inlineStr">
        <is>
          <t>васаби 110 гр</t>
        </is>
      </c>
      <c r="D6" s="269" t="n">
        <v>0.11</v>
      </c>
      <c r="E6" s="17" t="n">
        <v>4</v>
      </c>
      <c r="F6" s="17" t="n">
        <v>10</v>
      </c>
      <c r="G6" s="17" t="n">
        <v>0.44</v>
      </c>
      <c r="H6" s="19" t="n">
        <v>35</v>
      </c>
      <c r="I6" s="19">
        <f>H6*E6</f>
        <v/>
      </c>
      <c r="J6" s="20" t="n"/>
    </row>
    <row r="7">
      <c r="A7" s="13" t="n"/>
      <c r="B7" s="244" t="n"/>
      <c r="C7" s="268" t="inlineStr">
        <is>
          <t>сметана зелень 110 гр</t>
        </is>
      </c>
      <c r="D7" s="269" t="n">
        <v>0.11</v>
      </c>
      <c r="E7" s="17" t="n">
        <v>4</v>
      </c>
      <c r="F7" s="17" t="n">
        <v>10</v>
      </c>
      <c r="G7" s="17" t="n">
        <v>0.44</v>
      </c>
      <c r="H7" s="19" t="n">
        <v>35</v>
      </c>
      <c r="I7" s="19">
        <f>H7*E7</f>
        <v/>
      </c>
      <c r="J7" s="20" t="n"/>
    </row>
    <row r="8">
      <c r="A8" s="13" t="n"/>
      <c r="B8" s="244" t="n"/>
      <c r="C8" s="268" t="inlineStr">
        <is>
          <t>барбекю 110 гр</t>
        </is>
      </c>
      <c r="D8" s="269" t="n">
        <v>0.11</v>
      </c>
      <c r="E8" s="17" t="n">
        <v>4</v>
      </c>
      <c r="F8" s="17" t="n">
        <v>10</v>
      </c>
      <c r="G8" s="17" t="n">
        <v>0.44</v>
      </c>
      <c r="H8" s="19" t="n">
        <v>35</v>
      </c>
      <c r="I8" s="19">
        <f>H8*E8</f>
        <v/>
      </c>
      <c r="J8" s="20" t="n"/>
    </row>
    <row r="9">
      <c r="A9" s="13" t="n"/>
      <c r="B9" s="244" t="n"/>
      <c r="C9" s="268" t="inlineStr">
        <is>
          <t>сыр лук 110 гр</t>
        </is>
      </c>
      <c r="D9" s="269" t="n">
        <v>0.11</v>
      </c>
      <c r="E9" s="17" t="n">
        <v>4</v>
      </c>
      <c r="F9" s="17" t="n">
        <v>10</v>
      </c>
      <c r="G9" s="17" t="n">
        <v>0.44</v>
      </c>
      <c r="H9" s="19" t="n">
        <v>35</v>
      </c>
      <c r="I9" s="19">
        <f>H9*E9</f>
        <v/>
      </c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65197.45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66" t="inlineStr">
        <is>
          <t>поступление от ИП1</t>
        </is>
      </c>
      <c r="B20" s="67" t="n"/>
      <c r="C20" s="68" t="n">
        <v>1200</v>
      </c>
      <c r="D20" s="68" t="n">
        <v>1200</v>
      </c>
      <c r="E20" s="69" t="n"/>
      <c r="F20" s="70" t="n"/>
      <c r="G20" s="71" t="n"/>
      <c r="H20" s="72">
        <f>F20*G20</f>
        <v/>
      </c>
      <c r="I20" s="2" t="n"/>
      <c r="J20" s="2" t="n"/>
    </row>
    <row r="21">
      <c r="A21" s="66" t="n"/>
      <c r="B21" s="67" t="n"/>
      <c r="C21" s="68" t="n"/>
      <c r="D21" s="68" t="n"/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2" t="n"/>
      <c r="J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81" t="inlineStr">
        <is>
          <t xml:space="preserve">уборка </t>
        </is>
      </c>
      <c r="B27" s="67" t="n"/>
      <c r="C27" s="68" t="n">
        <v>2000</v>
      </c>
      <c r="D27" s="68" t="n">
        <v>2000</v>
      </c>
      <c r="E27" s="76" t="n"/>
      <c r="F27" s="78" t="n"/>
      <c r="G27" s="79" t="n"/>
      <c r="H27" s="80" t="n"/>
      <c r="I27" s="2" t="n"/>
      <c r="J27" s="2" t="n"/>
    </row>
    <row r="28">
      <c r="A28" s="81" t="inlineStr">
        <is>
          <t>протяжка электричества для барабана и фасовочного аппарта Бистром, материалы (кабеля, гофра)</t>
        </is>
      </c>
      <c r="B28" s="67" t="n"/>
      <c r="C28" s="68" t="n">
        <v>30000</v>
      </c>
      <c r="D28" s="68" t="n">
        <v>30000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81" t="inlineStr">
        <is>
          <t>размещение объявления на НН.ру (помощник бухгалтера)</t>
        </is>
      </c>
      <c r="B29" s="67" t="n"/>
      <c r="C29" s="68" t="n">
        <v>5273</v>
      </c>
      <c r="D29" s="68" t="n">
        <v>5273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69" t="n"/>
      <c r="B30" s="67" t="n"/>
      <c r="C30" s="68" t="n"/>
      <c r="D30" s="68" t="n"/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n"/>
      <c r="B31" s="67" t="n"/>
      <c r="C31" s="68" t="n"/>
      <c r="D31" s="74" t="n"/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81" t="n"/>
      <c r="B32" s="67" t="n"/>
      <c r="C32" s="68" t="n"/>
      <c r="D32" s="68" t="n"/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4" t="n"/>
      <c r="E34" s="76" t="n"/>
      <c r="F34" s="78" t="n"/>
      <c r="G34" s="79" t="n"/>
      <c r="H34" s="72">
        <f>F34*G34</f>
        <v/>
      </c>
      <c r="I34" s="2" t="n"/>
      <c r="J34" s="2" t="n"/>
    </row>
    <row r="35">
      <c r="A35" s="69" t="n"/>
      <c r="B35" s="67" t="n"/>
      <c r="C35" s="68" t="n"/>
      <c r="D35" s="74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69" t="n"/>
      <c r="B37" s="67" t="n"/>
      <c r="C37" s="68" t="n"/>
      <c r="D37" s="75" t="n"/>
      <c r="E37" s="76" t="n"/>
      <c r="F37" s="78" t="n"/>
      <c r="G37" s="79" t="n"/>
      <c r="H37" s="72">
        <f>F37*G37</f>
        <v/>
      </c>
      <c r="I37" s="2" t="n"/>
      <c r="J37" s="2" t="n"/>
    </row>
    <row r="38">
      <c r="A38" s="69" t="n"/>
      <c r="B38" s="67" t="n"/>
      <c r="C38" s="68" t="n"/>
      <c r="D38" s="75" t="n"/>
      <c r="E38" s="76" t="n"/>
      <c r="F38" s="78" t="n"/>
      <c r="G38" s="79" t="n"/>
      <c r="H38" s="72">
        <f>F38*G38</f>
        <v/>
      </c>
      <c r="I38" s="2" t="n"/>
      <c r="J38" s="2" t="n"/>
    </row>
    <row r="39">
      <c r="A39" s="69" t="n"/>
      <c r="B39" s="67" t="n"/>
      <c r="C39" s="68" t="n"/>
      <c r="D39" s="75" t="n"/>
      <c r="E39" s="76" t="n"/>
      <c r="F39" s="78" t="n"/>
      <c r="G39" s="79" t="n"/>
      <c r="H39" s="72">
        <f>F39*G39</f>
        <v/>
      </c>
      <c r="I39" s="2" t="n"/>
      <c r="J39" s="2" t="n"/>
    </row>
    <row r="40">
      <c r="A40" s="83" t="n"/>
      <c r="B40" s="67" t="n"/>
      <c r="C40" s="68" t="n"/>
      <c r="D40" s="84" t="n"/>
      <c r="E40" s="85" t="inlineStr">
        <is>
          <t>Итого расход:</t>
        </is>
      </c>
      <c r="F40" s="78" t="n"/>
      <c r="G40" s="79" t="n"/>
      <c r="H40" s="72">
        <f>F40*G40</f>
        <v/>
      </c>
      <c r="I40" s="86" t="n"/>
      <c r="J40" s="86" t="n"/>
    </row>
    <row r="41">
      <c r="A41" s="87" t="inlineStr">
        <is>
          <t>Остаток на конец дня:</t>
        </is>
      </c>
      <c r="B41" s="88" t="n"/>
      <c r="C41" s="89" t="n"/>
      <c r="D41" s="90">
        <f>SUM(D20,D21:D24,D19,)-SUM(D27:D40,)</f>
        <v/>
      </c>
      <c r="E41" s="87" t="inlineStr">
        <is>
          <t>Остаток на конец дня:</t>
        </is>
      </c>
      <c r="F41" s="91" t="n"/>
      <c r="G41" s="89" t="n"/>
      <c r="H41" s="92">
        <f>SUM(H19+H25-H40)</f>
        <v/>
      </c>
      <c r="I41" s="2" t="n"/>
      <c r="J41" s="2" t="n"/>
    </row>
    <row r="42">
      <c r="A42" s="93" t="n"/>
      <c r="B42" s="94" t="n"/>
      <c r="C42" s="43" t="n"/>
      <c r="D42" s="41" t="n"/>
      <c r="E42" s="41" t="n"/>
      <c r="F42" s="41" t="n"/>
      <c r="G42" s="2" t="n"/>
      <c r="H42" s="2" t="n"/>
      <c r="I42" s="2" t="n"/>
      <c r="J42" s="2" t="n"/>
    </row>
    <row r="43">
      <c r="A43" s="95" t="inlineStr">
        <is>
          <t>Расчётный счёт</t>
        </is>
      </c>
      <c r="B43" s="54" t="n"/>
      <c r="C43" s="54" t="n"/>
      <c r="D43" s="54" t="n"/>
      <c r="E43" s="54" t="n"/>
      <c r="F43" s="54" t="n"/>
      <c r="G43" s="54" t="n"/>
      <c r="H43" s="54" t="n"/>
      <c r="I43" s="2" t="n"/>
      <c r="J43" s="2" t="n"/>
    </row>
    <row r="44">
      <c r="A44" s="96" t="inlineStr">
        <is>
          <t>ВТБ</t>
        </is>
      </c>
      <c r="B44" s="56" t="n"/>
      <c r="C44" s="56" t="n"/>
      <c r="D44" s="47" t="n"/>
      <c r="E44" s="97" t="inlineStr">
        <is>
          <t>Альфабанк</t>
        </is>
      </c>
      <c r="F44" s="56" t="n"/>
      <c r="G44" s="56" t="n"/>
      <c r="H44" s="47" t="n"/>
      <c r="I44" s="2" t="n"/>
      <c r="J44" s="2" t="n"/>
    </row>
    <row r="45">
      <c r="A45" s="98" t="inlineStr">
        <is>
          <t>Остаток на начало дня:</t>
        </is>
      </c>
      <c r="B45" s="47" t="n"/>
      <c r="C45" s="99" t="n">
        <v>1231874.69</v>
      </c>
      <c r="D45" s="56" t="n"/>
      <c r="E45" s="100" t="inlineStr">
        <is>
          <t>Остаток на начало дня:</t>
        </is>
      </c>
      <c r="F45" s="47" t="n"/>
      <c r="G45" s="101" t="n">
        <v>3090.7</v>
      </c>
      <c r="H45" s="47" t="n"/>
      <c r="I45" s="2" t="n"/>
      <c r="J45" s="2" t="n"/>
    </row>
    <row r="46">
      <c r="A46" s="102" t="inlineStr">
        <is>
          <t>Поступление</t>
        </is>
      </c>
      <c r="B46" s="47" t="n"/>
      <c r="C46" s="102" t="inlineStr">
        <is>
          <t>Расход</t>
        </is>
      </c>
      <c r="D46" s="47" t="n"/>
      <c r="E46" s="102" t="inlineStr">
        <is>
          <t>Поступление</t>
        </is>
      </c>
      <c r="F46" s="47" t="n"/>
      <c r="G46" s="102" t="inlineStr">
        <is>
          <t>Расход</t>
        </is>
      </c>
      <c r="H46" s="47" t="n"/>
      <c r="I46" s="86" t="n"/>
      <c r="J46" s="86" t="n"/>
    </row>
    <row r="47">
      <c r="A47" s="103" t="inlineStr">
        <is>
          <t>от кого</t>
        </is>
      </c>
      <c r="B47" s="103" t="inlineStr">
        <is>
          <t>сумма</t>
        </is>
      </c>
      <c r="C47" s="103" t="inlineStr">
        <is>
          <t>кому</t>
        </is>
      </c>
      <c r="D47" s="103" t="inlineStr">
        <is>
          <t>сумма</t>
        </is>
      </c>
      <c r="E47" s="103" t="inlineStr">
        <is>
          <t>от кого</t>
        </is>
      </c>
      <c r="F47" s="103" t="inlineStr">
        <is>
          <t>сумма</t>
        </is>
      </c>
      <c r="G47" s="103" t="inlineStr">
        <is>
          <t xml:space="preserve">кому </t>
        </is>
      </c>
      <c r="H47" s="103" t="inlineStr">
        <is>
          <t>сумма</t>
        </is>
      </c>
      <c r="I47" s="86" t="n"/>
      <c r="J47" s="86" t="n"/>
    </row>
    <row r="48">
      <c r="A48" s="104" t="inlineStr">
        <is>
          <t xml:space="preserve">проценты по депозиту </t>
        </is>
      </c>
      <c r="B48" s="105" t="n">
        <v>640.79</v>
      </c>
      <c r="C48" s="106" t="inlineStr">
        <is>
          <t xml:space="preserve">комиссия банка </t>
        </is>
      </c>
      <c r="D48" s="107" t="n">
        <v>100</v>
      </c>
      <c r="E48" s="108" t="n"/>
      <c r="F48" s="109" t="n"/>
      <c r="G48" s="110" t="n"/>
      <c r="H48" s="109" t="n"/>
      <c r="I48" s="86" t="n"/>
      <c r="J48" s="86" t="n"/>
    </row>
    <row r="49">
      <c r="A49" s="111" t="inlineStr">
        <is>
          <t xml:space="preserve">ООО Золотой снек ,за арахис </t>
        </is>
      </c>
      <c r="B49" s="112" t="n">
        <v>100000</v>
      </c>
      <c r="C49" s="112" t="inlineStr">
        <is>
          <t xml:space="preserve">ИП Савин  транспортные услуги </t>
        </is>
      </c>
      <c r="D49" s="107" t="n">
        <v>20000</v>
      </c>
      <c r="E49" s="110" t="n"/>
      <c r="F49" s="109" t="n"/>
      <c r="G49" s="110" t="n"/>
      <c r="H49" s="109" t="n"/>
      <c r="I49" s="86" t="n"/>
      <c r="J49" s="86" t="n"/>
    </row>
    <row r="50">
      <c r="A50" s="111" t="n"/>
      <c r="B50" s="113" t="n"/>
      <c r="C50" s="113" t="inlineStr">
        <is>
          <t xml:space="preserve">АО Союзснаб  за пищевые добавки </t>
        </is>
      </c>
      <c r="D50" s="107" t="n">
        <v>93940</v>
      </c>
      <c r="E50" s="110" t="n"/>
      <c r="F50" s="109" t="n"/>
      <c r="G50" s="114" t="n"/>
      <c r="H50" s="109" t="n"/>
      <c r="I50" s="86" t="n"/>
      <c r="J50" s="86" t="n"/>
    </row>
    <row r="51">
      <c r="A51" s="115" t="n"/>
      <c r="B51" s="113" t="n"/>
      <c r="C51" s="113" t="inlineStr">
        <is>
          <t>Размещение на депозите 1218000</t>
        </is>
      </c>
      <c r="D51" s="107" t="n">
        <v>0</v>
      </c>
      <c r="E51" s="108" t="n"/>
      <c r="F51" s="116" t="n"/>
      <c r="G51" s="114" t="n"/>
      <c r="H51" s="109" t="n"/>
      <c r="I51" s="86" t="n"/>
      <c r="J51" s="86" t="n"/>
    </row>
    <row r="52">
      <c r="A52" s="117" t="n"/>
      <c r="B52" s="113" t="n"/>
      <c r="C52" s="113" t="n"/>
      <c r="D52" s="107" t="n"/>
      <c r="E52" s="118" t="n"/>
      <c r="F52" s="119" t="n"/>
      <c r="G52" s="120" t="n"/>
      <c r="H52" s="120" t="n"/>
      <c r="I52" s="86" t="n"/>
      <c r="J52" s="86" t="n"/>
    </row>
    <row r="53">
      <c r="A53" s="117" t="n"/>
      <c r="B53" s="113" t="n"/>
      <c r="C53" s="113" t="n"/>
      <c r="D53" s="107" t="n"/>
      <c r="E53" s="118" t="n"/>
      <c r="F53" s="119" t="n"/>
      <c r="G53" s="121" t="n"/>
      <c r="H53" s="120" t="n"/>
      <c r="I53" s="86" t="n"/>
      <c r="J53" s="86" t="n"/>
    </row>
    <row r="54">
      <c r="A54" s="122" t="n"/>
      <c r="B54" s="113" t="n"/>
      <c r="C54" s="113" t="n"/>
      <c r="D54" s="107" t="n"/>
      <c r="E54" s="118" t="n"/>
      <c r="F54" s="118" t="n"/>
      <c r="G54" s="123" t="n"/>
      <c r="H54" s="120" t="n"/>
      <c r="I54" s="86" t="n"/>
      <c r="J54" s="86" t="n"/>
    </row>
    <row r="55">
      <c r="A55" s="124" t="n"/>
      <c r="B55" s="122" t="n"/>
      <c r="C55" s="113" t="n"/>
      <c r="D55" s="107" t="n"/>
      <c r="E55" s="124" t="n"/>
      <c r="F55" s="118" t="n"/>
      <c r="G55" s="110" t="n"/>
      <c r="H55" s="120" t="n"/>
      <c r="I55" s="86" t="n"/>
      <c r="J55" s="86" t="n"/>
    </row>
    <row r="56">
      <c r="A56" s="124" t="n"/>
      <c r="B56" s="12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4" t="n"/>
      <c r="B58" s="125" t="n"/>
      <c r="C58" s="110" t="n"/>
      <c r="D58" s="126" t="n"/>
      <c r="E58" s="124" t="n"/>
      <c r="F58" s="118" t="n"/>
      <c r="G58" s="110" t="n"/>
      <c r="H58" s="120" t="n"/>
      <c r="I58" s="86" t="n"/>
      <c r="J58" s="86" t="n"/>
    </row>
    <row r="59">
      <c r="A59" s="124" t="n"/>
      <c r="B59" s="125" t="n"/>
      <c r="C59" s="110" t="n"/>
      <c r="D59" s="126" t="n"/>
      <c r="E59" s="124" t="n"/>
      <c r="F59" s="118" t="n"/>
      <c r="G59" s="110" t="n"/>
      <c r="H59" s="120" t="n"/>
      <c r="I59" s="86" t="n"/>
      <c r="J59" s="86" t="n"/>
    </row>
    <row r="60">
      <c r="A60" s="124" t="n"/>
      <c r="B60" s="125" t="n"/>
      <c r="C60" s="110" t="n"/>
      <c r="D60" s="126" t="n"/>
      <c r="E60" s="124" t="n"/>
      <c r="F60" s="118" t="n"/>
      <c r="G60" s="110" t="n"/>
      <c r="H60" s="120" t="n"/>
      <c r="I60" s="86" t="n"/>
      <c r="J60" s="86" t="n"/>
    </row>
    <row r="61">
      <c r="A61" s="127" t="n"/>
      <c r="B61" s="128">
        <f>SUM(B48:B60)+C45</f>
        <v/>
      </c>
      <c r="C61" s="129" t="n"/>
      <c r="D61" s="128">
        <f>SUM(D48:D60)</f>
        <v/>
      </c>
      <c r="E61" s="130" t="n"/>
      <c r="F61" s="130">
        <f>SUM(F48:F60)</f>
        <v/>
      </c>
      <c r="G61" s="130" t="n"/>
      <c r="H61" s="130">
        <f>SUM(H48:H60)</f>
        <v/>
      </c>
      <c r="I61" s="2" t="n"/>
      <c r="J61" s="2" t="n"/>
    </row>
    <row r="62">
      <c r="A62" s="131" t="inlineStr">
        <is>
          <t>Остаток на конец дня:</t>
        </is>
      </c>
      <c r="B62" s="132">
        <f>B61-D61</f>
        <v/>
      </c>
      <c r="C62" s="56" t="n"/>
      <c r="D62" s="47" t="n"/>
      <c r="E62" s="100" t="inlineStr">
        <is>
          <t>Остаток на конец дня:</t>
        </is>
      </c>
      <c r="F62" s="101">
        <f>G45+F61-H61</f>
        <v/>
      </c>
      <c r="G62" s="56" t="n"/>
      <c r="H62" s="47" t="n"/>
      <c r="I62" s="2" t="n"/>
      <c r="J62" s="2" t="n"/>
    </row>
    <row r="63">
      <c r="A63" s="133" t="inlineStr">
        <is>
          <t>ИТОГО:</t>
        </is>
      </c>
      <c r="B63" s="47" t="n"/>
      <c r="C63" s="134">
        <f>B62+F62</f>
        <v/>
      </c>
      <c r="D63" s="56" t="n"/>
      <c r="E63" s="56" t="n"/>
      <c r="F63" s="56" t="n"/>
      <c r="G63" s="56" t="n"/>
      <c r="H63" s="47" t="n"/>
      <c r="I63" s="2" t="n"/>
      <c r="J63" s="2" t="n"/>
    </row>
    <row r="64">
      <c r="A64" s="41" t="n"/>
      <c r="B64" s="94" t="n"/>
      <c r="C64" s="43" t="n"/>
      <c r="D64" s="41" t="n"/>
      <c r="E64" s="41" t="n"/>
      <c r="F64" s="41" t="n"/>
      <c r="G64" s="41" t="n"/>
      <c r="H64" s="93" t="n"/>
      <c r="I64" s="135" t="n"/>
      <c r="J64" s="135" t="n"/>
    </row>
    <row r="65">
      <c r="A65" s="136" t="n"/>
      <c r="B65" s="137" t="inlineStr">
        <is>
          <t>Реализация по безналичному расчёту</t>
        </is>
      </c>
      <c r="D65" s="2" t="n"/>
      <c r="E65" s="41" t="n"/>
      <c r="F65" s="41" t="n"/>
      <c r="G65" s="41" t="n"/>
      <c r="H65" s="138" t="n"/>
      <c r="I65" s="2" t="n"/>
      <c r="J65" s="2" t="n"/>
    </row>
    <row r="66">
      <c r="A66" s="139" t="inlineStr">
        <is>
          <t>Контрагент</t>
        </is>
      </c>
      <c r="B66" s="140" t="inlineStr">
        <is>
          <t>поставщик</t>
        </is>
      </c>
      <c r="C66" s="141" t="inlineStr">
        <is>
          <t>наименование</t>
        </is>
      </c>
      <c r="D66" s="142" t="inlineStr">
        <is>
          <t>вес упаковки, тарелки</t>
        </is>
      </c>
      <c r="E66" s="143" t="inlineStr">
        <is>
          <t>кол.-во пакетов, коробок</t>
        </is>
      </c>
      <c r="F66" s="144" t="inlineStr">
        <is>
          <t>кол-во мест в коробке/упаковке</t>
        </is>
      </c>
      <c r="G66" s="145" t="inlineStr">
        <is>
          <t>общий вес, кг.</t>
        </is>
      </c>
      <c r="H66" s="146" t="inlineStr">
        <is>
          <t>цена пакет, тарелка</t>
        </is>
      </c>
      <c r="I66" s="147" t="inlineStr">
        <is>
          <t>сумма</t>
        </is>
      </c>
      <c r="J66" s="148" t="inlineStr">
        <is>
          <t>Комментарий</t>
        </is>
      </c>
    </row>
    <row r="67">
      <c r="A67" s="150" t="inlineStr">
        <is>
          <t>ООО Акваэлемент</t>
        </is>
      </c>
      <c r="B67" s="151" t="inlineStr">
        <is>
          <t>ООО Снекпром</t>
        </is>
      </c>
      <c r="C67" s="272" t="inlineStr">
        <is>
          <t>Услуга по обжарке и спецированию арахиса</t>
        </is>
      </c>
      <c r="D67" s="153" t="n"/>
      <c r="E67" s="154" t="n">
        <v>20</v>
      </c>
      <c r="F67" s="155" t="n"/>
      <c r="G67" s="154" t="n">
        <v>20000</v>
      </c>
      <c r="H67" s="156" t="n">
        <v>14.5</v>
      </c>
      <c r="I67" s="156">
        <f>G67*H67</f>
        <v/>
      </c>
      <c r="J67" s="157" t="n"/>
    </row>
    <row r="68">
      <c r="A68" s="150" t="inlineStr">
        <is>
          <t>ООО Элемент Трейд</t>
        </is>
      </c>
      <c r="B68" s="151" t="inlineStr">
        <is>
          <t>ООО Снекпром</t>
        </is>
      </c>
      <c r="C68" s="158" t="inlineStr">
        <is>
          <t>Арахис жарено соленый тарелка со вкусами Ассорти 200 г</t>
        </is>
      </c>
      <c r="D68" s="153" t="n">
        <v>0.2</v>
      </c>
      <c r="E68" s="154" t="n">
        <v>160</v>
      </c>
      <c r="F68" s="155" t="n">
        <v>18</v>
      </c>
      <c r="G68" s="154">
        <f>D68*E68*F68</f>
        <v/>
      </c>
      <c r="H68" s="156" t="n">
        <v>94.09999999999999</v>
      </c>
      <c r="I68" s="156">
        <f>E68*F68*H68</f>
        <v/>
      </c>
      <c r="J68" s="159" t="inlineStr">
        <is>
          <t>Екатеринбург</t>
        </is>
      </c>
    </row>
    <row r="69">
      <c r="A69" s="150" t="inlineStr">
        <is>
          <t>ООО Элемент Трейд</t>
        </is>
      </c>
      <c r="B69" s="151" t="inlineStr">
        <is>
          <t>ООО Снекпром</t>
        </is>
      </c>
      <c r="C69" s="158" t="inlineStr">
        <is>
          <t>Арахис жарено соленый тарелка со вкусами Ассорти 200 г</t>
        </is>
      </c>
      <c r="D69" s="153" t="n">
        <v>0.2</v>
      </c>
      <c r="E69" s="154" t="n">
        <v>320</v>
      </c>
      <c r="F69" s="155" t="n">
        <v>18</v>
      </c>
      <c r="G69" s="154">
        <f>D69*E69*F69</f>
        <v/>
      </c>
      <c r="H69" s="156" t="n">
        <v>98</v>
      </c>
      <c r="I69" s="156">
        <f>E69*F69*H69</f>
        <v/>
      </c>
      <c r="J69" s="159" t="inlineStr">
        <is>
          <t>Новосибирск</t>
        </is>
      </c>
    </row>
    <row r="70">
      <c r="A70" s="150" t="inlineStr">
        <is>
          <t>ООО Элемент Трейд</t>
        </is>
      </c>
      <c r="B70" s="151" t="inlineStr">
        <is>
          <t>ООО Снекпром</t>
        </is>
      </c>
      <c r="C70" s="158" t="inlineStr">
        <is>
          <t>Арахис жарено соленый тарелка со вкусами Ассорти 200 г</t>
        </is>
      </c>
      <c r="D70" s="153" t="n">
        <v>0.2</v>
      </c>
      <c r="E70" s="154" t="n">
        <v>80</v>
      </c>
      <c r="F70" s="155" t="n">
        <v>18</v>
      </c>
      <c r="G70" s="154">
        <f>D70*E70*F70</f>
        <v/>
      </c>
      <c r="H70" s="156" t="n">
        <v>98</v>
      </c>
      <c r="I70" s="156">
        <f>E70*F70*H70</f>
        <v/>
      </c>
      <c r="J70" s="159" t="inlineStr">
        <is>
          <t>Нефтеюганск</t>
        </is>
      </c>
    </row>
    <row r="71">
      <c r="A71" s="150" t="n"/>
      <c r="B71" s="151" t="n"/>
      <c r="C71" s="152" t="n"/>
      <c r="D71" s="153" t="n"/>
      <c r="E71" s="154" t="n"/>
      <c r="F71" s="155" t="n"/>
      <c r="G71" s="154" t="n"/>
      <c r="H71" s="156" t="n"/>
      <c r="I71" s="156" t="n"/>
      <c r="J71" s="159" t="n"/>
    </row>
    <row r="72">
      <c r="A72" s="150" t="n"/>
      <c r="B72" s="151" t="n"/>
      <c r="C72" s="152" t="n"/>
      <c r="D72" s="153" t="n"/>
      <c r="E72" s="154" t="n"/>
      <c r="F72" s="155" t="n"/>
      <c r="G72" s="154" t="n"/>
      <c r="H72" s="156" t="n"/>
      <c r="I72" s="156" t="n"/>
      <c r="J72" s="159" t="n"/>
    </row>
    <row r="73">
      <c r="A73" s="150" t="n"/>
      <c r="B73" s="150" t="n"/>
      <c r="C73" s="160" t="n"/>
      <c r="D73" s="153" t="n"/>
      <c r="E73" s="154" t="n"/>
      <c r="F73" s="155" t="n"/>
      <c r="G73" s="154" t="n"/>
      <c r="H73" s="156" t="n"/>
      <c r="I73" s="156" t="n"/>
      <c r="J73" s="161" t="n"/>
    </row>
    <row r="74">
      <c r="A74" s="162" t="n"/>
      <c r="B74" s="163" t="n"/>
      <c r="C74" s="164" t="n"/>
      <c r="D74" s="165" t="n"/>
      <c r="E74" s="166" t="n"/>
      <c r="F74" s="167" t="n"/>
      <c r="G74" s="168" t="n"/>
      <c r="H74" s="169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62" t="n"/>
      <c r="B76" s="163" t="n"/>
      <c r="C76" s="171" t="n"/>
      <c r="D76" s="153" t="n"/>
      <c r="E76" s="172" t="n"/>
      <c r="F76" s="155" t="n"/>
      <c r="G76" s="168" t="n"/>
      <c r="H76" s="156" t="n"/>
      <c r="I76" s="170" t="n"/>
      <c r="J76" s="161" t="n"/>
    </row>
    <row r="77">
      <c r="A77" s="162" t="n"/>
      <c r="B77" s="163" t="n"/>
      <c r="C77" s="171" t="n"/>
      <c r="D77" s="153" t="n"/>
      <c r="E77" s="172" t="n"/>
      <c r="F77" s="155" t="n"/>
      <c r="G77" s="168" t="n"/>
      <c r="H77" s="156" t="n"/>
      <c r="I77" s="170" t="n"/>
      <c r="J77" s="161" t="n"/>
    </row>
    <row r="78">
      <c r="A78" s="162" t="n"/>
      <c r="B78" s="163" t="n"/>
      <c r="C78" s="171" t="n"/>
      <c r="D78" s="153" t="n"/>
      <c r="E78" s="172" t="n"/>
      <c r="F78" s="155" t="n"/>
      <c r="G78" s="168" t="n"/>
      <c r="H78" s="156" t="n"/>
      <c r="I78" s="170" t="n"/>
      <c r="J78" s="161" t="n"/>
    </row>
    <row r="79">
      <c r="A79" s="173" t="n"/>
      <c r="B79" s="174" t="n"/>
      <c r="C79" s="175" t="n"/>
      <c r="D79" s="176" t="n"/>
      <c r="E79" s="177" t="n"/>
      <c r="F79" s="178" t="n"/>
      <c r="G79" s="179" t="n"/>
      <c r="H79" s="180" t="n"/>
      <c r="I79" s="181" t="n"/>
      <c r="J79" s="161" t="n"/>
    </row>
    <row r="80">
      <c r="A80" s="182" t="n"/>
      <c r="B80" s="163" t="n"/>
      <c r="C80" s="183" t="n"/>
      <c r="D80" s="184" t="n"/>
      <c r="E80" s="166" t="n"/>
      <c r="F80" s="167" t="n"/>
      <c r="G80" s="185">
        <f>D80*F80</f>
        <v/>
      </c>
      <c r="H80" s="186" t="n"/>
      <c r="I80" s="186">
        <f>F80*H80*E80</f>
        <v/>
      </c>
      <c r="J80" s="187" t="n"/>
    </row>
    <row r="81">
      <c r="A81" s="182" t="n"/>
      <c r="B81" s="163" t="n"/>
      <c r="C81" s="188" t="n"/>
      <c r="D81" s="189" t="n"/>
      <c r="E81" s="190" t="n"/>
      <c r="F81" s="189" t="n"/>
      <c r="G81" s="185">
        <f>D81*F81</f>
        <v/>
      </c>
      <c r="H81" s="191" t="n"/>
      <c r="I81" s="186">
        <f>F81*H81*E81</f>
        <v/>
      </c>
      <c r="J81" s="187" t="n"/>
    </row>
    <row r="82">
      <c r="A82" s="192" t="inlineStr">
        <is>
          <t>ИТОГО:</t>
        </is>
      </c>
      <c r="B82" s="193" t="n"/>
      <c r="C82" s="194" t="n"/>
      <c r="D82" s="195" t="n"/>
      <c r="E82" s="196">
        <f>SUM(E67:E81)</f>
        <v/>
      </c>
      <c r="F82" s="197">
        <f>SUM(F67:F79)</f>
        <v/>
      </c>
      <c r="G82" s="198">
        <f>SUM(G67:G74)</f>
        <v/>
      </c>
      <c r="H82" s="199" t="n"/>
      <c r="I82" s="199">
        <f>SUM(I67:I75)</f>
        <v/>
      </c>
      <c r="J82" s="200" t="n"/>
    </row>
    <row r="83">
      <c r="A83" s="2" t="n"/>
      <c r="B83" s="94" t="n"/>
      <c r="C83" s="43" t="n"/>
      <c r="D83" s="41" t="n"/>
      <c r="E83" s="41" t="n"/>
      <c r="F83" s="41" t="n"/>
      <c r="G83" s="41" t="n"/>
      <c r="H83" s="2" t="n"/>
      <c r="I83" s="2" t="n"/>
      <c r="J83" s="2" t="n"/>
    </row>
    <row r="84">
      <c r="A84" s="201" t="inlineStr">
        <is>
          <t>реализация Всего касса+безнал:</t>
        </is>
      </c>
      <c r="B84" s="202" t="inlineStr">
        <is>
          <t>кг</t>
        </is>
      </c>
      <c r="C84" s="203" t="inlineStr">
        <is>
          <t>на сумму</t>
        </is>
      </c>
      <c r="D84" s="41" t="n"/>
      <c r="E84" s="41" t="n"/>
      <c r="F84" s="41" t="n"/>
      <c r="G84" s="41" t="n"/>
      <c r="H84" s="2" t="n"/>
      <c r="I84" s="2" t="n"/>
      <c r="J84" s="2" t="n"/>
    </row>
    <row r="85">
      <c r="A85" s="204" t="n"/>
      <c r="B85" s="205">
        <f>E12+G82</f>
        <v/>
      </c>
      <c r="C85" s="206">
        <f>I12+H82+I82</f>
        <v/>
      </c>
      <c r="D85" s="41" t="n"/>
      <c r="E85" s="41" t="n"/>
      <c r="F85" s="41" t="n"/>
      <c r="G85" s="41" t="n"/>
      <c r="H85" s="2" t="n"/>
      <c r="I85" s="2" t="n"/>
      <c r="J85" s="2" t="n"/>
    </row>
    <row r="86">
      <c r="A86" s="207" t="inlineStr">
        <is>
          <t>Услуги оказывают нам (доставка сырья и комплектующих на склад, Товара покупателям)</t>
        </is>
      </c>
      <c r="B86" s="54" t="n"/>
      <c r="C86" s="54" t="n"/>
      <c r="D86" s="54" t="n"/>
      <c r="E86" s="54" t="n"/>
      <c r="F86" s="54" t="n"/>
      <c r="G86" s="54" t="n"/>
      <c r="H86" s="54" t="n"/>
      <c r="I86" s="208" t="n"/>
      <c r="J86" s="58" t="n"/>
    </row>
    <row r="87">
      <c r="A87" s="209" t="inlineStr">
        <is>
          <t>Контрагент</t>
        </is>
      </c>
      <c r="B87" s="210" t="inlineStr">
        <is>
          <t>вид услуги</t>
        </is>
      </c>
      <c r="C87" s="211" t="inlineStr">
        <is>
          <t>Кому</t>
        </is>
      </c>
      <c r="D87" s="212" t="inlineStr">
        <is>
          <t>наименование</t>
        </is>
      </c>
      <c r="E87" s="213" t="inlineStr">
        <is>
          <t xml:space="preserve">город доставки </t>
        </is>
      </c>
      <c r="F87" s="214" t="inlineStr">
        <is>
          <t>цена</t>
        </is>
      </c>
      <c r="G87" s="213" t="inlineStr">
        <is>
          <t>сумма</t>
        </is>
      </c>
      <c r="H87" s="212" t="inlineStr">
        <is>
          <t>за тонну</t>
        </is>
      </c>
      <c r="I87" s="208" t="n"/>
      <c r="J87" s="58" t="n"/>
    </row>
    <row r="88">
      <c r="A88" s="220" t="inlineStr">
        <is>
          <t>Промстеклоснаб</t>
        </is>
      </c>
      <c r="B88" s="60" t="inlineStr">
        <is>
          <t>Доставка</t>
        </is>
      </c>
      <c r="C88" s="221" t="inlineStr">
        <is>
          <t>FM Logistic</t>
        </is>
      </c>
      <c r="D88" s="222" t="n"/>
      <c r="E88" s="217" t="inlineStr">
        <is>
          <t>Москва</t>
        </is>
      </c>
      <c r="F88" s="223" t="n">
        <v>14000</v>
      </c>
      <c r="G88" s="218" t="n">
        <v>14000</v>
      </c>
      <c r="H88" s="273" t="inlineStr">
        <is>
          <t>Замена суммы</t>
        </is>
      </c>
      <c r="I88" s="208" t="n"/>
      <c r="J88" s="58" t="n"/>
    </row>
    <row r="89">
      <c r="A89" s="220" t="inlineStr">
        <is>
          <t>Промстеклоснаб</t>
        </is>
      </c>
      <c r="B89" s="60" t="inlineStr">
        <is>
          <t>Доставка</t>
        </is>
      </c>
      <c r="C89" s="221" t="inlineStr">
        <is>
          <t>Акваэлемент</t>
        </is>
      </c>
      <c r="D89" s="222" t="n"/>
      <c r="E89" s="217" t="inlineStr">
        <is>
          <t>Егорьевск+Химки</t>
        </is>
      </c>
      <c r="F89" s="223" t="n">
        <v>50000</v>
      </c>
      <c r="G89" s="218">
        <f>F89</f>
        <v/>
      </c>
      <c r="H89" s="219" t="n"/>
      <c r="I89" s="208" t="inlineStr">
        <is>
          <t xml:space="preserve"> доставка в два адреса</t>
        </is>
      </c>
      <c r="J89" s="58" t="n"/>
    </row>
    <row r="90">
      <c r="A90" s="220" t="inlineStr">
        <is>
          <t>FM Logistic</t>
        </is>
      </c>
      <c r="B90" s="60" t="inlineStr">
        <is>
          <t>Доставка</t>
        </is>
      </c>
      <c r="C90" s="221" t="inlineStr">
        <is>
          <t>Элемент Трейд</t>
        </is>
      </c>
      <c r="D90" s="222" t="n"/>
      <c r="E90" s="274" t="inlineStr">
        <is>
          <t>Екатеринбург</t>
        </is>
      </c>
      <c r="F90" s="223" t="n">
        <v>6120</v>
      </c>
      <c r="G90" s="218">
        <f>F90</f>
        <v/>
      </c>
      <c r="H90" s="273" t="inlineStr">
        <is>
          <t>Замена суммы</t>
        </is>
      </c>
      <c r="I90" s="2" t="n"/>
      <c r="J90" s="2" t="n"/>
    </row>
    <row r="91">
      <c r="A91" s="220" t="inlineStr">
        <is>
          <t>FM Logistic</t>
        </is>
      </c>
      <c r="B91" s="60" t="inlineStr">
        <is>
          <t>Доставка</t>
        </is>
      </c>
      <c r="C91" s="221" t="inlineStr">
        <is>
          <t>Элемент Трейд</t>
        </is>
      </c>
      <c r="D91" s="222" t="n"/>
      <c r="E91" s="274" t="inlineStr">
        <is>
          <t>Новосибирск</t>
        </is>
      </c>
      <c r="F91" s="223" t="n">
        <v>10596</v>
      </c>
      <c r="G91" s="218" t="n">
        <v>10596</v>
      </c>
      <c r="H91" s="273" t="inlineStr">
        <is>
          <t>Замена суммы</t>
        </is>
      </c>
      <c r="I91" s="2" t="n"/>
      <c r="J91" s="2" t="n"/>
    </row>
    <row r="92">
      <c r="A92" s="220" t="inlineStr">
        <is>
          <t>FM Logistic</t>
        </is>
      </c>
      <c r="B92" s="60" t="inlineStr">
        <is>
          <t>Доставка</t>
        </is>
      </c>
      <c r="C92" s="221" t="inlineStr">
        <is>
          <t>Элемент Трейд</t>
        </is>
      </c>
      <c r="D92" s="226" t="n"/>
      <c r="E92" s="274" t="inlineStr">
        <is>
          <t>Нефтеюганск</t>
        </is>
      </c>
      <c r="F92" s="223" t="n">
        <v>11172</v>
      </c>
      <c r="G92" s="218" t="n">
        <v>11172</v>
      </c>
      <c r="H92" s="273" t="inlineStr">
        <is>
          <t>Замена суммы</t>
        </is>
      </c>
      <c r="I92" s="2" t="n"/>
      <c r="J92" s="2" t="n"/>
    </row>
    <row r="93">
      <c r="A93" s="220" t="n"/>
      <c r="B93" s="60" t="n"/>
      <c r="C93" s="221" t="n"/>
      <c r="D93" s="226" t="n"/>
      <c r="E93" s="227" t="n"/>
      <c r="F93" s="223" t="n"/>
      <c r="G93" s="218">
        <f>F93+F1211</f>
        <v/>
      </c>
      <c r="H93" s="219" t="n"/>
      <c r="I93" s="2" t="n"/>
      <c r="J93" s="2" t="n"/>
    </row>
    <row r="94">
      <c r="A94" s="220" t="n"/>
      <c r="B94" s="60" t="n"/>
      <c r="C94" s="221" t="n"/>
      <c r="D94" s="226" t="n"/>
      <c r="E94" s="227" t="n"/>
      <c r="F94" s="223" t="n"/>
      <c r="G94" s="218">
        <f>F94+F1212</f>
        <v/>
      </c>
      <c r="H94" s="219" t="n"/>
      <c r="I94" s="2" t="n"/>
      <c r="J94" s="2" t="n"/>
    </row>
    <row r="95">
      <c r="A95" s="220" t="n"/>
      <c r="B95" s="60" t="n"/>
      <c r="C95" s="221" t="n"/>
      <c r="D95" s="226" t="n"/>
      <c r="E95" s="227" t="n"/>
      <c r="F95" s="223" t="n"/>
      <c r="G95" s="218">
        <f>F95+F1213</f>
        <v/>
      </c>
      <c r="H95" s="228" t="n"/>
      <c r="I95" s="2" t="n"/>
      <c r="J95" s="2" t="n"/>
    </row>
    <row r="96">
      <c r="A96" s="229" t="inlineStr">
        <is>
          <t>ИТОГО:</t>
        </is>
      </c>
      <c r="B96" s="230" t="n"/>
      <c r="C96" s="231" t="n"/>
      <c r="D96" s="232" t="n"/>
      <c r="E96" s="233">
        <f>SUM(E88:E95)</f>
        <v/>
      </c>
      <c r="F96" s="234" t="n"/>
      <c r="G96" s="235">
        <f>SUM(G88:G95)</f>
        <v/>
      </c>
      <c r="H96" s="235" t="n"/>
      <c r="I96" s="2" t="n"/>
      <c r="J96" s="2" t="n"/>
    </row>
    <row r="97">
      <c r="A97" s="41" t="n"/>
      <c r="B97" s="94" t="n"/>
      <c r="C97" s="43" t="n"/>
      <c r="D97" s="41" t="n"/>
      <c r="E97" s="41" t="n"/>
      <c r="F97" s="41" t="n"/>
      <c r="G97" s="41" t="n"/>
      <c r="H97" s="41" t="n"/>
      <c r="I97" s="2" t="n"/>
      <c r="J97" s="2" t="n"/>
    </row>
    <row r="98">
      <c r="A98" s="236" t="inlineStr">
        <is>
          <t>Услуги оказываем мы</t>
        </is>
      </c>
      <c r="B98" s="54" t="n"/>
      <c r="C98" s="54" t="n"/>
      <c r="D98" s="54" t="n"/>
      <c r="E98" s="54" t="n"/>
      <c r="F98" s="54" t="n"/>
      <c r="G98" s="54" t="n"/>
      <c r="H98" s="54" t="n"/>
      <c r="I98" s="237" t="n"/>
      <c r="J98" s="2" t="n"/>
    </row>
    <row r="99">
      <c r="A99" s="209" t="inlineStr">
        <is>
          <t>Контрагент</t>
        </is>
      </c>
      <c r="B99" s="238" t="inlineStr">
        <is>
          <t>вид услуги</t>
        </is>
      </c>
      <c r="C99" s="239" t="inlineStr">
        <is>
          <t>наименование</t>
        </is>
      </c>
      <c r="D99" s="240" t="inlineStr">
        <is>
          <t>вес, кг, шт</t>
        </is>
      </c>
      <c r="E99" s="240" t="inlineStr">
        <is>
          <t>цена</t>
        </is>
      </c>
      <c r="F99" s="240" t="inlineStr">
        <is>
          <t>сумма</t>
        </is>
      </c>
      <c r="G99" s="213" t="inlineStr">
        <is>
          <t>№УПД</t>
        </is>
      </c>
      <c r="H99" s="213" t="n"/>
      <c r="I99" s="2" t="n"/>
      <c r="J99" s="2" t="n"/>
    </row>
    <row r="100">
      <c r="A100" s="275" t="inlineStr">
        <is>
          <t>ООО Акваэлемент</t>
        </is>
      </c>
      <c r="B100" s="276" t="inlineStr">
        <is>
          <t>Услуга по обжарке и спецированию арахиса</t>
        </is>
      </c>
      <c r="C100" s="243" t="n"/>
      <c r="D100" s="244" t="n">
        <v>20000</v>
      </c>
      <c r="E100" s="277" t="n">
        <v>14.5</v>
      </c>
      <c r="F100" s="278">
        <f>D100*E100</f>
        <v/>
      </c>
      <c r="G100" s="247" t="n"/>
      <c r="H100" s="248" t="n"/>
      <c r="I100" s="2" t="n"/>
      <c r="J100" s="2" t="n"/>
    </row>
    <row r="101">
      <c r="A101" s="249" t="n"/>
      <c r="B101" s="250" t="n"/>
      <c r="C101" s="251" t="n"/>
      <c r="D101" s="252" t="n"/>
      <c r="E101" s="253" t="n"/>
      <c r="F101" s="254">
        <f>D101*E101</f>
        <v/>
      </c>
      <c r="G101" s="255" t="n"/>
      <c r="H101" s="256" t="n"/>
      <c r="I101" s="2" t="n"/>
      <c r="J101" s="2" t="n"/>
    </row>
    <row r="102">
      <c r="A102" s="257" t="n"/>
      <c r="B102" s="258" t="n"/>
      <c r="C102" s="257" t="n"/>
      <c r="D102" s="257" t="n"/>
      <c r="E102" s="257" t="n"/>
      <c r="F102" s="254">
        <f>D102*E102</f>
        <v/>
      </c>
      <c r="G102" s="257" t="n"/>
      <c r="H102" s="257" t="n"/>
      <c r="I102" s="2" t="n"/>
      <c r="J102" s="2" t="n"/>
    </row>
    <row r="103">
      <c r="A103" s="249" t="n"/>
      <c r="B103" s="258" t="n"/>
      <c r="C103" s="257" t="n"/>
      <c r="D103" s="259" t="n"/>
      <c r="E103" s="257" t="n"/>
      <c r="F103" s="260" t="n"/>
      <c r="G103" s="257" t="n"/>
      <c r="H103" s="257" t="n"/>
      <c r="I103" s="2" t="n"/>
      <c r="J103" s="2" t="n"/>
    </row>
    <row r="104">
      <c r="A104" s="2" t="n"/>
      <c r="B104" s="261" t="n"/>
      <c r="C104" s="2" t="n"/>
      <c r="D104" s="2" t="n"/>
      <c r="E104" s="2" t="n"/>
      <c r="F104" s="262" t="n"/>
      <c r="G104" s="2" t="n"/>
      <c r="H104" s="2" t="n"/>
      <c r="I104" s="263" t="n"/>
      <c r="J104" s="264" t="n"/>
    </row>
  </sheetData>
  <mergeCells count="6">
    <mergeCell ref="A1:J1"/>
    <mergeCell ref="A86:H86"/>
    <mergeCell ref="A43:H43"/>
    <mergeCell ref="A98:H98"/>
    <mergeCell ref="A2:J2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0.375" customWidth="1" min="4" max="4"/>
    <col width="17.375" customWidth="1" min="5" max="5"/>
    <col width="14.5" customWidth="1" min="6" max="6"/>
    <col width="9.625" customWidth="1" min="7" max="7"/>
    <col width="7.12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ИП1</t>
        </is>
      </c>
      <c r="B4" s="267" t="n"/>
      <c r="C4" s="268" t="inlineStr">
        <is>
          <t>квадромикс 200 гр</t>
        </is>
      </c>
      <c r="D4" s="269" t="n">
        <v>0.2</v>
      </c>
      <c r="E4" s="17" t="n">
        <v>6</v>
      </c>
      <c r="F4" s="17" t="n">
        <v>18</v>
      </c>
      <c r="G4" s="270" t="n">
        <v>0.8</v>
      </c>
      <c r="H4" s="19" t="n">
        <v>75</v>
      </c>
      <c r="I4" s="19">
        <f>H4*E4</f>
        <v/>
      </c>
      <c r="J4" s="20" t="n"/>
    </row>
    <row r="5">
      <c r="A5" s="13" t="n"/>
      <c r="B5" s="267" t="n"/>
      <c r="C5" s="268" t="inlineStr">
        <is>
          <t>арахис ассорти 200 гр</t>
        </is>
      </c>
      <c r="D5" s="269" t="n">
        <v>0.2</v>
      </c>
      <c r="E5" s="17" t="n">
        <v>8</v>
      </c>
      <c r="F5" s="17" t="n">
        <v>18</v>
      </c>
      <c r="G5" s="270" t="n">
        <v>0.8</v>
      </c>
      <c r="H5" s="19" t="n">
        <v>85</v>
      </c>
      <c r="I5" s="19">
        <f>H5*E5</f>
        <v/>
      </c>
      <c r="J5" s="20" t="n"/>
    </row>
    <row r="6">
      <c r="A6" s="13" t="n"/>
      <c r="B6" s="244" t="n"/>
      <c r="C6" s="268" t="inlineStr">
        <is>
          <t>васаби 110 гр</t>
        </is>
      </c>
      <c r="D6" s="269" t="n">
        <v>0.11</v>
      </c>
      <c r="E6" s="17" t="n">
        <v>0</v>
      </c>
      <c r="F6" s="17" t="n">
        <v>10</v>
      </c>
      <c r="G6" s="17" t="n">
        <v>0.44</v>
      </c>
      <c r="H6" s="19" t="n">
        <v>35</v>
      </c>
      <c r="I6" s="19">
        <f>H6*E6</f>
        <v/>
      </c>
      <c r="J6" s="20" t="n"/>
    </row>
    <row r="7">
      <c r="A7" s="13" t="n"/>
      <c r="B7" s="244" t="n"/>
      <c r="C7" s="268" t="inlineStr">
        <is>
          <t>сметана зелень 110 гр</t>
        </is>
      </c>
      <c r="D7" s="269" t="n">
        <v>0.11</v>
      </c>
      <c r="E7" s="17" t="n">
        <v>0</v>
      </c>
      <c r="F7" s="17" t="n">
        <v>10</v>
      </c>
      <c r="G7" s="17" t="n">
        <v>0.44</v>
      </c>
      <c r="H7" s="19" t="n">
        <v>35</v>
      </c>
      <c r="I7" s="19">
        <f>H7*E7</f>
        <v/>
      </c>
      <c r="J7" s="20" t="n"/>
    </row>
    <row r="8">
      <c r="A8" s="13" t="n"/>
      <c r="B8" s="244" t="n"/>
      <c r="C8" s="268" t="inlineStr">
        <is>
          <t>барбекю 110 гр</t>
        </is>
      </c>
      <c r="D8" s="269" t="n">
        <v>0.11</v>
      </c>
      <c r="E8" s="17" t="n">
        <v>0</v>
      </c>
      <c r="F8" s="17" t="n">
        <v>10</v>
      </c>
      <c r="G8" s="17" t="n">
        <v>0.44</v>
      </c>
      <c r="H8" s="19" t="n">
        <v>35</v>
      </c>
      <c r="I8" s="19">
        <f>H8*E8</f>
        <v/>
      </c>
      <c r="J8" s="20" t="n"/>
    </row>
    <row r="9">
      <c r="A9" s="13" t="n"/>
      <c r="B9" s="244" t="n"/>
      <c r="C9" s="268" t="inlineStr">
        <is>
          <t>сыр лук 110 гр</t>
        </is>
      </c>
      <c r="D9" s="269" t="n">
        <v>0.11</v>
      </c>
      <c r="E9" s="17" t="n">
        <v>0</v>
      </c>
      <c r="F9" s="17" t="n">
        <v>10</v>
      </c>
      <c r="G9" s="17" t="n">
        <v>0.44</v>
      </c>
      <c r="H9" s="19" t="n">
        <v>35</v>
      </c>
      <c r="I9" s="19">
        <f>H9*E9</f>
        <v/>
      </c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29124.45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66" t="inlineStr">
        <is>
          <t>поступление ч/л</t>
        </is>
      </c>
      <c r="B20" s="67" t="n"/>
      <c r="C20" s="68" t="n">
        <v>1130</v>
      </c>
      <c r="D20" s="68" t="n">
        <v>1130</v>
      </c>
      <c r="E20" s="69" t="n"/>
      <c r="F20" s="70" t="n"/>
      <c r="G20" s="71" t="n"/>
      <c r="H20" s="72">
        <f>F20*G20</f>
        <v/>
      </c>
      <c r="I20" s="2" t="n"/>
      <c r="J20" s="2" t="n"/>
    </row>
    <row r="21">
      <c r="A21" s="66" t="inlineStr">
        <is>
          <t>поступление от ИП1</t>
        </is>
      </c>
      <c r="B21" s="67" t="n"/>
      <c r="C21" s="68" t="n">
        <v>200000</v>
      </c>
      <c r="D21" s="68" t="n">
        <v>200000</v>
      </c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2" t="n"/>
      <c r="J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81" t="inlineStr">
        <is>
          <t xml:space="preserve">уборка </t>
        </is>
      </c>
      <c r="B27" s="67" t="n"/>
      <c r="C27" s="68" t="n">
        <v>10000</v>
      </c>
      <c r="D27" s="68" t="n">
        <v>10000</v>
      </c>
      <c r="E27" s="76" t="n"/>
      <c r="F27" s="78" t="n"/>
      <c r="G27" s="79" t="n"/>
      <c r="H27" s="80" t="n"/>
      <c r="I27" s="2" t="n"/>
      <c r="J27" s="2" t="n"/>
    </row>
    <row r="28">
      <c r="A28" s="81" t="inlineStr">
        <is>
          <t>комиссия</t>
        </is>
      </c>
      <c r="B28" s="67" t="n"/>
      <c r="C28" s="68" t="n">
        <v>16000</v>
      </c>
      <c r="D28" s="68" t="n">
        <v>16000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81" t="inlineStr">
        <is>
          <t>палеты</t>
        </is>
      </c>
      <c r="B29" s="67" t="n"/>
      <c r="C29" s="68" t="n">
        <v>3600</v>
      </c>
      <c r="D29" s="68" t="n">
        <v>3600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69" t="inlineStr">
        <is>
          <t>з/п Захаров</t>
        </is>
      </c>
      <c r="B30" s="67" t="n"/>
      <c r="C30" s="68" t="n">
        <v>70000</v>
      </c>
      <c r="D30" s="68" t="n">
        <v>70000</v>
      </c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inlineStr">
        <is>
          <t>дизельное топливо для кары</t>
        </is>
      </c>
      <c r="B31" s="67" t="n"/>
      <c r="C31" s="68" t="n">
        <v>4000</v>
      </c>
      <c r="D31" s="74" t="n">
        <v>4000</v>
      </c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81" t="inlineStr">
        <is>
          <t>инветарь для уборки</t>
        </is>
      </c>
      <c r="B32" s="67" t="n"/>
      <c r="C32" s="68" t="n">
        <v>1300</v>
      </c>
      <c r="D32" s="68" t="n">
        <v>1300</v>
      </c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4" t="n"/>
      <c r="E34" s="76" t="n"/>
      <c r="F34" s="78" t="n"/>
      <c r="G34" s="79" t="n"/>
      <c r="H34" s="72">
        <f>F34*G34</f>
        <v/>
      </c>
      <c r="I34" s="2" t="n"/>
      <c r="J34" s="2" t="n"/>
    </row>
    <row r="35">
      <c r="A35" s="69" t="n"/>
      <c r="B35" s="67" t="n"/>
      <c r="C35" s="68" t="n"/>
      <c r="D35" s="74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69" t="n"/>
      <c r="B37" s="67" t="n"/>
      <c r="C37" s="68" t="n"/>
      <c r="D37" s="75" t="n"/>
      <c r="E37" s="76" t="n"/>
      <c r="F37" s="78" t="n"/>
      <c r="G37" s="79" t="n"/>
      <c r="H37" s="72">
        <f>F37*G37</f>
        <v/>
      </c>
      <c r="I37" s="2" t="n"/>
      <c r="J37" s="2" t="n"/>
    </row>
    <row r="38">
      <c r="A38" s="69" t="n"/>
      <c r="B38" s="67" t="n"/>
      <c r="C38" s="68" t="n"/>
      <c r="D38" s="75" t="n"/>
      <c r="E38" s="76" t="n"/>
      <c r="F38" s="78" t="n"/>
      <c r="G38" s="79" t="n"/>
      <c r="H38" s="72">
        <f>F38*G38</f>
        <v/>
      </c>
      <c r="I38" s="2" t="n"/>
      <c r="J38" s="2" t="n"/>
    </row>
    <row r="39">
      <c r="A39" s="69" t="n"/>
      <c r="B39" s="67" t="n"/>
      <c r="C39" s="68" t="n"/>
      <c r="D39" s="75" t="n"/>
      <c r="E39" s="76" t="n"/>
      <c r="F39" s="78" t="n"/>
      <c r="G39" s="79" t="n"/>
      <c r="H39" s="72">
        <f>F39*G39</f>
        <v/>
      </c>
      <c r="I39" s="2" t="n"/>
      <c r="J39" s="2" t="n"/>
    </row>
    <row r="40">
      <c r="A40" s="83" t="n"/>
      <c r="B40" s="67" t="n"/>
      <c r="C40" s="68" t="n"/>
      <c r="D40" s="84" t="n"/>
      <c r="E40" s="85" t="inlineStr">
        <is>
          <t>Итого расход:</t>
        </is>
      </c>
      <c r="F40" s="78" t="n"/>
      <c r="G40" s="79" t="n"/>
      <c r="H40" s="72">
        <f>F40*G40</f>
        <v/>
      </c>
      <c r="I40" s="86" t="n"/>
      <c r="J40" s="86" t="n"/>
    </row>
    <row r="41">
      <c r="A41" s="87" t="inlineStr">
        <is>
          <t>Остаток на конец дня:</t>
        </is>
      </c>
      <c r="B41" s="88" t="n"/>
      <c r="C41" s="89" t="n"/>
      <c r="D41" s="90">
        <f>SUM(D20,D21:D24,D19,)-SUM(D27:D40,)</f>
        <v/>
      </c>
      <c r="E41" s="87" t="inlineStr">
        <is>
          <t>Остаток на конец дня:</t>
        </is>
      </c>
      <c r="F41" s="91" t="n"/>
      <c r="G41" s="89" t="n"/>
      <c r="H41" s="92">
        <f>SUM(H19+H25-H40)</f>
        <v/>
      </c>
      <c r="I41" s="2" t="n"/>
      <c r="J41" s="2" t="n"/>
    </row>
    <row r="42">
      <c r="A42" s="93" t="n"/>
      <c r="B42" s="94" t="n"/>
      <c r="C42" s="43" t="n"/>
      <c r="D42" s="41" t="n"/>
      <c r="E42" s="41" t="n"/>
      <c r="F42" s="41" t="n"/>
      <c r="G42" s="2" t="n"/>
      <c r="H42" s="2" t="n"/>
      <c r="I42" s="2" t="n"/>
      <c r="J42" s="2" t="n"/>
    </row>
    <row r="43">
      <c r="A43" s="95" t="inlineStr">
        <is>
          <t>Расчётный счёт</t>
        </is>
      </c>
      <c r="B43" s="54" t="n"/>
      <c r="C43" s="54" t="n"/>
      <c r="D43" s="54" t="n"/>
      <c r="E43" s="54" t="n"/>
      <c r="F43" s="54" t="n"/>
      <c r="G43" s="54" t="n"/>
      <c r="H43" s="54" t="n"/>
      <c r="I43" s="2" t="n"/>
      <c r="J43" s="2" t="n"/>
    </row>
    <row r="44">
      <c r="A44" s="96" t="inlineStr">
        <is>
          <t>ВТБ</t>
        </is>
      </c>
      <c r="B44" s="279" t="inlineStr">
        <is>
          <t>ВТБ</t>
        </is>
      </c>
      <c r="C44" s="279" t="n"/>
      <c r="D44" s="47" t="n"/>
      <c r="E44" s="97" t="inlineStr">
        <is>
          <t>Альфабанк</t>
        </is>
      </c>
      <c r="F44" s="56" t="n"/>
      <c r="G44" s="56" t="n"/>
      <c r="H44" s="47" t="n"/>
      <c r="I44" s="2" t="n"/>
      <c r="J44" s="2" t="n"/>
    </row>
    <row r="45">
      <c r="A45" s="98" t="inlineStr">
        <is>
          <t>Остаток на начало дня:</t>
        </is>
      </c>
      <c r="B45" s="280" t="n"/>
      <c r="C45" s="99" t="n">
        <v>1218475.48</v>
      </c>
      <c r="D45" s="56" t="n"/>
      <c r="E45" s="100" t="inlineStr">
        <is>
          <t>Остаток на начало дня:</t>
        </is>
      </c>
      <c r="F45" s="47" t="n"/>
      <c r="G45" s="101" t="n">
        <v>3090.7</v>
      </c>
      <c r="H45" s="47" t="n"/>
      <c r="I45" s="2" t="n"/>
      <c r="J45" s="2" t="n"/>
    </row>
    <row r="46">
      <c r="A46" s="102" t="inlineStr">
        <is>
          <t>Поступление</t>
        </is>
      </c>
      <c r="B46" s="47" t="n"/>
      <c r="C46" s="102" t="inlineStr">
        <is>
          <t>Расход</t>
        </is>
      </c>
      <c r="D46" s="47" t="n"/>
      <c r="E46" s="102" t="inlineStr">
        <is>
          <t>Поступление</t>
        </is>
      </c>
      <c r="F46" s="47" t="n"/>
      <c r="G46" s="102" t="inlineStr">
        <is>
          <t>Расход</t>
        </is>
      </c>
      <c r="H46" s="47" t="n"/>
      <c r="I46" s="86" t="n"/>
      <c r="J46" s="86" t="n"/>
    </row>
    <row r="47">
      <c r="A47" s="103" t="inlineStr">
        <is>
          <t>от кого</t>
        </is>
      </c>
      <c r="B47" s="103" t="inlineStr">
        <is>
          <t>сумма</t>
        </is>
      </c>
      <c r="C47" s="103" t="inlineStr">
        <is>
          <t>кому</t>
        </is>
      </c>
      <c r="D47" s="103" t="inlineStr">
        <is>
          <t>сумма</t>
        </is>
      </c>
      <c r="E47" s="103" t="inlineStr">
        <is>
          <t>от кого</t>
        </is>
      </c>
      <c r="F47" s="103" t="inlineStr">
        <is>
          <t>сумма</t>
        </is>
      </c>
      <c r="G47" s="103" t="inlineStr">
        <is>
          <t xml:space="preserve">кому </t>
        </is>
      </c>
      <c r="H47" s="103" t="inlineStr">
        <is>
          <t>сумма</t>
        </is>
      </c>
      <c r="I47" s="86" t="n"/>
      <c r="J47" s="86" t="n"/>
    </row>
    <row r="48">
      <c r="A48" s="104" t="inlineStr">
        <is>
          <t xml:space="preserve">Проценты по депозиту </t>
        </is>
      </c>
      <c r="B48" s="281" t="n">
        <v>634.02</v>
      </c>
      <c r="C48" s="106" t="inlineStr">
        <is>
          <t xml:space="preserve">Комиссия банка </t>
        </is>
      </c>
      <c r="D48" s="107" t="n">
        <v>200</v>
      </c>
      <c r="E48" s="108" t="inlineStr">
        <is>
          <t xml:space="preserve">Финансирование по факторингу </t>
        </is>
      </c>
      <c r="F48" s="109" t="n">
        <v>858528</v>
      </c>
      <c r="G48" s="110" t="inlineStr">
        <is>
          <t>Перевод в ВТБ</t>
        </is>
      </c>
      <c r="H48" s="109" t="n">
        <v>858500</v>
      </c>
      <c r="I48" s="86" t="n"/>
      <c r="J48" s="86" t="n"/>
    </row>
    <row r="49">
      <c r="A49" s="282" t="inlineStr">
        <is>
          <t xml:space="preserve">ООО Экобиотехнологии  за отработаное масло </t>
        </is>
      </c>
      <c r="B49" s="281" t="n">
        <v>77165</v>
      </c>
      <c r="C49" s="112" t="inlineStr">
        <is>
          <t xml:space="preserve">ООО Все инструменты  за риббон </t>
        </is>
      </c>
      <c r="D49" s="107" t="n">
        <v>6700</v>
      </c>
      <c r="E49" s="110" t="n"/>
      <c r="F49" s="109" t="n"/>
      <c r="G49" s="110" t="n"/>
      <c r="H49" s="109" t="n"/>
      <c r="I49" s="86" t="n"/>
      <c r="J49" s="86" t="n"/>
    </row>
    <row r="50">
      <c r="A50" s="111" t="inlineStr">
        <is>
          <t xml:space="preserve">ООО Яндекс лавка за арахис </t>
        </is>
      </c>
      <c r="B50" s="283" t="n">
        <v>483840</v>
      </c>
      <c r="C50" s="113" t="inlineStr">
        <is>
          <t xml:space="preserve">ООО Креп пласт  за поликарбонат </t>
        </is>
      </c>
      <c r="D50" s="107" t="n">
        <v>15300</v>
      </c>
      <c r="E50" s="110" t="n"/>
      <c r="F50" s="109" t="n"/>
      <c r="G50" s="114" t="n"/>
      <c r="H50" s="109" t="n"/>
      <c r="I50" s="86" t="n"/>
      <c r="J50" s="86" t="n"/>
    </row>
    <row r="51">
      <c r="A51" s="115" t="inlineStr">
        <is>
          <t xml:space="preserve">Перевод с альфа банка </t>
        </is>
      </c>
      <c r="B51" s="283" t="n">
        <v>858500</v>
      </c>
      <c r="C51" s="113" t="inlineStr">
        <is>
          <t>ИП Головлин  аренда  оборудования</t>
        </is>
      </c>
      <c r="D51" s="107" t="n">
        <v>200000</v>
      </c>
      <c r="E51" s="108" t="n"/>
      <c r="F51" s="116" t="n"/>
      <c r="G51" s="114" t="n"/>
      <c r="H51" s="109" t="n"/>
      <c r="I51" s="86" t="n"/>
      <c r="J51" s="86" t="n"/>
    </row>
    <row r="52">
      <c r="A52" s="117" t="n"/>
      <c r="B52" s="283" t="n"/>
      <c r="C52" s="113" t="inlineStr">
        <is>
          <t xml:space="preserve">ООО Люкс ОЙЛ за пальмовое масло </t>
        </is>
      </c>
      <c r="D52" s="107" t="n">
        <v>232000</v>
      </c>
      <c r="E52" s="118" t="n"/>
      <c r="F52" s="119" t="n"/>
      <c r="G52" s="120" t="n"/>
      <c r="H52" s="120" t="n"/>
      <c r="I52" s="86" t="n"/>
      <c r="J52" s="86" t="n"/>
    </row>
    <row r="53">
      <c r="A53" s="117" t="n"/>
      <c r="B53" s="283" t="n"/>
      <c r="C53" s="113" t="inlineStr">
        <is>
          <t xml:space="preserve">ООО ТД Доминант </t>
        </is>
      </c>
      <c r="D53" s="107" t="n">
        <v>624000</v>
      </c>
      <c r="E53" s="118" t="n"/>
      <c r="F53" s="119" t="n"/>
      <c r="G53" s="121" t="n"/>
      <c r="H53" s="120" t="n"/>
      <c r="I53" s="86" t="n"/>
      <c r="J53" s="86" t="n"/>
    </row>
    <row r="54">
      <c r="A54" s="122" t="n"/>
      <c r="B54" s="283" t="n"/>
      <c r="C54" s="113" t="inlineStr">
        <is>
          <t>Размещение на депозите  695000</t>
        </is>
      </c>
      <c r="D54" s="107" t="n">
        <v>0</v>
      </c>
      <c r="E54" s="118" t="n"/>
      <c r="F54" s="118" t="n"/>
      <c r="G54" s="123" t="n"/>
      <c r="H54" s="120" t="n"/>
      <c r="I54" s="86" t="n"/>
      <c r="J54" s="86" t="n"/>
    </row>
    <row r="55">
      <c r="A55" s="124" t="n"/>
      <c r="B55" s="284" t="n"/>
      <c r="C55" s="113" t="inlineStr">
        <is>
          <t xml:space="preserve">ООО Агроимпэкс  за арахис </t>
        </is>
      </c>
      <c r="D55" s="107" t="n">
        <v>865000</v>
      </c>
      <c r="E55" s="124" t="n"/>
      <c r="F55" s="118" t="n"/>
      <c r="G55" s="110" t="n"/>
      <c r="H55" s="120" t="n"/>
      <c r="I55" s="86" t="n"/>
      <c r="J55" s="86" t="n"/>
    </row>
    <row r="56">
      <c r="A56" s="124" t="n"/>
      <c r="B56" s="28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28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4" t="n"/>
      <c r="B58" s="285" t="n"/>
      <c r="C58" s="110" t="n"/>
      <c r="D58" s="126" t="n"/>
      <c r="E58" s="124" t="n"/>
      <c r="F58" s="118" t="n"/>
      <c r="G58" s="110" t="n"/>
      <c r="H58" s="120" t="n"/>
      <c r="I58" s="86" t="n"/>
      <c r="J58" s="86" t="n"/>
    </row>
    <row r="59">
      <c r="A59" s="124" t="n"/>
      <c r="B59" s="285" t="n"/>
      <c r="C59" s="110" t="n"/>
      <c r="D59" s="126" t="n"/>
      <c r="E59" s="124" t="n"/>
      <c r="F59" s="118" t="n"/>
      <c r="G59" s="110" t="n"/>
      <c r="H59" s="120" t="n"/>
      <c r="I59" s="86" t="n"/>
      <c r="J59" s="86" t="n"/>
    </row>
    <row r="60">
      <c r="A60" s="124" t="n"/>
      <c r="B60" s="125" t="n"/>
      <c r="C60" s="110" t="n"/>
      <c r="D60" s="126" t="n"/>
      <c r="E60" s="124" t="n"/>
      <c r="F60" s="118" t="n"/>
      <c r="G60" s="110" t="n"/>
      <c r="H60" s="120" t="n"/>
      <c r="I60" s="86" t="n"/>
      <c r="J60" s="86" t="n"/>
    </row>
    <row r="61">
      <c r="A61" s="127" t="n"/>
      <c r="B61" s="128">
        <f>SUM(B48:B60)+C45</f>
        <v/>
      </c>
      <c r="C61" s="129" t="n"/>
      <c r="D61" s="128">
        <f>SUM(D48:D60)</f>
        <v/>
      </c>
      <c r="E61" s="130" t="n"/>
      <c r="F61" s="130">
        <f>SUM(F48:F60)</f>
        <v/>
      </c>
      <c r="G61" s="130" t="n"/>
      <c r="H61" s="130">
        <f>SUM(H48:H60)</f>
        <v/>
      </c>
      <c r="I61" s="2" t="n"/>
      <c r="J61" s="2" t="n"/>
    </row>
    <row r="62">
      <c r="A62" s="131" t="inlineStr">
        <is>
          <t>Остаток на конец дня:</t>
        </is>
      </c>
      <c r="B62" s="132">
        <f>B61-D61</f>
        <v/>
      </c>
      <c r="C62" s="56" t="n"/>
      <c r="D62" s="47" t="n"/>
      <c r="E62" s="100" t="inlineStr">
        <is>
          <t>Остаток на конец дня:</t>
        </is>
      </c>
      <c r="F62" s="101">
        <f>G45+F61-H61</f>
        <v/>
      </c>
      <c r="G62" s="56" t="n"/>
      <c r="H62" s="47" t="n"/>
      <c r="I62" s="2" t="n"/>
      <c r="J62" s="2" t="n"/>
    </row>
    <row r="63">
      <c r="A63" s="133" t="inlineStr">
        <is>
          <t>ИТОГО:</t>
        </is>
      </c>
      <c r="B63" s="47" t="n"/>
      <c r="C63" s="134">
        <f>B62+F62</f>
        <v/>
      </c>
      <c r="D63" s="56" t="n"/>
      <c r="E63" s="56" t="n"/>
      <c r="F63" s="56" t="n"/>
      <c r="G63" s="56" t="n"/>
      <c r="H63" s="47" t="n"/>
      <c r="I63" s="2" t="n"/>
      <c r="J63" s="2" t="n"/>
    </row>
    <row r="64">
      <c r="A64" s="41" t="n"/>
      <c r="B64" s="94" t="n"/>
      <c r="C64" s="43" t="n"/>
      <c r="D64" s="41" t="n"/>
      <c r="E64" s="41" t="n"/>
      <c r="F64" s="41" t="n"/>
      <c r="G64" s="41" t="n"/>
      <c r="H64" s="93" t="n"/>
      <c r="I64" s="135" t="n"/>
      <c r="J64" s="135" t="n"/>
    </row>
    <row r="65">
      <c r="A65" s="136" t="n"/>
      <c r="B65" s="137" t="inlineStr">
        <is>
          <t>Реализация по безналичному расчёту</t>
        </is>
      </c>
      <c r="D65" s="2" t="n"/>
      <c r="E65" s="41" t="n"/>
      <c r="F65" s="41" t="n"/>
      <c r="G65" s="41" t="n"/>
      <c r="H65" s="138" t="n"/>
      <c r="I65" s="2" t="n"/>
      <c r="J65" s="2" t="n"/>
    </row>
    <row r="66">
      <c r="A66" s="139" t="inlineStr">
        <is>
          <t>Контрагент</t>
        </is>
      </c>
      <c r="B66" s="140" t="inlineStr">
        <is>
          <t>поставщик</t>
        </is>
      </c>
      <c r="C66" s="141" t="inlineStr">
        <is>
          <t>наименование</t>
        </is>
      </c>
      <c r="D66" s="142" t="inlineStr">
        <is>
          <t>вес упаковки, тарелки</t>
        </is>
      </c>
      <c r="E66" s="143" t="inlineStr">
        <is>
          <t>кол.-во пакетов, коробок</t>
        </is>
      </c>
      <c r="F66" s="144" t="inlineStr">
        <is>
          <t>кол-во мест в коробке/упаковке</t>
        </is>
      </c>
      <c r="G66" s="145" t="inlineStr">
        <is>
          <t>общий вес, кг.</t>
        </is>
      </c>
      <c r="H66" s="146" t="inlineStr">
        <is>
          <t>цена пакет, тарелка</t>
        </is>
      </c>
      <c r="I66" s="147" t="inlineStr">
        <is>
          <t>сумма</t>
        </is>
      </c>
      <c r="J66" s="148" t="inlineStr">
        <is>
          <t>Комментарий</t>
        </is>
      </c>
    </row>
    <row r="67">
      <c r="A67" s="150" t="n"/>
      <c r="B67" s="151" t="n"/>
      <c r="C67" s="272" t="n"/>
      <c r="D67" s="153" t="n"/>
      <c r="E67" s="154" t="n"/>
      <c r="F67" s="155" t="n"/>
      <c r="G67" s="154" t="n"/>
      <c r="H67" s="156" t="n"/>
      <c r="I67" s="156" t="n"/>
      <c r="J67" s="157" t="n"/>
    </row>
    <row r="68">
      <c r="A68" s="150" t="n"/>
      <c r="B68" s="151" t="n"/>
      <c r="C68" s="158" t="n"/>
      <c r="D68" s="153" t="n"/>
      <c r="E68" s="154" t="n"/>
      <c r="F68" s="155" t="n"/>
      <c r="G68" s="154" t="n"/>
      <c r="H68" s="156" t="n"/>
      <c r="I68" s="156" t="n"/>
      <c r="J68" s="159" t="n"/>
    </row>
    <row r="69">
      <c r="A69" s="150" t="n"/>
      <c r="B69" s="151" t="n"/>
      <c r="C69" s="158" t="n"/>
      <c r="D69" s="153" t="n"/>
      <c r="E69" s="154" t="n"/>
      <c r="F69" s="155" t="n"/>
      <c r="G69" s="154" t="n"/>
      <c r="H69" s="156" t="n"/>
      <c r="I69" s="156" t="n"/>
      <c r="J69" s="159" t="n"/>
    </row>
    <row r="70">
      <c r="A70" s="150" t="n"/>
      <c r="B70" s="151" t="n"/>
      <c r="C70" s="158" t="n"/>
      <c r="D70" s="153" t="n"/>
      <c r="E70" s="154" t="n"/>
      <c r="F70" s="155" t="n"/>
      <c r="G70" s="154" t="n"/>
      <c r="H70" s="156" t="n"/>
      <c r="I70" s="156" t="n"/>
      <c r="J70" s="159" t="n"/>
    </row>
    <row r="71">
      <c r="A71" s="150" t="n"/>
      <c r="B71" s="151" t="n"/>
      <c r="C71" s="152" t="n"/>
      <c r="D71" s="153" t="n"/>
      <c r="E71" s="154" t="n"/>
      <c r="F71" s="155" t="n"/>
      <c r="G71" s="154" t="n"/>
      <c r="H71" s="156" t="n"/>
      <c r="I71" s="156" t="n"/>
      <c r="J71" s="159" t="n"/>
    </row>
    <row r="72">
      <c r="A72" s="150" t="n"/>
      <c r="B72" s="151" t="n"/>
      <c r="C72" s="152" t="n"/>
      <c r="D72" s="153" t="n"/>
      <c r="E72" s="154" t="n"/>
      <c r="F72" s="155" t="n"/>
      <c r="G72" s="154" t="n"/>
      <c r="H72" s="156" t="n"/>
      <c r="I72" s="156" t="n"/>
      <c r="J72" s="159" t="n"/>
    </row>
    <row r="73">
      <c r="A73" s="150" t="n"/>
      <c r="B73" s="150" t="n"/>
      <c r="C73" s="160" t="n"/>
      <c r="D73" s="153" t="n"/>
      <c r="E73" s="154" t="n"/>
      <c r="F73" s="155" t="n"/>
      <c r="G73" s="154" t="n"/>
      <c r="H73" s="156" t="n"/>
      <c r="I73" s="156" t="n"/>
      <c r="J73" s="161" t="n"/>
    </row>
    <row r="74">
      <c r="A74" s="162" t="n"/>
      <c r="B74" s="163" t="n"/>
      <c r="C74" s="164" t="n"/>
      <c r="D74" s="165" t="n"/>
      <c r="E74" s="166" t="n"/>
      <c r="F74" s="167" t="n"/>
      <c r="G74" s="168" t="n"/>
      <c r="H74" s="169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62" t="n"/>
      <c r="B76" s="163" t="n"/>
      <c r="C76" s="171" t="n"/>
      <c r="D76" s="153" t="n"/>
      <c r="E76" s="172" t="n"/>
      <c r="F76" s="155" t="n"/>
      <c r="G76" s="168" t="n"/>
      <c r="H76" s="156" t="n"/>
      <c r="I76" s="170" t="n"/>
      <c r="J76" s="161" t="n"/>
    </row>
    <row r="77">
      <c r="A77" s="162" t="n"/>
      <c r="B77" s="163" t="n"/>
      <c r="C77" s="171" t="n"/>
      <c r="D77" s="153" t="n"/>
      <c r="E77" s="172" t="n"/>
      <c r="F77" s="155" t="n"/>
      <c r="G77" s="168" t="n"/>
      <c r="H77" s="156" t="n"/>
      <c r="I77" s="170" t="n"/>
      <c r="J77" s="161" t="n"/>
    </row>
    <row r="78">
      <c r="A78" s="162" t="n"/>
      <c r="B78" s="163" t="n"/>
      <c r="C78" s="171" t="n"/>
      <c r="D78" s="153" t="n"/>
      <c r="E78" s="172" t="n"/>
      <c r="F78" s="155" t="n"/>
      <c r="G78" s="168" t="n"/>
      <c r="H78" s="156" t="n"/>
      <c r="I78" s="170" t="n"/>
      <c r="J78" s="161" t="n"/>
    </row>
    <row r="79">
      <c r="A79" s="173" t="n"/>
      <c r="B79" s="174" t="n"/>
      <c r="C79" s="175" t="n"/>
      <c r="D79" s="176" t="n"/>
      <c r="E79" s="177" t="n"/>
      <c r="F79" s="178" t="n"/>
      <c r="G79" s="179" t="n"/>
      <c r="H79" s="180" t="n"/>
      <c r="I79" s="181" t="n"/>
      <c r="J79" s="161" t="n"/>
    </row>
    <row r="80">
      <c r="A80" s="182" t="n"/>
      <c r="B80" s="163" t="n"/>
      <c r="C80" s="183" t="n"/>
      <c r="D80" s="184" t="n"/>
      <c r="E80" s="166" t="n"/>
      <c r="F80" s="167" t="n"/>
      <c r="G80" s="185">
        <f>D80*F80</f>
        <v/>
      </c>
      <c r="H80" s="186" t="n"/>
      <c r="I80" s="186">
        <f>F80*H80*E80</f>
        <v/>
      </c>
      <c r="J80" s="187" t="n"/>
    </row>
    <row r="81">
      <c r="A81" s="182" t="n"/>
      <c r="B81" s="163" t="n"/>
      <c r="C81" s="188" t="n"/>
      <c r="D81" s="189" t="n"/>
      <c r="E81" s="190" t="n"/>
      <c r="F81" s="189" t="n"/>
      <c r="G81" s="185">
        <f>D81*F81</f>
        <v/>
      </c>
      <c r="H81" s="191" t="n"/>
      <c r="I81" s="186">
        <f>F81*H81*E81</f>
        <v/>
      </c>
      <c r="J81" s="187" t="n"/>
    </row>
    <row r="82">
      <c r="A82" s="192" t="inlineStr">
        <is>
          <t>ИТОГО:</t>
        </is>
      </c>
      <c r="B82" s="193" t="n"/>
      <c r="C82" s="194" t="n"/>
      <c r="D82" s="195" t="n"/>
      <c r="E82" s="196">
        <f>SUM(E67:E81)</f>
        <v/>
      </c>
      <c r="F82" s="197">
        <f>SUM(F67:F79)</f>
        <v/>
      </c>
      <c r="G82" s="198">
        <f>SUM(G67:G74)</f>
        <v/>
      </c>
      <c r="H82" s="199" t="n"/>
      <c r="I82" s="199">
        <f>SUM(I67:I75)</f>
        <v/>
      </c>
      <c r="J82" s="200" t="n"/>
    </row>
    <row r="83">
      <c r="A83" s="2" t="n"/>
      <c r="B83" s="94" t="n"/>
      <c r="C83" s="43" t="n"/>
      <c r="D83" s="41" t="n"/>
      <c r="E83" s="41" t="n"/>
      <c r="F83" s="41" t="n"/>
      <c r="G83" s="41" t="n"/>
      <c r="H83" s="2" t="n"/>
      <c r="I83" s="2" t="n"/>
      <c r="J83" s="2" t="n"/>
    </row>
    <row r="84">
      <c r="A84" s="201" t="inlineStr">
        <is>
          <t>реализация Всего касса+безнал:</t>
        </is>
      </c>
      <c r="B84" s="202" t="inlineStr">
        <is>
          <t>кг</t>
        </is>
      </c>
      <c r="C84" s="203" t="inlineStr">
        <is>
          <t>на сумму</t>
        </is>
      </c>
      <c r="D84" s="41" t="n"/>
      <c r="E84" s="41" t="n"/>
      <c r="F84" s="41" t="n"/>
      <c r="G84" s="41" t="n"/>
      <c r="H84" s="2" t="n"/>
      <c r="I84" s="2" t="n"/>
      <c r="J84" s="2" t="n"/>
    </row>
    <row r="85">
      <c r="A85" s="204" t="n"/>
      <c r="B85" s="205">
        <f>E12+G82</f>
        <v/>
      </c>
      <c r="C85" s="206">
        <f>I12+H82+I82</f>
        <v/>
      </c>
      <c r="D85" s="41" t="n"/>
      <c r="E85" s="41" t="n"/>
      <c r="F85" s="41" t="n"/>
      <c r="G85" s="41" t="n"/>
      <c r="H85" s="2" t="n"/>
      <c r="I85" s="2" t="n"/>
      <c r="J85" s="2" t="n"/>
    </row>
    <row r="86">
      <c r="A86" s="207" t="inlineStr">
        <is>
          <t>Услуги оказывают нам (доставка сырья и комплектующих на склад, Товара покупателям)</t>
        </is>
      </c>
      <c r="B86" s="54" t="n"/>
      <c r="C86" s="54" t="n"/>
      <c r="D86" s="54" t="n"/>
      <c r="E86" s="54" t="n"/>
      <c r="F86" s="54" t="n"/>
      <c r="G86" s="54" t="n"/>
      <c r="H86" s="54" t="n"/>
      <c r="I86" s="208" t="n"/>
      <c r="J86" s="58" t="n"/>
    </row>
    <row r="87">
      <c r="A87" s="209" t="inlineStr">
        <is>
          <t>Контрагент</t>
        </is>
      </c>
      <c r="B87" s="210" t="inlineStr">
        <is>
          <t>вид услуги</t>
        </is>
      </c>
      <c r="C87" s="211" t="inlineStr">
        <is>
          <t>Кому</t>
        </is>
      </c>
      <c r="D87" s="212" t="inlineStr">
        <is>
          <t>наименование</t>
        </is>
      </c>
      <c r="E87" s="213" t="inlineStr">
        <is>
          <t xml:space="preserve">город доставки </t>
        </is>
      </c>
      <c r="F87" s="214" t="inlineStr">
        <is>
          <t>цена</t>
        </is>
      </c>
      <c r="G87" s="213" t="inlineStr">
        <is>
          <t>сумма</t>
        </is>
      </c>
      <c r="H87" s="212" t="inlineStr">
        <is>
          <t>за тонну</t>
        </is>
      </c>
      <c r="I87" s="208" t="n"/>
      <c r="J87" s="58" t="n"/>
    </row>
    <row r="88">
      <c r="A88" s="220" t="n"/>
      <c r="B88" s="60" t="n"/>
      <c r="C88" s="221" t="n"/>
      <c r="D88" s="222" t="n"/>
      <c r="E88" s="217" t="n"/>
      <c r="F88" s="223" t="n"/>
      <c r="G88" s="218" t="n"/>
      <c r="H88" s="219" t="n"/>
      <c r="I88" s="208" t="n"/>
      <c r="J88" s="58" t="n"/>
    </row>
    <row r="89">
      <c r="A89" s="220" t="n"/>
      <c r="B89" s="60" t="n"/>
      <c r="C89" s="221" t="n"/>
      <c r="D89" s="222" t="n"/>
      <c r="E89" s="217" t="n"/>
      <c r="F89" s="223" t="n"/>
      <c r="G89" s="218" t="n"/>
      <c r="H89" s="219" t="n"/>
      <c r="I89" s="208" t="inlineStr">
        <is>
          <t xml:space="preserve"> доставка в два адреса</t>
        </is>
      </c>
      <c r="J89" s="58" t="n"/>
    </row>
    <row r="90">
      <c r="A90" s="220" t="n"/>
      <c r="B90" s="60" t="n"/>
      <c r="C90" s="221" t="n"/>
      <c r="D90" s="222" t="n"/>
      <c r="E90" s="274" t="n"/>
      <c r="F90" s="223" t="n"/>
      <c r="G90" s="218" t="n"/>
      <c r="H90" s="219" t="n"/>
      <c r="I90" s="2" t="n"/>
      <c r="J90" s="2" t="n"/>
    </row>
    <row r="91">
      <c r="A91" s="220" t="n"/>
      <c r="B91" s="60" t="n"/>
      <c r="C91" s="221" t="n"/>
      <c r="D91" s="222" t="n"/>
      <c r="E91" s="274" t="n"/>
      <c r="F91" s="223" t="n"/>
      <c r="G91" s="218" t="n"/>
      <c r="H91" s="219" t="n"/>
      <c r="I91" s="2" t="n"/>
      <c r="J91" s="2" t="n"/>
    </row>
    <row r="92">
      <c r="A92" s="220" t="n"/>
      <c r="B92" s="60" t="n"/>
      <c r="C92" s="221" t="n"/>
      <c r="D92" s="226" t="n"/>
      <c r="E92" s="274" t="n"/>
      <c r="F92" s="223" t="n"/>
      <c r="G92" s="218" t="n"/>
      <c r="H92" s="219" t="n"/>
      <c r="I92" s="2" t="n"/>
      <c r="J92" s="2" t="n"/>
    </row>
    <row r="93">
      <c r="A93" s="220" t="n"/>
      <c r="B93" s="60" t="n"/>
      <c r="C93" s="221" t="n"/>
      <c r="D93" s="226" t="n"/>
      <c r="E93" s="227" t="n"/>
      <c r="F93" s="223" t="n"/>
      <c r="G93" s="218">
        <f>F93+F1211</f>
        <v/>
      </c>
      <c r="H93" s="219" t="n"/>
      <c r="I93" s="2" t="n"/>
      <c r="J93" s="2" t="n"/>
    </row>
    <row r="94">
      <c r="A94" s="220" t="n"/>
      <c r="B94" s="60" t="n"/>
      <c r="C94" s="221" t="n"/>
      <c r="D94" s="226" t="n"/>
      <c r="E94" s="227" t="n"/>
      <c r="F94" s="223" t="n"/>
      <c r="G94" s="218">
        <f>F94+F1212</f>
        <v/>
      </c>
      <c r="H94" s="219" t="n"/>
      <c r="I94" s="2" t="n"/>
      <c r="J94" s="2" t="n"/>
    </row>
    <row r="95">
      <c r="A95" s="220" t="n"/>
      <c r="B95" s="60" t="n"/>
      <c r="C95" s="221" t="n"/>
      <c r="D95" s="226" t="n"/>
      <c r="E95" s="227" t="n"/>
      <c r="F95" s="223" t="n"/>
      <c r="G95" s="218">
        <f>F95+F1213</f>
        <v/>
      </c>
      <c r="H95" s="228" t="n"/>
      <c r="I95" s="2" t="n"/>
      <c r="J95" s="2" t="n"/>
    </row>
    <row r="96">
      <c r="A96" s="229" t="inlineStr">
        <is>
          <t>ИТОГО:</t>
        </is>
      </c>
      <c r="B96" s="230" t="n"/>
      <c r="C96" s="231" t="n"/>
      <c r="D96" s="232" t="n"/>
      <c r="E96" s="233">
        <f>SUM(E88:E95)</f>
        <v/>
      </c>
      <c r="F96" s="234" t="n"/>
      <c r="G96" s="235">
        <f>SUM(G88:G95)</f>
        <v/>
      </c>
      <c r="H96" s="235" t="n"/>
      <c r="I96" s="2" t="n"/>
      <c r="J96" s="2" t="n"/>
    </row>
    <row r="97">
      <c r="A97" s="41" t="n"/>
      <c r="B97" s="94" t="n"/>
      <c r="C97" s="43" t="n"/>
      <c r="D97" s="41" t="n"/>
      <c r="E97" s="41" t="n"/>
      <c r="F97" s="41" t="n"/>
      <c r="G97" s="41" t="n"/>
      <c r="H97" s="41" t="n"/>
      <c r="I97" s="2" t="n"/>
      <c r="J97" s="2" t="n"/>
    </row>
    <row r="98">
      <c r="A98" s="236" t="inlineStr">
        <is>
          <t>Услуги оказываем мы</t>
        </is>
      </c>
      <c r="B98" s="54" t="n"/>
      <c r="C98" s="54" t="n"/>
      <c r="D98" s="54" t="n"/>
      <c r="E98" s="54" t="n"/>
      <c r="F98" s="54" t="n"/>
      <c r="G98" s="54" t="n"/>
      <c r="H98" s="54" t="n"/>
      <c r="I98" s="237" t="n"/>
      <c r="J98" s="2" t="n"/>
    </row>
    <row r="99">
      <c r="A99" s="209" t="inlineStr">
        <is>
          <t>Контрагент</t>
        </is>
      </c>
      <c r="B99" s="238" t="inlineStr">
        <is>
          <t>вид услуги</t>
        </is>
      </c>
      <c r="C99" s="239" t="inlineStr">
        <is>
          <t>наименование</t>
        </is>
      </c>
      <c r="D99" s="240" t="inlineStr">
        <is>
          <t>вес, кг, шт</t>
        </is>
      </c>
      <c r="E99" s="240" t="inlineStr">
        <is>
          <t>цена</t>
        </is>
      </c>
      <c r="F99" s="240" t="inlineStr">
        <is>
          <t>сумма</t>
        </is>
      </c>
      <c r="G99" s="213" t="inlineStr">
        <is>
          <t>№УПД</t>
        </is>
      </c>
      <c r="H99" s="213" t="n"/>
      <c r="I99" s="2" t="n"/>
      <c r="J99" s="2" t="n"/>
    </row>
    <row r="100">
      <c r="A100" s="275" t="n"/>
      <c r="B100" s="276" t="n"/>
      <c r="C100" s="243" t="n"/>
      <c r="D100" s="244" t="n"/>
      <c r="E100" s="277" t="n"/>
      <c r="F100" s="278" t="n"/>
      <c r="G100" s="247" t="n"/>
      <c r="H100" s="248" t="n"/>
      <c r="I100" s="2" t="n"/>
      <c r="J100" s="2" t="n"/>
    </row>
    <row r="101">
      <c r="A101" s="249" t="n"/>
      <c r="B101" s="250" t="n"/>
      <c r="C101" s="251" t="n"/>
      <c r="D101" s="252" t="n"/>
      <c r="E101" s="253" t="n"/>
      <c r="F101" s="254">
        <f>D101*E101</f>
        <v/>
      </c>
      <c r="G101" s="255" t="n"/>
      <c r="H101" s="256" t="n"/>
      <c r="I101" s="2" t="n"/>
      <c r="J101" s="2" t="n"/>
    </row>
    <row r="102">
      <c r="A102" s="257" t="n"/>
      <c r="B102" s="258" t="n"/>
      <c r="C102" s="257" t="n"/>
      <c r="D102" s="257" t="n"/>
      <c r="E102" s="257" t="n"/>
      <c r="F102" s="254">
        <f>D102*E102</f>
        <v/>
      </c>
      <c r="G102" s="257" t="n"/>
      <c r="H102" s="257" t="n"/>
      <c r="I102" s="2" t="n"/>
      <c r="J102" s="2" t="n"/>
    </row>
    <row r="103">
      <c r="A103" s="249" t="n"/>
      <c r="B103" s="258" t="n"/>
      <c r="C103" s="257" t="n"/>
      <c r="D103" s="259" t="n"/>
      <c r="E103" s="257" t="n"/>
      <c r="F103" s="260" t="n"/>
      <c r="G103" s="257" t="n"/>
      <c r="H103" s="257" t="n"/>
      <c r="I103" s="2" t="n"/>
      <c r="J103" s="2" t="n"/>
    </row>
    <row r="104">
      <c r="A104" s="2" t="n"/>
      <c r="B104" s="261" t="n"/>
      <c r="C104" s="2" t="n"/>
      <c r="D104" s="2" t="n"/>
      <c r="E104" s="2" t="n"/>
      <c r="F104" s="262" t="n"/>
      <c r="G104" s="2" t="n"/>
      <c r="H104" s="2" t="n"/>
      <c r="I104" s="263" t="n"/>
      <c r="J104" s="264" t="n"/>
    </row>
  </sheetData>
  <mergeCells count="6">
    <mergeCell ref="A1:J1"/>
    <mergeCell ref="A86:H86"/>
    <mergeCell ref="A43:H43"/>
    <mergeCell ref="A98:H98"/>
    <mergeCell ref="A2:J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14.875" customWidth="1" min="6" max="6"/>
    <col width="13.875" customWidth="1" min="7" max="7"/>
    <col width="14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Пятая база</t>
        </is>
      </c>
      <c r="B4" s="267" t="n"/>
      <c r="C4" s="268" t="inlineStr">
        <is>
          <t>квадромикс 200 гр</t>
        </is>
      </c>
      <c r="D4" s="269" t="n">
        <v>0.2</v>
      </c>
      <c r="E4" s="17" t="n">
        <v>18</v>
      </c>
      <c r="F4" s="17" t="n">
        <v>18</v>
      </c>
      <c r="G4" s="270">
        <f>F4*D4</f>
        <v/>
      </c>
      <c r="H4" s="19" t="n">
        <v>85</v>
      </c>
      <c r="I4" s="19">
        <f>H4*E4</f>
        <v/>
      </c>
      <c r="J4" s="20" t="n"/>
    </row>
    <row r="5">
      <c r="A5" s="13" t="n"/>
      <c r="B5" s="267" t="n"/>
      <c r="C5" s="268" t="inlineStr">
        <is>
          <t>арахис ассорти 200 гр</t>
        </is>
      </c>
      <c r="D5" s="269" t="n">
        <v>0.2</v>
      </c>
      <c r="E5" s="17" t="n">
        <v>18</v>
      </c>
      <c r="F5" s="17" t="n">
        <v>18</v>
      </c>
      <c r="G5" s="270">
        <f>F5*D5</f>
        <v/>
      </c>
      <c r="H5" s="19" t="n">
        <v>95</v>
      </c>
      <c r="I5" s="19">
        <f>H5*E5</f>
        <v/>
      </c>
      <c r="J5" s="20" t="n"/>
    </row>
    <row r="6">
      <c r="A6" s="13" t="inlineStr">
        <is>
          <t>Пивкоф</t>
        </is>
      </c>
      <c r="B6" s="244" t="n"/>
      <c r="C6" s="268" t="inlineStr">
        <is>
          <t>квадромикс 200 гр</t>
        </is>
      </c>
      <c r="D6" s="269" t="n">
        <v>0.2</v>
      </c>
      <c r="E6" s="17" t="n">
        <v>54</v>
      </c>
      <c r="F6" s="17" t="n">
        <v>18</v>
      </c>
      <c r="G6" s="270">
        <f>F6*D6</f>
        <v/>
      </c>
      <c r="H6" s="19" t="n">
        <v>85</v>
      </c>
      <c r="I6" s="19">
        <f>H6*E6</f>
        <v/>
      </c>
      <c r="J6" s="20" t="n"/>
    </row>
    <row r="7">
      <c r="A7" s="13" t="n"/>
      <c r="B7" s="244" t="n"/>
      <c r="C7" s="268" t="inlineStr">
        <is>
          <t>арахис ассорти 200 гр</t>
        </is>
      </c>
      <c r="D7" s="269" t="n">
        <v>0.2</v>
      </c>
      <c r="E7" s="17" t="n">
        <v>90</v>
      </c>
      <c r="F7" s="17" t="n">
        <v>18</v>
      </c>
      <c r="G7" s="270">
        <f>F7*D7</f>
        <v/>
      </c>
      <c r="H7" s="19" t="n">
        <v>95</v>
      </c>
      <c r="I7" s="19">
        <f>H7*E7</f>
        <v/>
      </c>
      <c r="J7" s="20" t="n"/>
    </row>
    <row r="8">
      <c r="A8" s="13" t="n"/>
      <c r="B8" s="244" t="n"/>
      <c r="C8" s="268" t="n"/>
      <c r="D8" s="269" t="n"/>
      <c r="E8" s="17" t="n"/>
      <c r="F8" s="17" t="n"/>
      <c r="G8" s="17" t="n"/>
      <c r="H8" s="19" t="n"/>
      <c r="I8" s="19" t="n"/>
      <c r="J8" s="20" t="n"/>
    </row>
    <row r="9">
      <c r="A9" s="13" t="n"/>
      <c r="B9" s="244" t="n"/>
      <c r="C9" s="268" t="n"/>
      <c r="D9" s="269" t="n"/>
      <c r="E9" s="17" t="n"/>
      <c r="F9" s="17" t="n"/>
      <c r="G9" s="17" t="n"/>
      <c r="H9" s="19" t="n"/>
      <c r="I9" s="19" t="n"/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125354.45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66" t="inlineStr">
        <is>
          <t xml:space="preserve">поступление ч/л </t>
        </is>
      </c>
      <c r="B20" s="67" t="n"/>
      <c r="C20" s="68" t="n">
        <v>16380</v>
      </c>
      <c r="D20" s="68" t="n">
        <v>16380</v>
      </c>
      <c r="E20" s="69" t="n"/>
      <c r="F20" s="70" t="n"/>
      <c r="G20" s="71" t="n"/>
      <c r="H20" s="72">
        <f>F20*G20</f>
        <v/>
      </c>
      <c r="I20" s="2" t="n"/>
      <c r="J20" s="2" t="n"/>
    </row>
    <row r="21">
      <c r="A21" s="286" t="inlineStr">
        <is>
          <t>поступление от НС через АА</t>
        </is>
      </c>
      <c r="B21" s="67" t="n"/>
      <c r="C21" s="287" t="n">
        <v>25700</v>
      </c>
      <c r="D21" s="68" t="n">
        <v>25700</v>
      </c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2" t="n"/>
      <c r="J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81" t="inlineStr">
        <is>
          <t>уборка</t>
        </is>
      </c>
      <c r="B27" s="67" t="n"/>
      <c r="C27" s="68" t="n">
        <v>2000</v>
      </c>
      <c r="D27" s="68" t="n">
        <v>2000</v>
      </c>
      <c r="E27" s="76" t="n"/>
      <c r="F27" s="78" t="n"/>
      <c r="G27" s="79" t="n"/>
      <c r="H27" s="80" t="n"/>
      <c r="I27" s="2" t="n"/>
      <c r="J27" s="2" t="n"/>
    </row>
    <row r="28">
      <c r="A28" s="69" t="inlineStr">
        <is>
          <t>швабры</t>
        </is>
      </c>
      <c r="B28" s="67" t="n"/>
      <c r="C28" s="68" t="n">
        <v>896</v>
      </c>
      <c r="D28" s="68" t="n">
        <v>896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inlineStr">
        <is>
          <t>автошампунь</t>
        </is>
      </c>
      <c r="B29" s="67" t="n"/>
      <c r="C29" s="68" t="n">
        <v>360</v>
      </c>
      <c r="D29" s="74" t="n">
        <v>360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81" t="inlineStr">
        <is>
          <t>пицца для сотрудников</t>
        </is>
      </c>
      <c r="B30" s="67" t="n"/>
      <c r="C30" s="68" t="n">
        <v>4874</v>
      </c>
      <c r="D30" s="68" t="n">
        <v>4874</v>
      </c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inlineStr">
        <is>
          <t>з/п</t>
        </is>
      </c>
      <c r="B31" s="67" t="n"/>
      <c r="C31" s="68" t="n">
        <v>94463</v>
      </c>
      <c r="D31" s="74" t="n">
        <v>94463</v>
      </c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inlineStr">
        <is>
          <t>откачка канализации</t>
        </is>
      </c>
      <c r="B32" s="67" t="n"/>
      <c r="C32" s="68" t="n">
        <v>4500</v>
      </c>
      <c r="D32" s="74" t="n">
        <v>4500</v>
      </c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inlineStr">
        <is>
          <t>бензин для триммера</t>
        </is>
      </c>
      <c r="B33" s="67" t="n"/>
      <c r="C33" s="68" t="n">
        <v>1000</v>
      </c>
      <c r="D33" s="74" t="n">
        <v>1000</v>
      </c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inlineStr">
        <is>
          <t>з/п Агапова СА</t>
        </is>
      </c>
      <c r="B34" s="67" t="n"/>
      <c r="C34" s="68" t="n">
        <v>25700</v>
      </c>
      <c r="D34" s="288" t="n">
        <v>25700</v>
      </c>
      <c r="E34" s="76" t="n"/>
      <c r="F34" s="78" t="n"/>
      <c r="G34" s="79" t="n"/>
      <c r="H34" s="72">
        <f>F34*G34</f>
        <v/>
      </c>
      <c r="I34" s="289" t="inlineStr">
        <is>
          <t>Редакция поступления</t>
        </is>
      </c>
      <c r="J34" s="2" t="n"/>
    </row>
    <row r="35">
      <c r="A35" s="69" t="n"/>
      <c r="B35" s="67" t="n"/>
      <c r="C35" s="68" t="n"/>
      <c r="D35" s="75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83" t="n"/>
      <c r="B37" s="67" t="n"/>
      <c r="C37" s="68" t="n"/>
      <c r="D37" s="84" t="n"/>
      <c r="E37" s="85" t="inlineStr">
        <is>
          <t>Итого расход:</t>
        </is>
      </c>
      <c r="F37" s="78" t="n"/>
      <c r="G37" s="79" t="n"/>
      <c r="H37" s="72">
        <f>F37*G37</f>
        <v/>
      </c>
      <c r="I37" s="86" t="n"/>
      <c r="J37" s="86" t="n"/>
    </row>
    <row r="38">
      <c r="A38" s="87" t="inlineStr">
        <is>
          <t>Остаток на конец дня:</t>
        </is>
      </c>
      <c r="B38" s="88" t="n"/>
      <c r="C38" s="89" t="n"/>
      <c r="D38" s="90">
        <f>SUM(D20,D21:D24,D19,)-SUM(D27:D37,)</f>
        <v/>
      </c>
      <c r="E38" s="87" t="inlineStr">
        <is>
          <t>Остаток на конец дня:</t>
        </is>
      </c>
      <c r="F38" s="91" t="n"/>
      <c r="G38" s="89" t="n"/>
      <c r="H38" s="92">
        <f>SUM(H19+H25-H37)</f>
        <v/>
      </c>
      <c r="I38" s="2" t="n"/>
      <c r="J38" s="2" t="n"/>
    </row>
    <row r="39">
      <c r="A39" s="93" t="n"/>
      <c r="B39" s="94" t="n"/>
      <c r="C39" s="43" t="n"/>
      <c r="D39" s="41" t="n"/>
      <c r="E39" s="41" t="n"/>
      <c r="F39" s="41" t="n"/>
      <c r="G39" s="2" t="n"/>
      <c r="H39" s="2" t="n"/>
      <c r="I39" s="2" t="n"/>
      <c r="J39" s="2" t="n"/>
    </row>
    <row r="40">
      <c r="A40" s="95" t="inlineStr">
        <is>
          <t>Расчётный счёт</t>
        </is>
      </c>
      <c r="B40" s="54" t="n"/>
      <c r="C40" s="54" t="n"/>
      <c r="D40" s="54" t="n"/>
      <c r="E40" s="54" t="n"/>
      <c r="F40" s="54" t="n"/>
      <c r="G40" s="54" t="n"/>
      <c r="H40" s="54" t="n"/>
      <c r="I40" s="2" t="n"/>
      <c r="J40" s="2" t="n"/>
    </row>
    <row r="41">
      <c r="A41" s="96" t="inlineStr">
        <is>
          <t>ВТБ</t>
        </is>
      </c>
      <c r="B41" s="279" t="inlineStr">
        <is>
          <t>ВТБ</t>
        </is>
      </c>
      <c r="C41" s="279" t="n"/>
      <c r="D41" s="47" t="n"/>
      <c r="E41" s="97" t="inlineStr">
        <is>
          <t>Альфабанк</t>
        </is>
      </c>
      <c r="F41" s="56" t="n"/>
      <c r="G41" s="56" t="n"/>
      <c r="H41" s="47" t="n"/>
      <c r="I41" s="2" t="n"/>
      <c r="J41" s="2" t="n"/>
    </row>
    <row r="42">
      <c r="A42" s="98" t="inlineStr">
        <is>
          <t>Остаток на начало дня:</t>
        </is>
      </c>
      <c r="B42" s="280" t="n"/>
      <c r="C42" s="290" t="n">
        <v>695414.5</v>
      </c>
      <c r="D42" s="56" t="n"/>
      <c r="E42" s="100" t="inlineStr">
        <is>
          <t>Остаток на начало дня:</t>
        </is>
      </c>
      <c r="F42" s="47" t="n"/>
      <c r="G42" s="101" t="n">
        <v>3118.7</v>
      </c>
      <c r="H42" s="47" t="n"/>
      <c r="I42" s="2" t="n"/>
      <c r="J42" s="2" t="n"/>
    </row>
    <row r="43">
      <c r="A43" s="102" t="inlineStr">
        <is>
          <t>Поступление</t>
        </is>
      </c>
      <c r="B43" s="47" t="n"/>
      <c r="C43" s="102" t="inlineStr">
        <is>
          <t>Расход</t>
        </is>
      </c>
      <c r="D43" s="47" t="n"/>
      <c r="E43" s="102" t="inlineStr">
        <is>
          <t>Поступление</t>
        </is>
      </c>
      <c r="F43" s="47" t="n"/>
      <c r="G43" s="102" t="inlineStr">
        <is>
          <t>Расход</t>
        </is>
      </c>
      <c r="H43" s="47" t="n"/>
      <c r="I43" s="86" t="n"/>
      <c r="J43" s="86" t="n"/>
    </row>
    <row r="44">
      <c r="A44" s="103" t="inlineStr">
        <is>
          <t>от кого</t>
        </is>
      </c>
      <c r="B44" s="103" t="inlineStr">
        <is>
          <t>сумма</t>
        </is>
      </c>
      <c r="C44" s="103" t="inlineStr">
        <is>
          <t>кому</t>
        </is>
      </c>
      <c r="D44" s="103" t="inlineStr">
        <is>
          <t>сумма</t>
        </is>
      </c>
      <c r="E44" s="103" t="inlineStr">
        <is>
          <t>от кого</t>
        </is>
      </c>
      <c r="F44" s="103" t="inlineStr">
        <is>
          <t>сумма</t>
        </is>
      </c>
      <c r="G44" s="103" t="inlineStr">
        <is>
          <t xml:space="preserve">кому </t>
        </is>
      </c>
      <c r="H44" s="103" t="inlineStr">
        <is>
          <t>сумма</t>
        </is>
      </c>
      <c r="I44" s="86" t="n"/>
      <c r="J44" s="86" t="n"/>
    </row>
    <row r="45">
      <c r="A45" s="104" t="inlineStr">
        <is>
          <t xml:space="preserve">Проценты по депозиту </t>
        </is>
      </c>
      <c r="B45" s="281" t="n">
        <v>1808.9</v>
      </c>
      <c r="C45" s="106" t="inlineStr">
        <is>
          <t xml:space="preserve">страховые взносы  травматизм апрель </t>
        </is>
      </c>
      <c r="D45" s="107" t="n">
        <v>1202.52</v>
      </c>
      <c r="E45" s="108" t="n"/>
      <c r="F45" s="109" t="n"/>
      <c r="G45" s="110" t="inlineStr">
        <is>
          <t>комиссия банка</t>
        </is>
      </c>
      <c r="H45" s="109" t="n">
        <v>1612.5</v>
      </c>
      <c r="I45" s="86" t="n"/>
      <c r="J45" s="86" t="n"/>
    </row>
    <row r="46">
      <c r="A46" s="282" t="inlineStr">
        <is>
          <t xml:space="preserve">Золотой снек  за арахис </t>
        </is>
      </c>
      <c r="B46" s="281" t="n">
        <v>300000</v>
      </c>
      <c r="C46" s="112" t="inlineStr">
        <is>
          <t xml:space="preserve">Комиссия банка за май обслуживание счета </t>
        </is>
      </c>
      <c r="D46" s="107" t="n">
        <v>1480</v>
      </c>
      <c r="E46" s="110" t="n"/>
      <c r="F46" s="109" t="n"/>
      <c r="G46" s="110" t="n"/>
      <c r="H46" s="109" t="n"/>
      <c r="I46" s="86" t="n"/>
      <c r="J46" s="86" t="n"/>
    </row>
    <row r="47">
      <c r="A47" s="111" t="inlineStr">
        <is>
          <t xml:space="preserve">Яндекс ласка за арахис </t>
        </is>
      </c>
      <c r="B47" s="283" t="n">
        <v>908928</v>
      </c>
      <c r="C47" s="113" t="inlineStr">
        <is>
          <t xml:space="preserve">Заработная плата апрель Зыкова </t>
        </is>
      </c>
      <c r="D47" s="107" t="n">
        <v>5338.36</v>
      </c>
      <c r="E47" s="110" t="n"/>
      <c r="F47" s="109" t="n"/>
      <c r="G47" s="114" t="n"/>
      <c r="H47" s="109" t="n"/>
      <c r="I47" s="86" t="n"/>
      <c r="J47" s="86" t="n"/>
    </row>
    <row r="48">
      <c r="A48" s="115" t="n"/>
      <c r="B48" s="283" t="n"/>
      <c r="C48" s="113" t="inlineStr">
        <is>
          <t xml:space="preserve">Заработная плата апрель Хомутская </t>
        </is>
      </c>
      <c r="D48" s="107" t="n">
        <v>11745</v>
      </c>
      <c r="E48" s="108" t="n"/>
      <c r="F48" s="116" t="n"/>
      <c r="G48" s="114" t="n"/>
      <c r="H48" s="109" t="n"/>
      <c r="I48" s="86" t="n"/>
      <c r="J48" s="86" t="n"/>
    </row>
    <row r="49">
      <c r="A49" s="117" t="n"/>
      <c r="B49" s="283" t="n"/>
      <c r="C49" s="113" t="inlineStr">
        <is>
          <t xml:space="preserve">Заработная плата  апрель Чижиков </t>
        </is>
      </c>
      <c r="D49" s="107" t="n">
        <v>13050</v>
      </c>
      <c r="E49" s="118" t="n"/>
      <c r="F49" s="119" t="n"/>
      <c r="G49" s="120" t="n"/>
      <c r="H49" s="120" t="n"/>
      <c r="I49" s="86" t="n"/>
      <c r="J49" s="86" t="n"/>
    </row>
    <row r="50">
      <c r="A50" s="117" t="n"/>
      <c r="B50" s="283" t="n"/>
      <c r="C50" s="113" t="inlineStr">
        <is>
          <t xml:space="preserve">Заработная плата апрель Агапова </t>
        </is>
      </c>
      <c r="D50" s="107" t="n">
        <v>13841</v>
      </c>
      <c r="E50" s="118" t="n"/>
      <c r="F50" s="119" t="n"/>
      <c r="G50" s="121" t="n"/>
      <c r="H50" s="120" t="n"/>
      <c r="I50" s="86" t="n"/>
      <c r="J50" s="86" t="n"/>
    </row>
    <row r="51">
      <c r="A51" s="122" t="n"/>
      <c r="B51" s="283" t="n"/>
      <c r="C51" s="113" t="inlineStr">
        <is>
          <t xml:space="preserve">Заработная плата по реестрам  апрель </t>
        </is>
      </c>
      <c r="D51" s="107" t="n">
        <v>92241.67999999999</v>
      </c>
      <c r="E51" s="118" t="n"/>
      <c r="F51" s="118" t="n"/>
      <c r="G51" s="123" t="n"/>
      <c r="H51" s="120" t="n"/>
      <c r="I51" s="86" t="n"/>
      <c r="J51" s="86" t="n"/>
    </row>
    <row r="52">
      <c r="A52" s="124" t="n"/>
      <c r="B52" s="284" t="n"/>
      <c r="C52" s="113" t="inlineStr">
        <is>
          <t>Размещение на депозите 1767000</t>
        </is>
      </c>
      <c r="D52" s="107" t="n">
        <v>0</v>
      </c>
      <c r="E52" s="124" t="n"/>
      <c r="F52" s="118" t="n"/>
      <c r="G52" s="110" t="n"/>
      <c r="H52" s="120" t="n"/>
      <c r="I52" s="86" t="n"/>
      <c r="J52" s="86" t="n"/>
    </row>
    <row r="53">
      <c r="A53" s="124" t="n"/>
      <c r="B53" s="285" t="n"/>
      <c r="C53" s="110" t="n"/>
      <c r="D53" s="126" t="n"/>
      <c r="E53" s="124" t="n"/>
      <c r="F53" s="118" t="n"/>
      <c r="G53" s="110" t="n"/>
      <c r="H53" s="120" t="n"/>
      <c r="I53" s="86" t="n"/>
      <c r="J53" s="86" t="n"/>
    </row>
    <row r="54">
      <c r="A54" s="124" t="n"/>
      <c r="B54" s="285" t="n"/>
      <c r="C54" s="110" t="n"/>
      <c r="D54" s="126" t="n"/>
      <c r="E54" s="124" t="n"/>
      <c r="F54" s="118" t="n"/>
      <c r="G54" s="110" t="n"/>
      <c r="H54" s="120" t="n"/>
      <c r="I54" s="86" t="n"/>
      <c r="J54" s="86" t="n"/>
    </row>
    <row r="55">
      <c r="A55" s="124" t="n"/>
      <c r="B55" s="285" t="n"/>
      <c r="C55" s="110" t="n"/>
      <c r="D55" s="126" t="n"/>
      <c r="E55" s="124" t="n"/>
      <c r="F55" s="118" t="n"/>
      <c r="G55" s="110" t="n"/>
      <c r="H55" s="120" t="n"/>
      <c r="I55" s="86" t="n"/>
      <c r="J55" s="86" t="n"/>
    </row>
    <row r="56">
      <c r="A56" s="124" t="n"/>
      <c r="B56" s="28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7" t="n"/>
      <c r="B58" s="128">
        <f>SUM(B45:B57)+C42</f>
        <v/>
      </c>
      <c r="C58" s="129" t="n"/>
      <c r="D58" s="128">
        <f>SUM(D45:D57)</f>
        <v/>
      </c>
      <c r="E58" s="130" t="n"/>
      <c r="F58" s="130">
        <f>SUM(F45:F57)</f>
        <v/>
      </c>
      <c r="G58" s="130" t="n"/>
      <c r="H58" s="130">
        <f>SUM(H45:H57)</f>
        <v/>
      </c>
      <c r="I58" s="2" t="n"/>
      <c r="J58" s="2" t="n"/>
    </row>
    <row r="59">
      <c r="A59" s="131" t="inlineStr">
        <is>
          <t>Остаток на конец дня:</t>
        </is>
      </c>
      <c r="B59" s="132">
        <f>B58-D58</f>
        <v/>
      </c>
      <c r="C59" s="56" t="n"/>
      <c r="D59" s="47" t="n"/>
      <c r="E59" s="100" t="inlineStr">
        <is>
          <t>Остаток на конец дня:</t>
        </is>
      </c>
      <c r="F59" s="101">
        <f>G42+F58-H58</f>
        <v/>
      </c>
      <c r="G59" s="56" t="n"/>
      <c r="H59" s="47" t="n"/>
      <c r="I59" s="2" t="n"/>
      <c r="J59" s="2" t="n"/>
    </row>
    <row r="60">
      <c r="A60" s="133" t="inlineStr">
        <is>
          <t>ИТОГО:</t>
        </is>
      </c>
      <c r="B60" s="47" t="n"/>
      <c r="C60" s="134">
        <f>B59+F59</f>
        <v/>
      </c>
      <c r="D60" s="56" t="n"/>
      <c r="E60" s="56" t="n"/>
      <c r="F60" s="56" t="n"/>
      <c r="G60" s="56" t="n"/>
      <c r="H60" s="47" t="n"/>
      <c r="I60" s="2" t="n"/>
      <c r="J60" s="2" t="n"/>
    </row>
    <row r="61">
      <c r="A61" s="41" t="n"/>
      <c r="B61" s="94" t="n"/>
      <c r="C61" s="43" t="n"/>
      <c r="D61" s="41" t="n"/>
      <c r="E61" s="41" t="n"/>
      <c r="F61" s="41" t="n"/>
      <c r="G61" s="41" t="n"/>
      <c r="H61" s="93" t="n"/>
      <c r="I61" s="135" t="n"/>
      <c r="J61" s="135" t="n"/>
    </row>
    <row r="62">
      <c r="A62" s="136" t="n"/>
      <c r="B62" s="137" t="inlineStr">
        <is>
          <t>Реализация по безналичному расчёту</t>
        </is>
      </c>
      <c r="D62" s="2" t="n"/>
      <c r="E62" s="41" t="n"/>
      <c r="F62" s="41" t="n"/>
      <c r="G62" s="41" t="n"/>
      <c r="H62" s="138" t="n"/>
      <c r="I62" s="2" t="n"/>
      <c r="J62" s="2" t="n"/>
    </row>
    <row r="63">
      <c r="A63" s="139" t="inlineStr">
        <is>
          <t>Контрагент</t>
        </is>
      </c>
      <c r="B63" s="140" t="inlineStr">
        <is>
          <t>поставщик</t>
        </is>
      </c>
      <c r="C63" s="141" t="inlineStr">
        <is>
          <t>наименование</t>
        </is>
      </c>
      <c r="D63" s="142" t="inlineStr">
        <is>
          <t>вес упаковки, тарелки</t>
        </is>
      </c>
      <c r="E63" s="143" t="inlineStr">
        <is>
          <t>кол.-во пакетов, коробок</t>
        </is>
      </c>
      <c r="F63" s="144" t="inlineStr">
        <is>
          <t>кол-во мест в коробке/упаковке</t>
        </is>
      </c>
      <c r="G63" s="145" t="inlineStr">
        <is>
          <t>общий вес, кг.</t>
        </is>
      </c>
      <c r="H63" s="146" t="inlineStr">
        <is>
          <t>цена пакет, тарелка</t>
        </is>
      </c>
      <c r="I63" s="147" t="inlineStr">
        <is>
          <t>сумма</t>
        </is>
      </c>
      <c r="J63" s="148" t="inlineStr">
        <is>
          <t>Комментарий</t>
        </is>
      </c>
    </row>
    <row r="64">
      <c r="A64" s="150" t="inlineStr">
        <is>
          <t>ЭЛЕМЕНТ-ТРЕЙД ООО</t>
        </is>
      </c>
      <c r="B64" s="151" t="inlineStr">
        <is>
          <t>ООО Снекпром</t>
        </is>
      </c>
      <c r="C64" s="272" t="inlineStr">
        <is>
          <t>Ассорти арахиса жареного со специями, тарелка 200 г</t>
        </is>
      </c>
      <c r="D64" s="153" t="n">
        <v>0.2</v>
      </c>
      <c r="E64" s="154" t="n">
        <v>2880</v>
      </c>
      <c r="F64" s="155" t="n">
        <v>18</v>
      </c>
      <c r="G64" s="154">
        <f>E64*D64</f>
        <v/>
      </c>
      <c r="H64" s="156" t="n">
        <v>98</v>
      </c>
      <c r="I64" s="156">
        <f>H64*E64</f>
        <v/>
      </c>
      <c r="J64" s="157" t="inlineStr">
        <is>
          <t>Нефтеюганск</t>
        </is>
      </c>
    </row>
    <row r="65">
      <c r="A65" s="150" t="n"/>
      <c r="B65" s="151" t="n"/>
      <c r="C65" s="158" t="n"/>
      <c r="D65" s="153" t="n"/>
      <c r="E65" s="154" t="n"/>
      <c r="F65" s="155" t="n"/>
      <c r="G65" s="154" t="n"/>
      <c r="H65" s="156" t="n"/>
      <c r="I65" s="156" t="n"/>
      <c r="J65" s="159" t="n"/>
    </row>
    <row r="66">
      <c r="A66" s="150" t="n"/>
      <c r="B66" s="151" t="n"/>
      <c r="C66" s="158" t="n"/>
      <c r="D66" s="153" t="n"/>
      <c r="E66" s="154" t="n"/>
      <c r="F66" s="155" t="n"/>
      <c r="G66" s="154" t="n"/>
      <c r="H66" s="156" t="n"/>
      <c r="I66" s="156" t="n"/>
      <c r="J66" s="159" t="n"/>
    </row>
    <row r="67">
      <c r="A67" s="150" t="n"/>
      <c r="B67" s="151" t="n"/>
      <c r="C67" s="158" t="n"/>
      <c r="D67" s="153" t="n"/>
      <c r="E67" s="154" t="n"/>
      <c r="F67" s="155" t="n"/>
      <c r="G67" s="154" t="n"/>
      <c r="H67" s="156" t="n"/>
      <c r="I67" s="156" t="n"/>
      <c r="J67" s="159" t="n"/>
    </row>
    <row r="68">
      <c r="A68" s="150" t="n"/>
      <c r="B68" s="151" t="n"/>
      <c r="C68" s="152" t="n"/>
      <c r="D68" s="153" t="n"/>
      <c r="E68" s="154" t="n"/>
      <c r="F68" s="155" t="n"/>
      <c r="G68" s="154" t="n"/>
      <c r="H68" s="156" t="n"/>
      <c r="I68" s="156" t="n"/>
      <c r="J68" s="159" t="n"/>
    </row>
    <row r="69">
      <c r="A69" s="150" t="n"/>
      <c r="B69" s="151" t="n"/>
      <c r="C69" s="152" t="n"/>
      <c r="D69" s="153" t="n"/>
      <c r="E69" s="154" t="n"/>
      <c r="F69" s="155" t="n"/>
      <c r="G69" s="154" t="n"/>
      <c r="H69" s="156" t="n"/>
      <c r="I69" s="156" t="n"/>
      <c r="J69" s="159" t="n"/>
    </row>
    <row r="70">
      <c r="A70" s="150" t="n"/>
      <c r="B70" s="150" t="n"/>
      <c r="C70" s="160" t="n"/>
      <c r="D70" s="153" t="n"/>
      <c r="E70" s="154" t="n"/>
      <c r="F70" s="155" t="n"/>
      <c r="G70" s="154" t="n"/>
      <c r="H70" s="156" t="n"/>
      <c r="I70" s="156" t="n"/>
      <c r="J70" s="161" t="n"/>
    </row>
    <row r="71">
      <c r="A71" s="162" t="n"/>
      <c r="B71" s="163" t="n"/>
      <c r="C71" s="164" t="n"/>
      <c r="D71" s="165" t="n"/>
      <c r="E71" s="166" t="n"/>
      <c r="F71" s="167" t="n"/>
      <c r="G71" s="168" t="n"/>
      <c r="H71" s="169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62" t="n"/>
      <c r="B74" s="163" t="n"/>
      <c r="C74" s="171" t="n"/>
      <c r="D74" s="153" t="n"/>
      <c r="E74" s="172" t="n"/>
      <c r="F74" s="155" t="n"/>
      <c r="G74" s="168" t="n"/>
      <c r="H74" s="156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73" t="n"/>
      <c r="B76" s="174" t="n"/>
      <c r="C76" s="175" t="n"/>
      <c r="D76" s="176" t="n"/>
      <c r="E76" s="177" t="n"/>
      <c r="F76" s="178" t="n"/>
      <c r="G76" s="179" t="n"/>
      <c r="H76" s="180" t="n"/>
      <c r="I76" s="181" t="n"/>
      <c r="J76" s="161" t="n"/>
    </row>
    <row r="77">
      <c r="A77" s="182" t="n"/>
      <c r="B77" s="163" t="n"/>
      <c r="C77" s="183" t="n"/>
      <c r="D77" s="184" t="n"/>
      <c r="E77" s="166" t="n"/>
      <c r="F77" s="167" t="n"/>
      <c r="G77" s="185">
        <f>D77*F77</f>
        <v/>
      </c>
      <c r="H77" s="186" t="n"/>
      <c r="I77" s="186">
        <f>F77*H77*E77</f>
        <v/>
      </c>
      <c r="J77" s="187" t="n"/>
    </row>
    <row r="78">
      <c r="A78" s="182" t="n"/>
      <c r="B78" s="163" t="n"/>
      <c r="C78" s="188" t="n"/>
      <c r="D78" s="189" t="n"/>
      <c r="E78" s="190" t="n"/>
      <c r="F78" s="189" t="n"/>
      <c r="G78" s="185">
        <f>D78*F78</f>
        <v/>
      </c>
      <c r="H78" s="191" t="n"/>
      <c r="I78" s="186">
        <f>F78*H78*E78</f>
        <v/>
      </c>
      <c r="J78" s="187" t="n"/>
    </row>
    <row r="79">
      <c r="A79" s="192" t="inlineStr">
        <is>
          <t>ИТОГО:</t>
        </is>
      </c>
      <c r="B79" s="193" t="n"/>
      <c r="C79" s="194" t="n"/>
      <c r="D79" s="195" t="n"/>
      <c r="E79" s="196">
        <f>SUM(E64:E78)</f>
        <v/>
      </c>
      <c r="F79" s="197">
        <f>SUM(F64:F76)</f>
        <v/>
      </c>
      <c r="G79" s="198">
        <f>SUM(G64:G71)</f>
        <v/>
      </c>
      <c r="H79" s="199" t="n"/>
      <c r="I79" s="199">
        <f>SUM(I64:I72)</f>
        <v/>
      </c>
      <c r="J79" s="200" t="n"/>
    </row>
    <row r="80">
      <c r="A80" s="2" t="n"/>
      <c r="B80" s="94" t="n"/>
      <c r="C80" s="43" t="n"/>
      <c r="D80" s="41" t="n"/>
      <c r="E80" s="41" t="n"/>
      <c r="F80" s="41" t="n"/>
      <c r="G80" s="41" t="n"/>
      <c r="H80" s="2" t="n"/>
      <c r="I80" s="2" t="n"/>
      <c r="J80" s="2" t="n"/>
    </row>
    <row r="81">
      <c r="A81" s="201" t="inlineStr">
        <is>
          <t>реализация Всего касса+безнал:</t>
        </is>
      </c>
      <c r="B81" s="202" t="inlineStr">
        <is>
          <t>кг</t>
        </is>
      </c>
      <c r="C81" s="203" t="inlineStr">
        <is>
          <t>на сумму</t>
        </is>
      </c>
      <c r="D81" s="41" t="n"/>
      <c r="E81" s="41" t="n"/>
      <c r="F81" s="41" t="n"/>
      <c r="G81" s="41" t="n"/>
      <c r="H81" s="2" t="n"/>
      <c r="I81" s="2" t="n"/>
      <c r="J81" s="2" t="n"/>
    </row>
    <row r="82">
      <c r="A82" s="204" t="n"/>
      <c r="B82" s="205">
        <f>E12+G79</f>
        <v/>
      </c>
      <c r="C82" s="206">
        <f>I12+H79+I79</f>
        <v/>
      </c>
      <c r="D82" s="41" t="n"/>
      <c r="E82" s="41" t="n"/>
      <c r="F82" s="41" t="n"/>
      <c r="G82" s="41" t="n"/>
      <c r="H82" s="2" t="n"/>
      <c r="I82" s="2" t="n"/>
      <c r="J82" s="2" t="n"/>
    </row>
    <row r="83">
      <c r="A83" s="207" t="inlineStr">
        <is>
          <t>Услуги оказывают нам (доставка сырья и комплектующих на склад, Товара покупателям)</t>
        </is>
      </c>
      <c r="B83" s="54" t="n"/>
      <c r="C83" s="54" t="n"/>
      <c r="D83" s="54" t="n"/>
      <c r="E83" s="54" t="n"/>
      <c r="F83" s="54" t="n"/>
      <c r="G83" s="54" t="n"/>
      <c r="H83" s="54" t="n"/>
      <c r="I83" s="291" t="n"/>
      <c r="J83" s="58" t="n"/>
    </row>
    <row r="84">
      <c r="A84" s="209" t="inlineStr">
        <is>
          <t>Контрагент</t>
        </is>
      </c>
      <c r="B84" s="210" t="inlineStr">
        <is>
          <t>вид услуги</t>
        </is>
      </c>
      <c r="C84" s="211" t="inlineStr">
        <is>
          <t>Кому / От кого</t>
        </is>
      </c>
      <c r="D84" s="212" t="inlineStr">
        <is>
          <t>наименование</t>
        </is>
      </c>
      <c r="E84" s="213" t="inlineStr">
        <is>
          <t xml:space="preserve">город доставки </t>
        </is>
      </c>
      <c r="F84" s="214" t="inlineStr">
        <is>
          <t>цена</t>
        </is>
      </c>
      <c r="G84" s="213" t="inlineStr">
        <is>
          <t>сумма</t>
        </is>
      </c>
      <c r="H84" s="212" t="inlineStr">
        <is>
          <t>за тонну</t>
        </is>
      </c>
      <c r="I84" s="291" t="n"/>
      <c r="J84" s="58" t="n"/>
    </row>
    <row r="85">
      <c r="A85" s="292" t="inlineStr">
        <is>
          <t>ИП Савин</t>
        </is>
      </c>
      <c r="B85" s="293" t="inlineStr">
        <is>
          <t>Доставка</t>
        </is>
      </c>
      <c r="C85" s="294" t="inlineStr">
        <is>
          <t>FM Logistic</t>
        </is>
      </c>
      <c r="D85" s="293" t="inlineStr">
        <is>
          <t>арахис</t>
        </is>
      </c>
      <c r="E85" s="295" t="inlineStr">
        <is>
          <t>Рыбное-Большое Толбино</t>
        </is>
      </c>
      <c r="F85" s="296" t="n">
        <v>9000</v>
      </c>
      <c r="G85" s="297">
        <f>F85+F1203</f>
        <v/>
      </c>
      <c r="H85" s="298" t="n"/>
      <c r="I85" s="299" t="inlineStr">
        <is>
          <t>Редакция  стоимости доставки</t>
        </is>
      </c>
      <c r="J85" s="58" t="n"/>
    </row>
    <row r="86">
      <c r="A86" s="294" t="inlineStr">
        <is>
          <t>FM Logistic</t>
        </is>
      </c>
      <c r="B86" s="293" t="inlineStr">
        <is>
          <t>Доставка</t>
        </is>
      </c>
      <c r="C86" s="294" t="inlineStr">
        <is>
          <t>FM Logistic-Монетка</t>
        </is>
      </c>
      <c r="D86" s="300" t="inlineStr">
        <is>
          <t xml:space="preserve">арахис </t>
        </is>
      </c>
      <c r="E86" s="301" t="inlineStr">
        <is>
          <t>Нефтеюганск</t>
        </is>
      </c>
      <c r="F86" s="302" t="n">
        <v>18620</v>
      </c>
      <c r="G86" s="297" t="n">
        <v>18620</v>
      </c>
      <c r="H86" s="298" t="n"/>
      <c r="I86" s="299" t="inlineStr">
        <is>
          <t>Указал сумму за доставку за два палета в Нефтеюганск</t>
        </is>
      </c>
      <c r="J86" s="303" t="n"/>
      <c r="K86" s="304" t="n"/>
      <c r="L86" s="304" t="n"/>
    </row>
    <row r="87">
      <c r="A87" s="220" t="n"/>
      <c r="B87" s="60" t="n"/>
      <c r="C87" s="221" t="n"/>
      <c r="D87" s="222" t="n"/>
      <c r="E87" s="274" t="n"/>
      <c r="F87" s="223" t="n"/>
      <c r="G87" s="218" t="n"/>
      <c r="H87" s="305" t="n"/>
      <c r="I87" s="2" t="n"/>
      <c r="J87" s="2" t="n"/>
    </row>
    <row r="88">
      <c r="A88" s="220" t="n"/>
      <c r="B88" s="60" t="n"/>
      <c r="C88" s="221" t="n"/>
      <c r="D88" s="222" t="n"/>
      <c r="E88" s="274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74" t="n"/>
      <c r="F89" s="223" t="n"/>
      <c r="G89" s="218" t="n"/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F90+F1208</f>
        <v/>
      </c>
      <c r="H90" s="219" t="n"/>
      <c r="I90" s="2" t="n"/>
      <c r="J90" s="2" t="n"/>
    </row>
    <row r="91">
      <c r="A91" s="220" t="n"/>
      <c r="B91" s="60" t="n"/>
      <c r="C91" s="221" t="n"/>
      <c r="D91" s="226" t="n"/>
      <c r="E91" s="227" t="n"/>
      <c r="F91" s="223" t="n"/>
      <c r="G91" s="218">
        <f>F91+F1209</f>
        <v/>
      </c>
      <c r="H91" s="219" t="n"/>
      <c r="I91" s="2" t="n"/>
      <c r="J91" s="2" t="n"/>
    </row>
    <row r="92">
      <c r="A92" s="220" t="n"/>
      <c r="B92" s="60" t="n"/>
      <c r="C92" s="221" t="n"/>
      <c r="D92" s="226" t="n"/>
      <c r="E92" s="227" t="n"/>
      <c r="F92" s="223" t="n"/>
      <c r="G92" s="218">
        <f>F92+F1210</f>
        <v/>
      </c>
      <c r="H92" s="228" t="n"/>
      <c r="I92" s="2" t="n"/>
      <c r="J92" s="2" t="n"/>
    </row>
    <row r="93">
      <c r="A93" s="229" t="inlineStr">
        <is>
          <t>ИТОГО:</t>
        </is>
      </c>
      <c r="B93" s="230" t="n"/>
      <c r="C93" s="231" t="n"/>
      <c r="D93" s="232" t="n"/>
      <c r="E93" s="233">
        <f>SUM(E85:E92)</f>
        <v/>
      </c>
      <c r="F93" s="234" t="n"/>
      <c r="G93" s="235">
        <f>SUM(G85:G92)</f>
        <v/>
      </c>
      <c r="H93" s="235" t="n"/>
      <c r="I93" s="2" t="n"/>
      <c r="J93" s="2" t="n"/>
    </row>
    <row r="94">
      <c r="A94" s="41" t="n"/>
      <c r="B94" s="94" t="n"/>
      <c r="C94" s="43" t="n"/>
      <c r="D94" s="41" t="n"/>
      <c r="E94" s="41" t="n"/>
      <c r="F94" s="41" t="n"/>
      <c r="G94" s="41" t="n"/>
      <c r="H94" s="41" t="n"/>
      <c r="I94" s="2" t="n"/>
      <c r="J94" s="2" t="n"/>
    </row>
    <row r="95">
      <c r="A95" s="236" t="inlineStr">
        <is>
          <t>Услуги оказываем мы</t>
        </is>
      </c>
      <c r="B95" s="54" t="n"/>
      <c r="C95" s="54" t="n"/>
      <c r="D95" s="54" t="n"/>
      <c r="E95" s="54" t="n"/>
      <c r="F95" s="54" t="n"/>
      <c r="G95" s="54" t="n"/>
      <c r="H95" s="54" t="n"/>
      <c r="I95" s="237" t="n"/>
      <c r="J95" s="2" t="n"/>
    </row>
    <row r="96">
      <c r="A96" s="209" t="inlineStr">
        <is>
          <t>Контрагент</t>
        </is>
      </c>
      <c r="B96" s="238" t="inlineStr">
        <is>
          <t>вид услуги</t>
        </is>
      </c>
      <c r="C96" s="239" t="inlineStr">
        <is>
          <t>наименование</t>
        </is>
      </c>
      <c r="D96" s="240" t="inlineStr">
        <is>
          <t>вес, кг, шт</t>
        </is>
      </c>
      <c r="E96" s="240" t="inlineStr">
        <is>
          <t>цена</t>
        </is>
      </c>
      <c r="F96" s="240" t="inlineStr">
        <is>
          <t>сумма</t>
        </is>
      </c>
      <c r="G96" s="213" t="inlineStr">
        <is>
          <t>№УПД</t>
        </is>
      </c>
      <c r="H96" s="213" t="n"/>
      <c r="I96" s="2" t="n"/>
      <c r="J96" s="2" t="n"/>
    </row>
    <row r="97">
      <c r="A97" s="275" t="n"/>
      <c r="B97" s="276" t="n"/>
      <c r="C97" s="243" t="n"/>
      <c r="D97" s="244" t="n"/>
      <c r="E97" s="277" t="n"/>
      <c r="F97" s="278" t="n"/>
      <c r="G97" s="247" t="n"/>
      <c r="H97" s="248" t="n"/>
      <c r="I97" s="2" t="n"/>
      <c r="J97" s="2" t="n"/>
    </row>
    <row r="98">
      <c r="A98" s="249" t="n"/>
      <c r="B98" s="250" t="n"/>
      <c r="C98" s="251" t="n"/>
      <c r="D98" s="252" t="n"/>
      <c r="E98" s="253" t="n"/>
      <c r="F98" s="254">
        <f>D98*E98</f>
        <v/>
      </c>
      <c r="G98" s="255" t="n"/>
      <c r="H98" s="256" t="n"/>
      <c r="I98" s="2" t="n"/>
      <c r="J98" s="2" t="n"/>
    </row>
    <row r="99">
      <c r="A99" s="257" t="n"/>
      <c r="B99" s="258" t="n"/>
      <c r="C99" s="257" t="n"/>
      <c r="D99" s="257" t="n"/>
      <c r="E99" s="257" t="n"/>
      <c r="F99" s="254">
        <f>D99*E99</f>
        <v/>
      </c>
      <c r="G99" s="257" t="n"/>
      <c r="H99" s="257" t="n"/>
      <c r="I99" s="2" t="n"/>
      <c r="J99" s="2" t="n"/>
    </row>
    <row r="100">
      <c r="A100" s="249" t="n"/>
      <c r="B100" s="258" t="n"/>
      <c r="C100" s="257" t="n"/>
      <c r="D100" s="259" t="n"/>
      <c r="E100" s="257" t="n"/>
      <c r="F100" s="260" t="n"/>
      <c r="G100" s="257" t="n"/>
      <c r="H100" s="257" t="n"/>
      <c r="I100" s="2" t="n"/>
      <c r="J100" s="2" t="n"/>
    </row>
    <row r="101">
      <c r="A101" s="2" t="n"/>
      <c r="B101" s="261" t="n"/>
      <c r="C101" s="2" t="n"/>
      <c r="D101" s="2" t="n"/>
      <c r="E101" s="2" t="n"/>
      <c r="F101" s="262" t="n"/>
      <c r="G101" s="2" t="n"/>
      <c r="H101" s="2" t="n"/>
      <c r="I101" s="263" t="n"/>
      <c r="J101" s="264" t="n"/>
    </row>
  </sheetData>
  <mergeCells count="6">
    <mergeCell ref="A1:J1"/>
    <mergeCell ref="A83:H83"/>
    <mergeCell ref="A95:H95"/>
    <mergeCell ref="A17:H17"/>
    <mergeCell ref="A2:J2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8.875" customWidth="1" min="6" max="6"/>
    <col width="9.625" customWidth="1" min="7" max="7"/>
    <col width="11.12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поступление ч/л</t>
        </is>
      </c>
      <c r="B4" s="267" t="inlineStr">
        <is>
          <t>ООО Снекпром</t>
        </is>
      </c>
      <c r="C4" s="268" t="inlineStr">
        <is>
          <t>квадромикс 200 гр</t>
        </is>
      </c>
      <c r="D4" s="269" t="n">
        <v>0.2</v>
      </c>
      <c r="E4" s="17" t="n">
        <v>7</v>
      </c>
      <c r="F4" s="17" t="n">
        <v>18</v>
      </c>
      <c r="G4" s="270">
        <f>E4*D4</f>
        <v/>
      </c>
      <c r="H4" s="19" t="n">
        <v>75</v>
      </c>
      <c r="I4" s="19">
        <f>H4*E4</f>
        <v/>
      </c>
      <c r="J4" s="20" t="n"/>
    </row>
    <row r="5">
      <c r="A5" s="13" t="n"/>
      <c r="B5" s="267" t="n"/>
      <c r="C5" s="268" t="inlineStr">
        <is>
          <t>арахис ассорти 200 гр</t>
        </is>
      </c>
      <c r="D5" s="269" t="n">
        <v>0.2</v>
      </c>
      <c r="E5" s="17" t="n">
        <v>7</v>
      </c>
      <c r="F5" s="17" t="n">
        <v>18</v>
      </c>
      <c r="G5" s="270">
        <f>E5*D5</f>
        <v/>
      </c>
      <c r="H5" s="19" t="n">
        <v>85</v>
      </c>
      <c r="I5" s="19">
        <f>H5*E5</f>
        <v/>
      </c>
      <c r="J5" s="20" t="n"/>
    </row>
    <row r="6">
      <c r="A6" s="13" t="n"/>
      <c r="B6" s="244" t="n"/>
      <c r="C6" s="268" t="inlineStr">
        <is>
          <t>смаки 200 гр</t>
        </is>
      </c>
      <c r="D6" s="269" t="n">
        <v>0.2</v>
      </c>
      <c r="E6" s="17" t="n">
        <v>6</v>
      </c>
      <c r="F6" s="17" t="n">
        <v>18</v>
      </c>
      <c r="G6" s="270">
        <f>E6*D6</f>
        <v/>
      </c>
      <c r="H6" s="19" t="n">
        <v>75</v>
      </c>
      <c r="I6" s="19">
        <f>H6*E6</f>
        <v/>
      </c>
      <c r="J6" s="20" t="n"/>
    </row>
    <row r="7">
      <c r="A7" s="13" t="n"/>
      <c r="B7" s="244" t="n"/>
      <c r="C7" s="268" t="n"/>
      <c r="D7" s="269" t="n"/>
      <c r="E7" s="17" t="n"/>
      <c r="F7" s="17" t="n"/>
      <c r="G7" s="270" t="n"/>
      <c r="H7" s="19" t="n"/>
      <c r="I7" s="19">
        <f>H7*E7</f>
        <v/>
      </c>
      <c r="J7" s="20" t="n"/>
    </row>
    <row r="8">
      <c r="A8" s="13" t="n"/>
      <c r="B8" s="244" t="n"/>
      <c r="C8" s="268" t="n"/>
      <c r="D8" s="269" t="n"/>
      <c r="E8" s="17" t="n"/>
      <c r="F8" s="17" t="n"/>
      <c r="G8" s="17" t="n"/>
      <c r="H8" s="19" t="n"/>
      <c r="I8" s="19" t="n"/>
      <c r="J8" s="20" t="n"/>
    </row>
    <row r="9">
      <c r="A9" s="13" t="n"/>
      <c r="B9" s="244" t="n"/>
      <c r="C9" s="268" t="n"/>
      <c r="D9" s="269" t="n"/>
      <c r="E9" s="17" t="n"/>
      <c r="F9" s="17" t="n"/>
      <c r="G9" s="17" t="n"/>
      <c r="H9" s="19" t="n"/>
      <c r="I9" s="19" t="n"/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33641.45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66" t="inlineStr">
        <is>
          <t>поступление от НС через АА</t>
        </is>
      </c>
      <c r="B20" s="67" t="n"/>
      <c r="C20" s="68" t="n">
        <v>200000</v>
      </c>
      <c r="D20" s="68" t="n">
        <v>200000</v>
      </c>
      <c r="E20" s="69" t="n"/>
      <c r="F20" s="70" t="n"/>
      <c r="G20" s="71" t="n"/>
      <c r="H20" s="72">
        <f>F20*G20</f>
        <v/>
      </c>
      <c r="I20" s="2" t="n"/>
      <c r="J20" s="2" t="n"/>
    </row>
    <row r="21">
      <c r="A21" s="66" t="inlineStr">
        <is>
          <t xml:space="preserve">поступление от АА </t>
        </is>
      </c>
      <c r="B21" s="67" t="n"/>
      <c r="C21" s="68" t="n">
        <v>12000</v>
      </c>
      <c r="D21" s="68" t="n">
        <v>12000</v>
      </c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286" t="inlineStr">
        <is>
          <t>возврат залога</t>
        </is>
      </c>
      <c r="B22" s="293" t="n"/>
      <c r="C22" s="287" t="n">
        <v>18000</v>
      </c>
      <c r="D22" s="287" t="n">
        <v>18000</v>
      </c>
      <c r="E22" s="306" t="n"/>
      <c r="F22" s="307" t="n"/>
      <c r="G22" s="308" t="n"/>
      <c r="H22" s="309" t="n"/>
      <c r="I22" s="289" t="inlineStr">
        <is>
          <t>редакция</t>
        </is>
      </c>
      <c r="J22" s="2" t="n"/>
    </row>
    <row r="23">
      <c r="A23" s="66" t="inlineStr">
        <is>
          <t>поступление ч/л</t>
        </is>
      </c>
      <c r="B23" s="67" t="n"/>
      <c r="C23" s="68" t="n">
        <v>1570</v>
      </c>
      <c r="D23" s="68" t="n">
        <v>1570</v>
      </c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81" t="inlineStr">
        <is>
          <t>уборка</t>
        </is>
      </c>
      <c r="B27" s="67" t="n"/>
      <c r="C27" s="68" t="n">
        <v>2000</v>
      </c>
      <c r="D27" s="68" t="n">
        <v>2000</v>
      </c>
      <c r="E27" s="76" t="n"/>
      <c r="F27" s="78" t="n"/>
      <c r="G27" s="79" t="n"/>
      <c r="H27" s="80" t="n"/>
      <c r="I27" s="2" t="n"/>
      <c r="J27" s="2" t="n"/>
    </row>
    <row r="28">
      <c r="A28" s="69" t="inlineStr">
        <is>
          <t>з/п</t>
        </is>
      </c>
      <c r="B28" s="67" t="n"/>
      <c r="C28" s="68" t="n">
        <v>225481</v>
      </c>
      <c r="D28" s="68" t="n">
        <v>225482.02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inlineStr">
        <is>
          <t xml:space="preserve">оплата квартиры </t>
        </is>
      </c>
      <c r="B29" s="67" t="n"/>
      <c r="C29" s="68" t="n">
        <v>28000</v>
      </c>
      <c r="D29" s="74" t="n">
        <v>28000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310" t="inlineStr">
        <is>
          <t>коммунальные услуги</t>
        </is>
      </c>
      <c r="B30" s="293" t="n"/>
      <c r="C30" s="287" t="n">
        <v>2945</v>
      </c>
      <c r="D30" s="287" t="n">
        <v>2945</v>
      </c>
      <c r="E30" s="311" t="n"/>
      <c r="F30" s="294" t="n"/>
      <c r="G30" s="312" t="n"/>
      <c r="H30" s="309">
        <f>F30*G30</f>
        <v/>
      </c>
      <c r="I30" s="2" t="n"/>
      <c r="J30" s="2" t="n"/>
    </row>
    <row r="31">
      <c r="A31" s="69" t="n"/>
      <c r="B31" s="67" t="n"/>
      <c r="C31" s="68" t="n"/>
      <c r="D31" s="74" t="n"/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n"/>
      <c r="B32" s="67" t="n"/>
      <c r="C32" s="68" t="n"/>
      <c r="D32" s="74" t="n"/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5" t="n"/>
      <c r="E34" s="76" t="n"/>
      <c r="F34" s="78" t="n"/>
      <c r="G34" s="79" t="n"/>
      <c r="H34" s="72">
        <f>F34*G34</f>
        <v/>
      </c>
      <c r="I34" s="313" t="n"/>
      <c r="J34" s="313" t="n"/>
    </row>
    <row r="35">
      <c r="A35" s="69" t="n"/>
      <c r="B35" s="67" t="n"/>
      <c r="C35" s="68" t="n"/>
      <c r="D35" s="75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83" t="n"/>
      <c r="B37" s="67" t="n"/>
      <c r="C37" s="68" t="n"/>
      <c r="D37" s="84" t="n"/>
      <c r="E37" s="85" t="inlineStr">
        <is>
          <t>Итого расход:</t>
        </is>
      </c>
      <c r="F37" s="78" t="n"/>
      <c r="G37" s="79" t="n"/>
      <c r="H37" s="72">
        <f>F37*G37</f>
        <v/>
      </c>
      <c r="I37" s="86" t="n"/>
      <c r="J37" s="86" t="n"/>
    </row>
    <row r="38">
      <c r="A38" s="87" t="inlineStr">
        <is>
          <t>Остаток на конец дня:</t>
        </is>
      </c>
      <c r="B38" s="88" t="n"/>
      <c r="C38" s="89" t="n"/>
      <c r="D38" s="90">
        <f>SUM(D20,D21:D24,D19,)-SUM(D27:D37,)</f>
        <v/>
      </c>
      <c r="E38" s="87" t="inlineStr">
        <is>
          <t>Остаток на конец дня:</t>
        </is>
      </c>
      <c r="F38" s="91" t="n"/>
      <c r="G38" s="89" t="n"/>
      <c r="H38" s="92">
        <f>SUM(H19+H25-H37)</f>
        <v/>
      </c>
      <c r="I38" s="2" t="n"/>
      <c r="J38" s="2" t="n"/>
    </row>
    <row r="39">
      <c r="A39" s="93" t="n"/>
      <c r="B39" s="94" t="n"/>
      <c r="C39" s="43" t="n"/>
      <c r="D39" s="41" t="n"/>
      <c r="E39" s="41" t="n"/>
      <c r="F39" s="41" t="n"/>
      <c r="G39" s="2" t="n"/>
      <c r="H39" s="2" t="n"/>
      <c r="I39" s="2" t="n"/>
      <c r="J39" s="2" t="n"/>
    </row>
    <row r="40">
      <c r="A40" s="95" t="inlineStr">
        <is>
          <t>Расчётный счёт</t>
        </is>
      </c>
      <c r="B40" s="54" t="n"/>
      <c r="C40" s="54" t="n"/>
      <c r="D40" s="54" t="n"/>
      <c r="E40" s="54" t="n"/>
      <c r="F40" s="54" t="n"/>
      <c r="G40" s="54" t="n"/>
      <c r="H40" s="54" t="n"/>
      <c r="I40" s="2" t="n"/>
      <c r="J40" s="2" t="n"/>
    </row>
    <row r="41">
      <c r="A41" s="96" t="inlineStr">
        <is>
          <t>ВТБ</t>
        </is>
      </c>
      <c r="B41" s="279" t="inlineStr">
        <is>
          <t>ВТБ</t>
        </is>
      </c>
      <c r="C41" s="279" t="n"/>
      <c r="D41" s="47" t="n"/>
      <c r="E41" s="97" t="inlineStr">
        <is>
          <t>Альфабанк</t>
        </is>
      </c>
      <c r="F41" s="56" t="n"/>
      <c r="G41" s="56" t="n"/>
      <c r="H41" s="47" t="n"/>
      <c r="I41" s="2" t="n"/>
      <c r="J41" s="2" t="n"/>
    </row>
    <row r="42">
      <c r="A42" s="98" t="inlineStr">
        <is>
          <t>Остаток на начало дня:</t>
        </is>
      </c>
      <c r="B42" s="280" t="n"/>
      <c r="C42" s="290" t="n">
        <v>1767252.84</v>
      </c>
      <c r="D42" s="56" t="n"/>
      <c r="E42" s="100" t="inlineStr">
        <is>
          <t>Остаток на начало дня:</t>
        </is>
      </c>
      <c r="F42" s="47" t="n"/>
      <c r="G42" s="101" t="n">
        <v>1506.2</v>
      </c>
      <c r="H42" s="47" t="n"/>
      <c r="I42" s="2" t="n"/>
      <c r="J42" s="2" t="n"/>
    </row>
    <row r="43">
      <c r="A43" s="102" t="inlineStr">
        <is>
          <t>Поступление</t>
        </is>
      </c>
      <c r="B43" s="47" t="n"/>
      <c r="C43" s="102" t="inlineStr">
        <is>
          <t>Расход</t>
        </is>
      </c>
      <c r="D43" s="47" t="n"/>
      <c r="E43" s="102" t="inlineStr">
        <is>
          <t>Поступление</t>
        </is>
      </c>
      <c r="F43" s="47" t="n"/>
      <c r="G43" s="102" t="inlineStr">
        <is>
          <t>Расход</t>
        </is>
      </c>
      <c r="H43" s="47" t="n"/>
      <c r="I43" s="86" t="n"/>
      <c r="J43" s="86" t="n"/>
    </row>
    <row r="44">
      <c r="A44" s="103" t="inlineStr">
        <is>
          <t>от кого</t>
        </is>
      </c>
      <c r="B44" s="103" t="inlineStr">
        <is>
          <t>сумма</t>
        </is>
      </c>
      <c r="C44" s="103" t="inlineStr">
        <is>
          <t>кому</t>
        </is>
      </c>
      <c r="D44" s="103" t="inlineStr">
        <is>
          <t>сумма</t>
        </is>
      </c>
      <c r="E44" s="103" t="inlineStr">
        <is>
          <t>от кого</t>
        </is>
      </c>
      <c r="F44" s="103" t="inlineStr">
        <is>
          <t>сумма</t>
        </is>
      </c>
      <c r="G44" s="103" t="inlineStr">
        <is>
          <t xml:space="preserve">кому </t>
        </is>
      </c>
      <c r="H44" s="103" t="inlineStr">
        <is>
          <t>сумма</t>
        </is>
      </c>
      <c r="I44" s="86" t="n"/>
      <c r="J44" s="86" t="n"/>
    </row>
    <row r="45">
      <c r="A45" s="104" t="inlineStr">
        <is>
          <t xml:space="preserve">Проценты  по депозиту </t>
        </is>
      </c>
      <c r="B45" s="281" t="n">
        <v>919.8099999999999</v>
      </c>
      <c r="C45" s="106" t="inlineStr">
        <is>
          <t>ООО Интернет решения  за картридж</t>
        </is>
      </c>
      <c r="D45" s="107" t="n">
        <v>2392</v>
      </c>
      <c r="E45" s="108" t="n"/>
      <c r="F45" s="109" t="n"/>
      <c r="G45" s="110" t="n"/>
      <c r="H45" s="109" t="n"/>
      <c r="I45" s="86" t="n"/>
      <c r="J45" s="86" t="n"/>
    </row>
    <row r="46">
      <c r="A46" s="282" t="n"/>
      <c r="B46" s="281" t="n"/>
      <c r="C46" s="112" t="inlineStr">
        <is>
          <t xml:space="preserve">ООО Все инструменты  за мешки для мусора </t>
        </is>
      </c>
      <c r="D46" s="107" t="n">
        <v>3400</v>
      </c>
      <c r="E46" s="110" t="n"/>
      <c r="F46" s="109" t="n"/>
      <c r="G46" s="110" t="n"/>
      <c r="H46" s="109" t="n"/>
      <c r="I46" s="86" t="n"/>
      <c r="J46" s="86" t="n"/>
    </row>
    <row r="47">
      <c r="A47" s="111" t="n"/>
      <c r="B47" s="283" t="n"/>
      <c r="C47" s="113" t="inlineStr">
        <is>
          <t xml:space="preserve">ООО Мастер строй за хозтовары </t>
        </is>
      </c>
      <c r="D47" s="107" t="n">
        <v>26807</v>
      </c>
      <c r="E47" s="110" t="n"/>
      <c r="F47" s="109" t="n"/>
      <c r="G47" s="114" t="n"/>
      <c r="H47" s="109" t="n"/>
      <c r="I47" s="86" t="n"/>
      <c r="J47" s="86" t="n"/>
    </row>
    <row r="48">
      <c r="A48" s="115" t="n"/>
      <c r="B48" s="283" t="n"/>
      <c r="C48" s="113" t="inlineStr">
        <is>
          <t xml:space="preserve">ИП Савин транспортные услуги </t>
        </is>
      </c>
      <c r="D48" s="107" t="n">
        <v>36000</v>
      </c>
      <c r="E48" s="108" t="n"/>
      <c r="F48" s="116" t="n"/>
      <c r="G48" s="114" t="n"/>
      <c r="H48" s="109" t="n"/>
      <c r="I48" s="86" t="n"/>
      <c r="J48" s="86" t="n"/>
    </row>
    <row r="49">
      <c r="A49" s="117" t="n"/>
      <c r="B49" s="283" t="n"/>
      <c r="C49" s="113" t="inlineStr">
        <is>
          <t xml:space="preserve">ИП Ким  за масло  подсолнечное </t>
        </is>
      </c>
      <c r="D49" s="107" t="n">
        <v>252315</v>
      </c>
      <c r="E49" s="118" t="n"/>
      <c r="F49" s="119" t="n"/>
      <c r="G49" s="120" t="n"/>
      <c r="H49" s="120" t="n"/>
      <c r="I49" s="86" t="n"/>
      <c r="J49" s="86" t="n"/>
    </row>
    <row r="50">
      <c r="A50" s="117" t="n"/>
      <c r="B50" s="283" t="n"/>
      <c r="C50" s="113" t="inlineStr">
        <is>
          <t xml:space="preserve">ИП Савин за востановление оборудования </t>
        </is>
      </c>
      <c r="D50" s="107" t="n">
        <v>397250</v>
      </c>
      <c r="E50" s="118" t="n"/>
      <c r="F50" s="119" t="n"/>
      <c r="G50" s="121" t="n"/>
      <c r="H50" s="120" t="n"/>
      <c r="I50" s="86" t="n"/>
      <c r="J50" s="86" t="n"/>
    </row>
    <row r="51">
      <c r="A51" s="122" t="n"/>
      <c r="B51" s="283" t="n"/>
      <c r="C51" s="113" t="inlineStr">
        <is>
          <t>Размещение средств на депозите 1050000</t>
        </is>
      </c>
      <c r="D51" s="107" t="n">
        <v>0</v>
      </c>
      <c r="E51" s="118" t="n"/>
      <c r="F51" s="118" t="n"/>
      <c r="G51" s="123" t="n"/>
      <c r="H51" s="120" t="n"/>
      <c r="I51" s="86" t="n"/>
      <c r="J51" s="86" t="n"/>
    </row>
    <row r="52">
      <c r="A52" s="124" t="n"/>
      <c r="B52" s="284" t="n"/>
      <c r="C52" s="113" t="n"/>
      <c r="D52" s="107" t="n"/>
      <c r="E52" s="124" t="n"/>
      <c r="F52" s="118" t="n"/>
      <c r="G52" s="110" t="n"/>
      <c r="H52" s="120" t="n"/>
      <c r="I52" s="86" t="n"/>
      <c r="J52" s="86" t="n"/>
    </row>
    <row r="53">
      <c r="A53" s="124" t="n"/>
      <c r="B53" s="285" t="n"/>
      <c r="C53" s="110" t="n"/>
      <c r="D53" s="126" t="n"/>
      <c r="E53" s="124" t="n"/>
      <c r="F53" s="118" t="n"/>
      <c r="G53" s="110" t="n"/>
      <c r="H53" s="120" t="n"/>
      <c r="I53" s="86" t="n"/>
      <c r="J53" s="86" t="n"/>
    </row>
    <row r="54">
      <c r="A54" s="124" t="n"/>
      <c r="B54" s="285" t="n"/>
      <c r="C54" s="110" t="n"/>
      <c r="D54" s="126" t="n"/>
      <c r="E54" s="124" t="n"/>
      <c r="F54" s="118" t="n"/>
      <c r="G54" s="110" t="n"/>
      <c r="H54" s="120" t="n"/>
      <c r="I54" s="86" t="n"/>
      <c r="J54" s="86" t="n"/>
    </row>
    <row r="55">
      <c r="A55" s="124" t="n"/>
      <c r="B55" s="285" t="n"/>
      <c r="C55" s="110" t="n"/>
      <c r="D55" s="126" t="n"/>
      <c r="E55" s="124" t="n"/>
      <c r="F55" s="118" t="n"/>
      <c r="G55" s="110" t="n"/>
      <c r="H55" s="120" t="n"/>
      <c r="I55" s="86" t="n"/>
      <c r="J55" s="86" t="n"/>
    </row>
    <row r="56">
      <c r="A56" s="124" t="n"/>
      <c r="B56" s="28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7" t="n"/>
      <c r="B58" s="128">
        <f>SUM(B45:B57)+C42</f>
        <v/>
      </c>
      <c r="C58" s="129" t="n"/>
      <c r="D58" s="128">
        <f>SUM(D45:D57)</f>
        <v/>
      </c>
      <c r="E58" s="130" t="n"/>
      <c r="F58" s="130">
        <f>SUM(F45:F57)</f>
        <v/>
      </c>
      <c r="G58" s="130" t="n"/>
      <c r="H58" s="130">
        <f>SUM(H45:H57)</f>
        <v/>
      </c>
      <c r="I58" s="2" t="n"/>
      <c r="J58" s="2" t="n"/>
    </row>
    <row r="59">
      <c r="A59" s="131" t="inlineStr">
        <is>
          <t>Остаток на конец дня:</t>
        </is>
      </c>
      <c r="B59" s="132">
        <f>B58-D58</f>
        <v/>
      </c>
      <c r="C59" s="56" t="n"/>
      <c r="D59" s="47" t="n"/>
      <c r="E59" s="100" t="inlineStr">
        <is>
          <t>Остаток на конец дня:</t>
        </is>
      </c>
      <c r="F59" s="101">
        <f>G42+F58-H58</f>
        <v/>
      </c>
      <c r="G59" s="56" t="n"/>
      <c r="H59" s="47" t="n"/>
      <c r="I59" s="2" t="n"/>
      <c r="J59" s="2" t="n"/>
    </row>
    <row r="60">
      <c r="A60" s="133" t="inlineStr">
        <is>
          <t>ИТОГО:</t>
        </is>
      </c>
      <c r="B60" s="47" t="n"/>
      <c r="C60" s="134">
        <f>B59+F59</f>
        <v/>
      </c>
      <c r="D60" s="56" t="n"/>
      <c r="E60" s="56" t="n"/>
      <c r="F60" s="56" t="n"/>
      <c r="G60" s="56" t="n"/>
      <c r="H60" s="47" t="n"/>
      <c r="I60" s="2" t="n"/>
      <c r="J60" s="2" t="n"/>
    </row>
    <row r="61">
      <c r="A61" s="41" t="n"/>
      <c r="B61" s="94" t="n"/>
      <c r="C61" s="43" t="n"/>
      <c r="D61" s="41" t="n"/>
      <c r="E61" s="41" t="n"/>
      <c r="F61" s="41" t="n"/>
      <c r="G61" s="41" t="n"/>
      <c r="H61" s="93" t="n"/>
      <c r="I61" s="135" t="n"/>
      <c r="J61" s="135" t="n"/>
    </row>
    <row r="62">
      <c r="A62" s="136" t="n"/>
      <c r="B62" s="137" t="inlineStr">
        <is>
          <t>Реализация по безналичному расчёту</t>
        </is>
      </c>
      <c r="D62" s="2" t="n"/>
      <c r="E62" s="41" t="n"/>
      <c r="F62" s="41" t="n"/>
      <c r="G62" s="41" t="n"/>
      <c r="H62" s="138" t="n"/>
      <c r="I62" s="2" t="n"/>
      <c r="J62" s="2" t="n"/>
    </row>
    <row r="63">
      <c r="A63" s="139" t="inlineStr">
        <is>
          <t>Контрагент</t>
        </is>
      </c>
      <c r="B63" s="140" t="inlineStr">
        <is>
          <t>поставщик</t>
        </is>
      </c>
      <c r="C63" s="141" t="inlineStr">
        <is>
          <t>наименование</t>
        </is>
      </c>
      <c r="D63" s="142" t="inlineStr">
        <is>
          <t>вес упаковки, тарелки</t>
        </is>
      </c>
      <c r="E63" s="143" t="inlineStr">
        <is>
          <t>кол.-во пакетов, коробок</t>
        </is>
      </c>
      <c r="F63" s="144" t="inlineStr">
        <is>
          <t>кол-во мест в коробке/упаковке</t>
        </is>
      </c>
      <c r="G63" s="145" t="inlineStr">
        <is>
          <t>общий вес, кг.</t>
        </is>
      </c>
      <c r="H63" s="146" t="inlineStr">
        <is>
          <t>цена пакет, тарелка</t>
        </is>
      </c>
      <c r="I63" s="147" t="inlineStr">
        <is>
          <t>сумма</t>
        </is>
      </c>
      <c r="J63" s="148" t="inlineStr">
        <is>
          <t>Комментарий</t>
        </is>
      </c>
    </row>
    <row r="64">
      <c r="A64" s="150" t="n"/>
      <c r="B64" s="151" t="n"/>
      <c r="C64" s="272" t="n"/>
      <c r="D64" s="153" t="n"/>
      <c r="E64" s="154" t="n"/>
      <c r="F64" s="155" t="n"/>
      <c r="G64" s="154" t="n"/>
      <c r="H64" s="156" t="n"/>
      <c r="I64" s="156" t="n"/>
      <c r="J64" s="157" t="n"/>
    </row>
    <row r="65">
      <c r="A65" s="150" t="n"/>
      <c r="B65" s="151" t="n"/>
      <c r="C65" s="158" t="n"/>
      <c r="D65" s="153" t="n"/>
      <c r="E65" s="154" t="n"/>
      <c r="F65" s="155" t="n"/>
      <c r="G65" s="154" t="n"/>
      <c r="H65" s="156" t="n"/>
      <c r="I65" s="156" t="n"/>
      <c r="J65" s="159" t="n"/>
    </row>
    <row r="66">
      <c r="A66" s="150" t="n"/>
      <c r="B66" s="151" t="n"/>
      <c r="C66" s="158" t="n"/>
      <c r="D66" s="153" t="n"/>
      <c r="E66" s="154" t="n"/>
      <c r="F66" s="155" t="n"/>
      <c r="G66" s="154" t="n"/>
      <c r="H66" s="156" t="n"/>
      <c r="I66" s="156" t="n"/>
      <c r="J66" s="159" t="n"/>
    </row>
    <row r="67">
      <c r="A67" s="150" t="n"/>
      <c r="B67" s="151" t="n"/>
      <c r="C67" s="158" t="n"/>
      <c r="D67" s="153" t="n"/>
      <c r="E67" s="154" t="n"/>
      <c r="F67" s="155" t="n"/>
      <c r="G67" s="154" t="n"/>
      <c r="H67" s="156" t="n"/>
      <c r="I67" s="156" t="n"/>
      <c r="J67" s="159" t="n"/>
    </row>
    <row r="68">
      <c r="A68" s="150" t="n"/>
      <c r="B68" s="151" t="n"/>
      <c r="C68" s="152" t="n"/>
      <c r="D68" s="153" t="n"/>
      <c r="E68" s="154" t="n"/>
      <c r="F68" s="155" t="n"/>
      <c r="G68" s="154" t="n"/>
      <c r="H68" s="156" t="n"/>
      <c r="I68" s="156" t="n"/>
      <c r="J68" s="159" t="n"/>
    </row>
    <row r="69">
      <c r="A69" s="150" t="n"/>
      <c r="B69" s="151" t="n"/>
      <c r="C69" s="152" t="n"/>
      <c r="D69" s="153" t="n"/>
      <c r="E69" s="154" t="n"/>
      <c r="F69" s="155" t="n"/>
      <c r="G69" s="154" t="n"/>
      <c r="H69" s="156" t="n"/>
      <c r="I69" s="156" t="n"/>
      <c r="J69" s="159" t="n"/>
    </row>
    <row r="70">
      <c r="A70" s="150" t="n"/>
      <c r="B70" s="150" t="n"/>
      <c r="C70" s="160" t="n"/>
      <c r="D70" s="153" t="n"/>
      <c r="E70" s="154" t="n"/>
      <c r="F70" s="155" t="n"/>
      <c r="G70" s="154" t="n"/>
      <c r="H70" s="156" t="n"/>
      <c r="I70" s="156" t="n"/>
      <c r="J70" s="161" t="n"/>
    </row>
    <row r="71">
      <c r="A71" s="162" t="n"/>
      <c r="B71" s="163" t="n"/>
      <c r="C71" s="164" t="n"/>
      <c r="D71" s="165" t="n"/>
      <c r="E71" s="166" t="n"/>
      <c r="F71" s="167" t="n"/>
      <c r="G71" s="168" t="n"/>
      <c r="H71" s="169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62" t="n"/>
      <c r="B74" s="163" t="n"/>
      <c r="C74" s="171" t="n"/>
      <c r="D74" s="153" t="n"/>
      <c r="E74" s="172" t="n"/>
      <c r="F74" s="155" t="n"/>
      <c r="G74" s="168" t="n"/>
      <c r="H74" s="156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73" t="n"/>
      <c r="B76" s="174" t="n"/>
      <c r="C76" s="175" t="n"/>
      <c r="D76" s="176" t="n"/>
      <c r="E76" s="177" t="n"/>
      <c r="F76" s="178" t="n"/>
      <c r="G76" s="179" t="n"/>
      <c r="H76" s="180" t="n"/>
      <c r="I76" s="181" t="n"/>
      <c r="J76" s="161" t="n"/>
    </row>
    <row r="77">
      <c r="A77" s="182" t="n"/>
      <c r="B77" s="163" t="n"/>
      <c r="C77" s="183" t="n"/>
      <c r="D77" s="184" t="n"/>
      <c r="E77" s="166" t="n"/>
      <c r="F77" s="167" t="n"/>
      <c r="G77" s="185">
        <f>D77*F77</f>
        <v/>
      </c>
      <c r="H77" s="186" t="n"/>
      <c r="I77" s="186">
        <f>F77*H77*E77</f>
        <v/>
      </c>
      <c r="J77" s="187" t="n"/>
    </row>
    <row r="78">
      <c r="A78" s="182" t="n"/>
      <c r="B78" s="163" t="n"/>
      <c r="C78" s="188" t="n"/>
      <c r="D78" s="189" t="n"/>
      <c r="E78" s="190" t="n"/>
      <c r="F78" s="189" t="n"/>
      <c r="G78" s="185">
        <f>D78*F78</f>
        <v/>
      </c>
      <c r="H78" s="191" t="n"/>
      <c r="I78" s="186">
        <f>F78*H78*E78</f>
        <v/>
      </c>
      <c r="J78" s="187" t="n"/>
    </row>
    <row r="79">
      <c r="A79" s="192" t="inlineStr">
        <is>
          <t>ИТОГО:</t>
        </is>
      </c>
      <c r="B79" s="193" t="n"/>
      <c r="C79" s="194" t="n"/>
      <c r="D79" s="195" t="n"/>
      <c r="E79" s="196">
        <f>SUM(E64:E78)</f>
        <v/>
      </c>
      <c r="F79" s="197">
        <f>SUM(F64:F76)</f>
        <v/>
      </c>
      <c r="G79" s="198">
        <f>SUM(G64:G71)</f>
        <v/>
      </c>
      <c r="H79" s="199" t="n"/>
      <c r="I79" s="199">
        <f>SUM(I64:I72)</f>
        <v/>
      </c>
      <c r="J79" s="200" t="n"/>
    </row>
    <row r="80">
      <c r="A80" s="2" t="n"/>
      <c r="B80" s="94" t="n"/>
      <c r="C80" s="43" t="n"/>
      <c r="D80" s="41" t="n"/>
      <c r="E80" s="41" t="n"/>
      <c r="F80" s="41" t="n"/>
      <c r="G80" s="41" t="n"/>
      <c r="H80" s="2" t="n"/>
      <c r="I80" s="2" t="n"/>
      <c r="J80" s="2" t="n"/>
    </row>
    <row r="81">
      <c r="A81" s="201" t="inlineStr">
        <is>
          <t>реализация Всего касса+безнал:</t>
        </is>
      </c>
      <c r="B81" s="202" t="inlineStr">
        <is>
          <t>кг</t>
        </is>
      </c>
      <c r="C81" s="203" t="inlineStr">
        <is>
          <t>на сумму</t>
        </is>
      </c>
      <c r="D81" s="41" t="n"/>
      <c r="E81" s="41" t="n"/>
      <c r="F81" s="41" t="n"/>
      <c r="G81" s="41" t="n"/>
      <c r="H81" s="2" t="n"/>
      <c r="I81" s="2" t="n"/>
      <c r="J81" s="2" t="n"/>
    </row>
    <row r="82">
      <c r="A82" s="204" t="n"/>
      <c r="B82" s="205">
        <f>E12+G79</f>
        <v/>
      </c>
      <c r="C82" s="206">
        <f>I12+H79+I79</f>
        <v/>
      </c>
      <c r="D82" s="41" t="n"/>
      <c r="E82" s="41" t="n"/>
      <c r="F82" s="41" t="n"/>
      <c r="G82" s="41" t="n"/>
      <c r="H82" s="2" t="n"/>
      <c r="I82" s="2" t="n"/>
      <c r="J82" s="2" t="n"/>
    </row>
    <row r="83">
      <c r="A83" s="207" t="inlineStr">
        <is>
          <t>Услуги оказывают нам (доставка сырья и комплектующих на склад, Товара покупателям)</t>
        </is>
      </c>
      <c r="B83" s="54" t="n"/>
      <c r="C83" s="54" t="n"/>
      <c r="D83" s="54" t="n"/>
      <c r="E83" s="54" t="n"/>
      <c r="F83" s="54" t="n"/>
      <c r="G83" s="54" t="n"/>
      <c r="H83" s="54" t="n"/>
      <c r="I83" s="291" t="n"/>
      <c r="J83" s="58" t="n"/>
    </row>
    <row r="84">
      <c r="A84" s="209" t="inlineStr">
        <is>
          <t>Контрагент</t>
        </is>
      </c>
      <c r="B84" s="210" t="inlineStr">
        <is>
          <t>вид услуги</t>
        </is>
      </c>
      <c r="C84" s="211" t="inlineStr">
        <is>
          <t>Кому / От кого</t>
        </is>
      </c>
      <c r="D84" s="212" t="inlineStr">
        <is>
          <t>наименование</t>
        </is>
      </c>
      <c r="E84" s="213" t="inlineStr">
        <is>
          <t xml:space="preserve">город доставки </t>
        </is>
      </c>
      <c r="F84" s="214" t="inlineStr">
        <is>
          <t>цена</t>
        </is>
      </c>
      <c r="G84" s="213" t="inlineStr">
        <is>
          <t>сумма</t>
        </is>
      </c>
      <c r="H84" s="212" t="inlineStr">
        <is>
          <t>за тонну</t>
        </is>
      </c>
      <c r="I84" s="291" t="n"/>
      <c r="J84" s="58" t="n"/>
    </row>
    <row r="85">
      <c r="A85" s="292" t="inlineStr">
        <is>
          <t>ИП Савин</t>
        </is>
      </c>
      <c r="B85" s="293" t="inlineStr">
        <is>
          <t>Доставка</t>
        </is>
      </c>
      <c r="C85" s="294" t="inlineStr">
        <is>
          <t>Люкс Оил- Снекпром</t>
        </is>
      </c>
      <c r="D85" s="300" t="inlineStr">
        <is>
          <t>пальмовое масло</t>
        </is>
      </c>
      <c r="E85" s="295" t="inlineStr">
        <is>
          <t>Москва-Рыбное</t>
        </is>
      </c>
      <c r="F85" s="302" t="n">
        <v>9000</v>
      </c>
      <c r="G85" s="297">
        <f>F85+F1203</f>
        <v/>
      </c>
      <c r="H85" s="298" t="n"/>
      <c r="I85" s="314" t="inlineStr">
        <is>
          <t>Редакция цены доставки</t>
        </is>
      </c>
      <c r="J85" s="58" t="n"/>
    </row>
    <row r="86">
      <c r="A86" s="215" t="n"/>
      <c r="B86" s="60" t="n"/>
      <c r="C86" s="63" t="n"/>
      <c r="D86" s="226" t="n"/>
      <c r="E86" s="217" t="n"/>
      <c r="F86" s="62" t="n"/>
      <c r="G86" s="218" t="n"/>
      <c r="H86" s="305" t="n"/>
      <c r="I86" s="315" t="n"/>
      <c r="J86" s="58" t="n"/>
    </row>
    <row r="87">
      <c r="A87" s="220" t="n"/>
      <c r="B87" s="60" t="n"/>
      <c r="C87" s="221" t="n"/>
      <c r="D87" s="222" t="n"/>
      <c r="E87" s="274" t="n"/>
      <c r="F87" s="223" t="n"/>
      <c r="G87" s="218" t="n"/>
      <c r="H87" s="305" t="n"/>
      <c r="I87" s="2" t="n"/>
      <c r="J87" s="2" t="n"/>
    </row>
    <row r="88">
      <c r="A88" s="220" t="n"/>
      <c r="B88" s="60" t="n"/>
      <c r="C88" s="221" t="n"/>
      <c r="D88" s="222" t="n"/>
      <c r="E88" s="274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74" t="n"/>
      <c r="F89" s="223" t="n"/>
      <c r="G89" s="218" t="n"/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F90+F1208</f>
        <v/>
      </c>
      <c r="H90" s="219" t="n"/>
      <c r="I90" s="2" t="n"/>
      <c r="J90" s="2" t="n"/>
    </row>
    <row r="91">
      <c r="A91" s="220" t="n"/>
      <c r="B91" s="60" t="n"/>
      <c r="C91" s="221" t="n"/>
      <c r="D91" s="226" t="n"/>
      <c r="E91" s="227" t="n"/>
      <c r="F91" s="223" t="n"/>
      <c r="G91" s="218">
        <f>F91+F1209</f>
        <v/>
      </c>
      <c r="H91" s="219" t="n"/>
      <c r="I91" s="2" t="n"/>
      <c r="J91" s="2" t="n"/>
    </row>
    <row r="92">
      <c r="A92" s="220" t="n"/>
      <c r="B92" s="60" t="n"/>
      <c r="C92" s="221" t="n"/>
      <c r="D92" s="226" t="n"/>
      <c r="E92" s="227" t="n"/>
      <c r="F92" s="223" t="n"/>
      <c r="G92" s="218">
        <f>F92+F1210</f>
        <v/>
      </c>
      <c r="H92" s="228" t="n"/>
      <c r="I92" s="2" t="n"/>
      <c r="J92" s="2" t="n"/>
    </row>
    <row r="93">
      <c r="A93" s="229" t="inlineStr">
        <is>
          <t>ИТОГО:</t>
        </is>
      </c>
      <c r="B93" s="230" t="n"/>
      <c r="C93" s="231" t="n"/>
      <c r="D93" s="232" t="n"/>
      <c r="E93" s="233">
        <f>SUM(E85:E92)</f>
        <v/>
      </c>
      <c r="F93" s="234" t="n"/>
      <c r="G93" s="235">
        <f>SUM(G85:G92)</f>
        <v/>
      </c>
      <c r="H93" s="235" t="n"/>
      <c r="I93" s="2" t="n"/>
      <c r="J93" s="2" t="n"/>
    </row>
    <row r="94">
      <c r="A94" s="41" t="n"/>
      <c r="B94" s="94" t="n"/>
      <c r="C94" s="43" t="n"/>
      <c r="D94" s="41" t="n"/>
      <c r="E94" s="41" t="n"/>
      <c r="F94" s="41" t="n"/>
      <c r="G94" s="41" t="n"/>
      <c r="H94" s="41" t="n"/>
      <c r="I94" s="2" t="n"/>
      <c r="J94" s="2" t="n"/>
    </row>
    <row r="95">
      <c r="A95" s="236" t="inlineStr">
        <is>
          <t>Услуги оказываем мы</t>
        </is>
      </c>
      <c r="B95" s="54" t="n"/>
      <c r="C95" s="54" t="n"/>
      <c r="D95" s="54" t="n"/>
      <c r="E95" s="54" t="n"/>
      <c r="F95" s="54" t="n"/>
      <c r="G95" s="54" t="n"/>
      <c r="H95" s="54" t="n"/>
      <c r="I95" s="237" t="n"/>
      <c r="J95" s="2" t="n"/>
    </row>
    <row r="96">
      <c r="A96" s="209" t="inlineStr">
        <is>
          <t>Контрагент</t>
        </is>
      </c>
      <c r="B96" s="238" t="inlineStr">
        <is>
          <t>вид услуги</t>
        </is>
      </c>
      <c r="C96" s="239" t="inlineStr">
        <is>
          <t>наименование</t>
        </is>
      </c>
      <c r="D96" s="240" t="inlineStr">
        <is>
          <t>вес, кг, шт</t>
        </is>
      </c>
      <c r="E96" s="240" t="inlineStr">
        <is>
          <t>цена</t>
        </is>
      </c>
      <c r="F96" s="240" t="inlineStr">
        <is>
          <t>сумма</t>
        </is>
      </c>
      <c r="G96" s="213" t="inlineStr">
        <is>
          <t>№УПД</t>
        </is>
      </c>
      <c r="H96" s="213" t="n"/>
      <c r="I96" s="2" t="n"/>
      <c r="J96" s="2" t="n"/>
    </row>
    <row r="97">
      <c r="A97" s="275" t="n"/>
      <c r="B97" s="276" t="n"/>
      <c r="C97" s="243" t="n"/>
      <c r="D97" s="244" t="n"/>
      <c r="E97" s="277" t="n"/>
      <c r="F97" s="278" t="n"/>
      <c r="G97" s="247" t="n"/>
      <c r="H97" s="248" t="n"/>
      <c r="I97" s="2" t="n"/>
      <c r="J97" s="2" t="n"/>
    </row>
    <row r="98">
      <c r="A98" s="249" t="n"/>
      <c r="B98" s="250" t="n"/>
      <c r="C98" s="251" t="n"/>
      <c r="D98" s="252" t="n"/>
      <c r="E98" s="253" t="n"/>
      <c r="F98" s="254">
        <f>D98*E98</f>
        <v/>
      </c>
      <c r="G98" s="255" t="n"/>
      <c r="H98" s="256" t="n"/>
      <c r="I98" s="2" t="n"/>
      <c r="J98" s="2" t="n"/>
    </row>
    <row r="99">
      <c r="A99" s="257" t="n"/>
      <c r="B99" s="258" t="n"/>
      <c r="C99" s="257" t="n"/>
      <c r="D99" s="257" t="n"/>
      <c r="E99" s="257" t="n"/>
      <c r="F99" s="254">
        <f>D99*E99</f>
        <v/>
      </c>
      <c r="G99" s="257" t="n"/>
      <c r="H99" s="257" t="n"/>
      <c r="I99" s="2" t="n"/>
      <c r="J99" s="2" t="n"/>
    </row>
    <row r="100">
      <c r="A100" s="249" t="n"/>
      <c r="B100" s="258" t="n"/>
      <c r="C100" s="257" t="n"/>
      <c r="D100" s="259" t="n"/>
      <c r="E100" s="257" t="n"/>
      <c r="F100" s="260" t="n"/>
      <c r="G100" s="257" t="n"/>
      <c r="H100" s="257" t="n"/>
      <c r="I100" s="2" t="n"/>
      <c r="J100" s="2" t="n"/>
    </row>
    <row r="101">
      <c r="A101" s="2" t="n"/>
      <c r="B101" s="261" t="n"/>
      <c r="C101" s="2" t="n"/>
      <c r="D101" s="2" t="n"/>
      <c r="E101" s="2" t="n"/>
      <c r="F101" s="262" t="n"/>
      <c r="G101" s="2" t="n"/>
      <c r="H101" s="2" t="n"/>
      <c r="I101" s="263" t="n"/>
      <c r="J101" s="264" t="n"/>
    </row>
  </sheetData>
  <mergeCells count="6">
    <mergeCell ref="A1:J1"/>
    <mergeCell ref="A83:H83"/>
    <mergeCell ref="A95:H95"/>
    <mergeCell ref="A17:H17"/>
    <mergeCell ref="A2:J2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8.875" customWidth="1" min="6" max="6"/>
    <col width="9.625" customWidth="1" min="7" max="7"/>
    <col width="11.12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поступление ч/л</t>
        </is>
      </c>
      <c r="B4" s="267" t="inlineStr">
        <is>
          <t>ООО Снекпром</t>
        </is>
      </c>
      <c r="C4" s="268" t="inlineStr">
        <is>
          <t>арахис в корочке микс</t>
        </is>
      </c>
      <c r="D4" s="51" t="n">
        <v>1</v>
      </c>
      <c r="E4" s="17" t="n">
        <v>2</v>
      </c>
      <c r="F4" s="17" t="n">
        <v>1</v>
      </c>
      <c r="G4" s="270" t="n">
        <v>1</v>
      </c>
      <c r="H4" s="19" t="n">
        <v>190</v>
      </c>
      <c r="I4" s="19">
        <f>H4*E4</f>
        <v/>
      </c>
      <c r="J4" s="20" t="n"/>
    </row>
    <row r="5">
      <c r="A5" s="13" t="n"/>
      <c r="B5" s="267" t="n"/>
      <c r="C5" s="268" t="inlineStr">
        <is>
          <t>арахис ассорти 200 гр</t>
        </is>
      </c>
      <c r="D5" s="269" t="n">
        <v>0.2</v>
      </c>
      <c r="E5" s="17" t="n">
        <v>2</v>
      </c>
      <c r="F5" s="17" t="n">
        <v>18</v>
      </c>
      <c r="G5" s="270">
        <f>E5*D5</f>
        <v/>
      </c>
      <c r="H5" s="19" t="n">
        <v>85</v>
      </c>
      <c r="I5" s="19">
        <f>H5*E5</f>
        <v/>
      </c>
      <c r="J5" s="20" t="n"/>
    </row>
    <row r="6">
      <c r="A6" s="13" t="n"/>
      <c r="B6" s="244" t="n"/>
      <c r="C6" s="268" t="inlineStr">
        <is>
          <t>смаки 200 гр</t>
        </is>
      </c>
      <c r="D6" s="269" t="n">
        <v>0.2</v>
      </c>
      <c r="E6" s="17" t="n">
        <v>9</v>
      </c>
      <c r="F6" s="17" t="n">
        <v>18</v>
      </c>
      <c r="G6" s="270">
        <f>E6*D6</f>
        <v/>
      </c>
      <c r="H6" s="19" t="n">
        <v>75</v>
      </c>
      <c r="I6" s="19">
        <f>H6*E6</f>
        <v/>
      </c>
      <c r="J6" s="20" t="n"/>
    </row>
    <row r="7">
      <c r="A7" s="13" t="inlineStr">
        <is>
          <t>МЮ</t>
        </is>
      </c>
      <c r="B7" s="244" t="n"/>
      <c r="C7" s="268" t="inlineStr">
        <is>
          <t>арахис в корочке микс</t>
        </is>
      </c>
      <c r="D7" s="51" t="n">
        <v>1</v>
      </c>
      <c r="E7" s="17" t="n">
        <v>2</v>
      </c>
      <c r="F7" s="17" t="n">
        <v>190</v>
      </c>
      <c r="G7" s="270" t="n">
        <v>4</v>
      </c>
      <c r="H7" s="19" t="n">
        <v>190</v>
      </c>
      <c r="I7" s="19">
        <f>H7*E7</f>
        <v/>
      </c>
      <c r="J7" s="20" t="n"/>
    </row>
    <row r="8">
      <c r="A8" s="13" t="inlineStr">
        <is>
          <t>ИП 1</t>
        </is>
      </c>
      <c r="B8" s="244" t="n"/>
      <c r="C8" s="268" t="inlineStr">
        <is>
          <t>арахис в корочке васаби</t>
        </is>
      </c>
      <c r="D8" s="51" t="n">
        <v>1</v>
      </c>
      <c r="E8" s="17" t="n">
        <v>1</v>
      </c>
      <c r="F8" s="17" t="n">
        <v>190</v>
      </c>
      <c r="G8" s="17" t="n">
        <v>1</v>
      </c>
      <c r="H8" s="19" t="n">
        <v>190</v>
      </c>
      <c r="I8" s="19">
        <f>H8*E8</f>
        <v/>
      </c>
      <c r="J8" s="20" t="n"/>
    </row>
    <row r="9">
      <c r="A9" s="13" t="n"/>
      <c r="B9" s="244" t="n"/>
      <c r="C9" s="268" t="inlineStr">
        <is>
          <t>арахис в корочке сметана зелень</t>
        </is>
      </c>
      <c r="D9" s="51" t="n">
        <v>1</v>
      </c>
      <c r="E9" s="17" t="n">
        <v>1</v>
      </c>
      <c r="F9" s="17" t="n">
        <v>190</v>
      </c>
      <c r="G9" s="17" t="n">
        <v>1</v>
      </c>
      <c r="H9" s="19" t="n">
        <v>190</v>
      </c>
      <c r="I9" s="19">
        <f>H9*E9</f>
        <v/>
      </c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6784.45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286" t="inlineStr">
        <is>
          <t>поступление от ИП2</t>
        </is>
      </c>
      <c r="B20" s="293" t="n"/>
      <c r="C20" s="287" t="n">
        <v>367250.06</v>
      </c>
      <c r="D20" s="287" t="n">
        <v>367250.06</v>
      </c>
      <c r="E20" s="306" t="n"/>
      <c r="F20" s="307" t="n"/>
      <c r="G20" s="308" t="n"/>
      <c r="H20" s="309">
        <f>F20*G20</f>
        <v/>
      </c>
      <c r="I20" s="289" t="inlineStr">
        <is>
          <t xml:space="preserve">редакция, внёс полную сумму </t>
        </is>
      </c>
      <c r="J20" s="289" t="n"/>
    </row>
    <row r="21">
      <c r="A21" s="66" t="inlineStr">
        <is>
          <t>поступление от ИП1</t>
        </is>
      </c>
      <c r="B21" s="67" t="n"/>
      <c r="C21" s="68" t="n">
        <v>380</v>
      </c>
      <c r="D21" s="68" t="n">
        <v>380</v>
      </c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66" t="inlineStr">
        <is>
          <t>поступление от МЮ</t>
        </is>
      </c>
      <c r="B22" s="67" t="n"/>
      <c r="C22" s="68" t="n">
        <v>380</v>
      </c>
      <c r="D22" s="68" t="n">
        <v>380</v>
      </c>
      <c r="E22" s="69" t="n"/>
      <c r="F22" s="70" t="n"/>
      <c r="G22" s="71" t="n"/>
      <c r="H22" s="72" t="n"/>
      <c r="I22" s="2" t="n"/>
      <c r="J22" s="2" t="n"/>
    </row>
    <row r="23">
      <c r="A23" s="66" t="inlineStr">
        <is>
          <t>поступление ч/л</t>
        </is>
      </c>
      <c r="B23" s="67" t="n"/>
      <c r="C23" s="68" t="n">
        <v>1225</v>
      </c>
      <c r="D23" s="68" t="n">
        <v>1225</v>
      </c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310" t="inlineStr">
        <is>
          <t>комиссия 7%+банковская</t>
        </is>
      </c>
      <c r="B27" s="293" t="n"/>
      <c r="C27" s="287" t="n">
        <v>45471.06</v>
      </c>
      <c r="D27" s="287" t="n">
        <v>45471.06</v>
      </c>
      <c r="E27" s="311" t="n"/>
      <c r="F27" s="294" t="n"/>
      <c r="G27" s="312" t="n"/>
      <c r="H27" s="316" t="n"/>
      <c r="I27" s="289" t="n"/>
      <c r="J27" s="289" t="n"/>
    </row>
    <row r="28">
      <c r="A28" s="69" t="inlineStr">
        <is>
          <t>з/п</t>
        </is>
      </c>
      <c r="B28" s="67" t="n"/>
      <c r="C28" s="68" t="n">
        <v>131095</v>
      </c>
      <c r="D28" s="68" t="n">
        <v>131095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inlineStr">
        <is>
          <t>болты и шайбы для сборки фасовки</t>
        </is>
      </c>
      <c r="B29" s="67" t="n"/>
      <c r="C29" s="68" t="n">
        <v>2360</v>
      </c>
      <c r="D29" s="74" t="n">
        <v>2360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81" t="n"/>
      <c r="B30" s="67" t="n"/>
      <c r="C30" s="68" t="n"/>
      <c r="D30" s="68" t="n"/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n"/>
      <c r="B31" s="67" t="n"/>
      <c r="C31" s="68" t="n"/>
      <c r="D31" s="74" t="n"/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n"/>
      <c r="B32" s="67" t="n"/>
      <c r="C32" s="68" t="n"/>
      <c r="D32" s="74" t="n"/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5" t="n"/>
      <c r="E34" s="76" t="n"/>
      <c r="F34" s="78" t="n"/>
      <c r="G34" s="79" t="n"/>
      <c r="H34" s="72">
        <f>F34*G34</f>
        <v/>
      </c>
      <c r="I34" s="289" t="inlineStr">
        <is>
          <t>Редакция поступления</t>
        </is>
      </c>
      <c r="J34" s="2" t="n"/>
    </row>
    <row r="35">
      <c r="A35" s="69" t="n"/>
      <c r="B35" s="67" t="n"/>
      <c r="C35" s="68" t="n"/>
      <c r="D35" s="75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83" t="n"/>
      <c r="B37" s="67" t="n"/>
      <c r="C37" s="68" t="n"/>
      <c r="D37" s="84" t="n"/>
      <c r="E37" s="85" t="inlineStr">
        <is>
          <t>Итого расход:</t>
        </is>
      </c>
      <c r="F37" s="78" t="n"/>
      <c r="G37" s="79" t="n"/>
      <c r="H37" s="72">
        <f>F37*G37</f>
        <v/>
      </c>
      <c r="I37" s="86" t="n"/>
      <c r="J37" s="86" t="n"/>
    </row>
    <row r="38">
      <c r="A38" s="87" t="inlineStr">
        <is>
          <t>Остаток на конец дня:</t>
        </is>
      </c>
      <c r="B38" s="88" t="n"/>
      <c r="C38" s="89" t="n"/>
      <c r="D38" s="90">
        <f>SUM(D20,D21:D24,D19,)-SUM(D27:D37,)</f>
        <v/>
      </c>
      <c r="E38" s="87" t="inlineStr">
        <is>
          <t>Остаток на конец дня:</t>
        </is>
      </c>
      <c r="F38" s="91" t="n"/>
      <c r="G38" s="89" t="n"/>
      <c r="H38" s="92">
        <f>SUM(H19+H25-H37)</f>
        <v/>
      </c>
      <c r="I38" s="2" t="n"/>
      <c r="J38" s="2" t="n"/>
    </row>
    <row r="39">
      <c r="A39" s="93" t="n"/>
      <c r="B39" s="94" t="n"/>
      <c r="C39" s="43" t="n"/>
      <c r="D39" s="41" t="n"/>
      <c r="E39" s="41" t="n"/>
      <c r="F39" s="41" t="n"/>
      <c r="G39" s="2" t="n"/>
      <c r="H39" s="2" t="n"/>
      <c r="I39" s="2" t="n"/>
      <c r="J39" s="2" t="n"/>
    </row>
    <row r="40">
      <c r="A40" s="95" t="inlineStr">
        <is>
          <t>Расчётный счёт</t>
        </is>
      </c>
      <c r="B40" s="54" t="n"/>
      <c r="C40" s="54" t="n"/>
      <c r="D40" s="54" t="n"/>
      <c r="E40" s="54" t="n"/>
      <c r="F40" s="54" t="n"/>
      <c r="G40" s="54" t="n"/>
      <c r="H40" s="54" t="n"/>
      <c r="I40" s="2" t="n"/>
      <c r="J40" s="2" t="n"/>
    </row>
    <row r="41">
      <c r="A41" s="96" t="inlineStr">
        <is>
          <t>ВТБ</t>
        </is>
      </c>
      <c r="B41" s="279" t="inlineStr">
        <is>
          <t>ВТБ</t>
        </is>
      </c>
      <c r="C41" s="279" t="n"/>
      <c r="D41" s="47" t="n"/>
      <c r="E41" s="97" t="inlineStr">
        <is>
          <t>Альфабанк</t>
        </is>
      </c>
      <c r="F41" s="56" t="n"/>
      <c r="G41" s="56" t="n"/>
      <c r="H41" s="47" t="n"/>
      <c r="I41" s="2" t="n"/>
      <c r="J41" s="2" t="n"/>
    </row>
    <row r="42">
      <c r="A42" s="98" t="inlineStr">
        <is>
          <t>Остаток на начало дня:</t>
        </is>
      </c>
      <c r="B42" s="280" t="n"/>
      <c r="C42" s="290" t="n">
        <v>1050008.65</v>
      </c>
      <c r="D42" s="56" t="n"/>
      <c r="E42" s="100" t="inlineStr">
        <is>
          <t>Остаток на начало дня:</t>
        </is>
      </c>
      <c r="F42" s="47" t="n"/>
      <c r="G42" s="101" t="n">
        <v>1506.2</v>
      </c>
      <c r="H42" s="47" t="n"/>
      <c r="I42" s="2" t="n"/>
      <c r="J42" s="2" t="n"/>
    </row>
    <row r="43">
      <c r="A43" s="102" t="inlineStr">
        <is>
          <t>Поступление</t>
        </is>
      </c>
      <c r="B43" s="47" t="n"/>
      <c r="C43" s="102" t="inlineStr">
        <is>
          <t>Расход</t>
        </is>
      </c>
      <c r="D43" s="47" t="n"/>
      <c r="E43" s="102" t="inlineStr">
        <is>
          <t>Поступление</t>
        </is>
      </c>
      <c r="F43" s="47" t="n"/>
      <c r="G43" s="102" t="inlineStr">
        <is>
          <t>Расход</t>
        </is>
      </c>
      <c r="H43" s="47" t="n"/>
      <c r="I43" s="86" t="n"/>
      <c r="J43" s="86" t="n"/>
    </row>
    <row r="44">
      <c r="A44" s="103" t="inlineStr">
        <is>
          <t>от кого</t>
        </is>
      </c>
      <c r="B44" s="103" t="inlineStr">
        <is>
          <t>сумма</t>
        </is>
      </c>
      <c r="C44" s="103" t="inlineStr">
        <is>
          <t>кому</t>
        </is>
      </c>
      <c r="D44" s="103" t="inlineStr">
        <is>
          <t>сумма</t>
        </is>
      </c>
      <c r="E44" s="103" t="inlineStr">
        <is>
          <t>от кого</t>
        </is>
      </c>
      <c r="F44" s="103" t="inlineStr">
        <is>
          <t>сумма</t>
        </is>
      </c>
      <c r="G44" s="103" t="inlineStr">
        <is>
          <t xml:space="preserve">кому </t>
        </is>
      </c>
      <c r="H44" s="103" t="inlineStr">
        <is>
          <t>сумма</t>
        </is>
      </c>
      <c r="I44" s="86" t="n"/>
      <c r="J44" s="86" t="n"/>
    </row>
    <row r="45">
      <c r="A45" s="104" t="inlineStr">
        <is>
          <t xml:space="preserve">Проценты  по депозиту </t>
        </is>
      </c>
      <c r="B45" s="281" t="n">
        <v>546.58</v>
      </c>
      <c r="C45" s="106" t="inlineStr">
        <is>
          <t xml:space="preserve">ООО Промстеклоснаб  транспортные услуги </t>
        </is>
      </c>
      <c r="D45" s="107" t="n">
        <v>44000</v>
      </c>
      <c r="E45" s="108" t="n"/>
      <c r="F45" s="109" t="n"/>
      <c r="G45" s="110" t="n"/>
      <c r="H45" s="109" t="n"/>
      <c r="I45" s="86" t="n"/>
      <c r="J45" s="86" t="n"/>
    </row>
    <row r="46">
      <c r="A46" s="282" t="n"/>
      <c r="B46" s="281" t="n"/>
      <c r="C46" s="112" t="inlineStr">
        <is>
          <t>ООО Стэк сопровождение 1С</t>
        </is>
      </c>
      <c r="D46" s="107" t="n">
        <v>48926</v>
      </c>
      <c r="E46" s="110" t="n"/>
      <c r="F46" s="109" t="n"/>
      <c r="G46" s="110" t="n"/>
      <c r="H46" s="109" t="n"/>
      <c r="I46" s="86" t="n"/>
      <c r="J46" s="86" t="n"/>
    </row>
    <row r="47">
      <c r="A47" s="111" t="n"/>
      <c r="B47" s="283" t="n"/>
      <c r="C47" s="113" t="inlineStr">
        <is>
          <t xml:space="preserve">ИП Харламова  услуги предоставления персонала </t>
        </is>
      </c>
      <c r="D47" s="107" t="n">
        <v>259560</v>
      </c>
      <c r="E47" s="110" t="n"/>
      <c r="F47" s="109" t="n"/>
      <c r="G47" s="114" t="n"/>
      <c r="H47" s="109" t="n"/>
      <c r="I47" s="86" t="n"/>
      <c r="J47" s="86" t="n"/>
    </row>
    <row r="48">
      <c r="A48" s="115" t="n"/>
      <c r="B48" s="283" t="n"/>
      <c r="C48" s="113" t="inlineStr">
        <is>
          <t xml:space="preserve">ИП Головлин  аренда оборудования </t>
        </is>
      </c>
      <c r="D48" s="107" t="n">
        <v>400000</v>
      </c>
      <c r="E48" s="108" t="n"/>
      <c r="F48" s="116" t="n"/>
      <c r="G48" s="114" t="n"/>
      <c r="H48" s="109" t="n"/>
      <c r="I48" s="86" t="n"/>
      <c r="J48" s="86" t="n"/>
    </row>
    <row r="49">
      <c r="A49" s="117" t="n"/>
      <c r="B49" s="283" t="n"/>
      <c r="C49" s="113" t="n"/>
      <c r="D49" s="107" t="n"/>
      <c r="E49" s="118" t="n"/>
      <c r="F49" s="119" t="n"/>
      <c r="G49" s="120" t="n"/>
      <c r="H49" s="120" t="n"/>
      <c r="I49" s="86" t="n"/>
      <c r="J49" s="86" t="n"/>
    </row>
    <row r="50">
      <c r="A50" s="117" t="n"/>
      <c r="B50" s="283" t="n"/>
      <c r="C50" s="113" t="n"/>
      <c r="D50" s="107" t="n"/>
      <c r="E50" s="118" t="n"/>
      <c r="F50" s="119" t="n"/>
      <c r="G50" s="121" t="n"/>
      <c r="H50" s="120" t="n"/>
      <c r="I50" s="86" t="n"/>
      <c r="J50" s="86" t="n"/>
    </row>
    <row r="51">
      <c r="A51" s="122" t="n"/>
      <c r="B51" s="283" t="n"/>
      <c r="C51" s="113" t="n"/>
      <c r="D51" s="107" t="n"/>
      <c r="E51" s="118" t="n"/>
      <c r="F51" s="118" t="n"/>
      <c r="G51" s="123" t="n"/>
      <c r="H51" s="120" t="n"/>
      <c r="I51" s="86" t="n"/>
      <c r="J51" s="86" t="n"/>
    </row>
    <row r="52">
      <c r="A52" s="124" t="n"/>
      <c r="B52" s="284" t="n"/>
      <c r="C52" s="113" t="n"/>
      <c r="D52" s="107" t="n"/>
      <c r="E52" s="124" t="n"/>
      <c r="F52" s="118" t="n"/>
      <c r="G52" s="110" t="n"/>
      <c r="H52" s="120" t="n"/>
      <c r="I52" s="86" t="n"/>
      <c r="J52" s="86" t="n"/>
    </row>
    <row r="53">
      <c r="A53" s="124" t="n"/>
      <c r="B53" s="285" t="n"/>
      <c r="C53" s="110" t="n"/>
      <c r="D53" s="126" t="n"/>
      <c r="E53" s="124" t="n"/>
      <c r="F53" s="118" t="n"/>
      <c r="G53" s="110" t="n"/>
      <c r="H53" s="120" t="n"/>
      <c r="I53" s="86" t="n"/>
      <c r="J53" s="86" t="n"/>
    </row>
    <row r="54">
      <c r="A54" s="124" t="n"/>
      <c r="B54" s="285" t="n"/>
      <c r="C54" s="110" t="n"/>
      <c r="D54" s="126" t="n"/>
      <c r="E54" s="124" t="n"/>
      <c r="F54" s="118" t="n"/>
      <c r="G54" s="110" t="n"/>
      <c r="H54" s="120" t="n"/>
      <c r="I54" s="86" t="n"/>
      <c r="J54" s="86" t="n"/>
    </row>
    <row r="55">
      <c r="A55" s="124" t="n"/>
      <c r="B55" s="285" t="n"/>
      <c r="C55" s="110" t="n"/>
      <c r="D55" s="126" t="n"/>
      <c r="E55" s="124" t="n"/>
      <c r="F55" s="118" t="n"/>
      <c r="G55" s="110" t="n"/>
      <c r="H55" s="120" t="n"/>
      <c r="I55" s="86" t="n"/>
      <c r="J55" s="86" t="n"/>
    </row>
    <row r="56">
      <c r="A56" s="124" t="n"/>
      <c r="B56" s="28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7" t="n"/>
      <c r="B58" s="128">
        <f>SUM(B45:B57)+C42</f>
        <v/>
      </c>
      <c r="C58" s="129" t="n"/>
      <c r="D58" s="128">
        <f>SUM(D45:D57)</f>
        <v/>
      </c>
      <c r="E58" s="130" t="n"/>
      <c r="F58" s="130">
        <f>SUM(F45:F57)</f>
        <v/>
      </c>
      <c r="G58" s="130" t="n"/>
      <c r="H58" s="130">
        <f>SUM(H45:H57)</f>
        <v/>
      </c>
      <c r="I58" s="2" t="n"/>
      <c r="J58" s="2" t="n"/>
    </row>
    <row r="59">
      <c r="A59" s="131" t="inlineStr">
        <is>
          <t>Остаток на конец дня:</t>
        </is>
      </c>
      <c r="B59" s="132">
        <f>B58-D58</f>
        <v/>
      </c>
      <c r="C59" s="56" t="n"/>
      <c r="D59" s="47" t="n"/>
      <c r="E59" s="100" t="inlineStr">
        <is>
          <t>Остаток на конец дня:</t>
        </is>
      </c>
      <c r="F59" s="101">
        <f>G42+F58-H58</f>
        <v/>
      </c>
      <c r="G59" s="56" t="n"/>
      <c r="H59" s="47" t="n"/>
      <c r="I59" s="2" t="n"/>
      <c r="J59" s="2" t="n"/>
    </row>
    <row r="60">
      <c r="A60" s="133" t="inlineStr">
        <is>
          <t>ИТОГО:</t>
        </is>
      </c>
      <c r="B60" s="47" t="n"/>
      <c r="C60" s="134">
        <f>B59+F59</f>
        <v/>
      </c>
      <c r="D60" s="56" t="n"/>
      <c r="E60" s="56" t="n"/>
      <c r="F60" s="56" t="n"/>
      <c r="G60" s="56" t="n"/>
      <c r="H60" s="47" t="n"/>
      <c r="I60" s="2" t="n"/>
      <c r="J60" s="2" t="n"/>
    </row>
    <row r="61">
      <c r="A61" s="41" t="n"/>
      <c r="B61" s="94" t="n"/>
      <c r="C61" s="43" t="n"/>
      <c r="D61" s="41" t="n"/>
      <c r="E61" s="41" t="n"/>
      <c r="F61" s="41" t="n"/>
      <c r="G61" s="41" t="n"/>
      <c r="H61" s="93" t="n"/>
      <c r="I61" s="135" t="n"/>
      <c r="J61" s="135" t="n"/>
    </row>
    <row r="62">
      <c r="A62" s="136" t="n"/>
      <c r="B62" s="137" t="inlineStr">
        <is>
          <t>Реализация по безналичному расчёту</t>
        </is>
      </c>
      <c r="D62" s="2" t="n"/>
      <c r="E62" s="41" t="n"/>
      <c r="F62" s="41" t="n"/>
      <c r="G62" s="41" t="n"/>
      <c r="H62" s="138" t="n"/>
      <c r="I62" s="2" t="n"/>
      <c r="J62" s="2" t="n"/>
    </row>
    <row r="63">
      <c r="A63" s="139" t="inlineStr">
        <is>
          <t>Контрагент</t>
        </is>
      </c>
      <c r="B63" s="140" t="inlineStr">
        <is>
          <t>поставщик</t>
        </is>
      </c>
      <c r="C63" s="141" t="inlineStr">
        <is>
          <t>наименование</t>
        </is>
      </c>
      <c r="D63" s="142" t="inlineStr">
        <is>
          <t>вес упаковки, тарелки</t>
        </is>
      </c>
      <c r="E63" s="143" t="inlineStr">
        <is>
          <t>кол.-во пакетов, коробок</t>
        </is>
      </c>
      <c r="F63" s="144" t="inlineStr">
        <is>
          <t>кол-во мест в коробке/упаковке</t>
        </is>
      </c>
      <c r="G63" s="145" t="inlineStr">
        <is>
          <t>общий вес, кг.</t>
        </is>
      </c>
      <c r="H63" s="146" t="inlineStr">
        <is>
          <t>цена пакет, тарелка</t>
        </is>
      </c>
      <c r="I63" s="147" t="inlineStr">
        <is>
          <t>сумма</t>
        </is>
      </c>
      <c r="J63" s="148" t="inlineStr">
        <is>
          <t>Комментарий</t>
        </is>
      </c>
    </row>
    <row r="64">
      <c r="A64" s="150" t="n"/>
      <c r="B64" s="151" t="n"/>
      <c r="C64" s="272" t="n"/>
      <c r="D64" s="153" t="n"/>
      <c r="E64" s="154" t="n"/>
      <c r="F64" s="155" t="n"/>
      <c r="G64" s="154" t="n"/>
      <c r="H64" s="156" t="n"/>
      <c r="I64" s="156" t="n"/>
      <c r="J64" s="157" t="n"/>
    </row>
    <row r="65">
      <c r="A65" s="150" t="n"/>
      <c r="B65" s="151" t="n"/>
      <c r="C65" s="158" t="n"/>
      <c r="D65" s="153" t="n"/>
      <c r="E65" s="154" t="n"/>
      <c r="F65" s="155" t="n"/>
      <c r="G65" s="154" t="n"/>
      <c r="H65" s="156" t="n"/>
      <c r="I65" s="156" t="n"/>
      <c r="J65" s="159" t="n"/>
    </row>
    <row r="66">
      <c r="A66" s="150" t="n"/>
      <c r="B66" s="151" t="n"/>
      <c r="C66" s="158" t="n"/>
      <c r="D66" s="153" t="n"/>
      <c r="E66" s="154" t="n"/>
      <c r="F66" s="155" t="n"/>
      <c r="G66" s="154" t="n"/>
      <c r="H66" s="156" t="n"/>
      <c r="I66" s="156" t="n"/>
      <c r="J66" s="159" t="n"/>
    </row>
    <row r="67">
      <c r="A67" s="150" t="n"/>
      <c r="B67" s="151" t="n"/>
      <c r="C67" s="158" t="n"/>
      <c r="D67" s="153" t="n"/>
      <c r="E67" s="154" t="n"/>
      <c r="F67" s="155" t="n"/>
      <c r="G67" s="154" t="n"/>
      <c r="H67" s="156" t="n"/>
      <c r="I67" s="156" t="n"/>
      <c r="J67" s="159" t="n"/>
    </row>
    <row r="68">
      <c r="A68" s="150" t="n"/>
      <c r="B68" s="151" t="n"/>
      <c r="C68" s="152" t="n"/>
      <c r="D68" s="153" t="n"/>
      <c r="E68" s="154" t="n"/>
      <c r="F68" s="155" t="n"/>
      <c r="G68" s="154" t="n"/>
      <c r="H68" s="156" t="n"/>
      <c r="I68" s="156" t="n"/>
      <c r="J68" s="159" t="n"/>
    </row>
    <row r="69">
      <c r="A69" s="150" t="n"/>
      <c r="B69" s="151" t="n"/>
      <c r="C69" s="152" t="n"/>
      <c r="D69" s="153" t="n"/>
      <c r="E69" s="154" t="n"/>
      <c r="F69" s="155" t="n"/>
      <c r="G69" s="154" t="n"/>
      <c r="H69" s="156" t="n"/>
      <c r="I69" s="156" t="n"/>
      <c r="J69" s="159" t="n"/>
    </row>
    <row r="70">
      <c r="A70" s="150" t="n"/>
      <c r="B70" s="150" t="n"/>
      <c r="C70" s="160" t="n"/>
      <c r="D70" s="153" t="n"/>
      <c r="E70" s="154" t="n"/>
      <c r="F70" s="155" t="n"/>
      <c r="G70" s="154" t="n"/>
      <c r="H70" s="156" t="n"/>
      <c r="I70" s="156" t="n"/>
      <c r="J70" s="161" t="n"/>
    </row>
    <row r="71">
      <c r="A71" s="162" t="n"/>
      <c r="B71" s="163" t="n"/>
      <c r="C71" s="164" t="n"/>
      <c r="D71" s="165" t="n"/>
      <c r="E71" s="166" t="n"/>
      <c r="F71" s="167" t="n"/>
      <c r="G71" s="168" t="n"/>
      <c r="H71" s="169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62" t="n"/>
      <c r="B74" s="163" t="n"/>
      <c r="C74" s="171" t="n"/>
      <c r="D74" s="153" t="n"/>
      <c r="E74" s="172" t="n"/>
      <c r="F74" s="155" t="n"/>
      <c r="G74" s="168" t="n"/>
      <c r="H74" s="156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73" t="n"/>
      <c r="B76" s="174" t="n"/>
      <c r="C76" s="175" t="n"/>
      <c r="D76" s="176" t="n"/>
      <c r="E76" s="177" t="n"/>
      <c r="F76" s="178" t="n"/>
      <c r="G76" s="179" t="n"/>
      <c r="H76" s="180" t="n"/>
      <c r="I76" s="181" t="n"/>
      <c r="J76" s="161" t="n"/>
    </row>
    <row r="77">
      <c r="A77" s="182" t="n"/>
      <c r="B77" s="163" t="n"/>
      <c r="C77" s="183" t="n"/>
      <c r="D77" s="184" t="n"/>
      <c r="E77" s="166" t="n"/>
      <c r="F77" s="167" t="n"/>
      <c r="G77" s="185">
        <f>D77*F77</f>
        <v/>
      </c>
      <c r="H77" s="186" t="n"/>
      <c r="I77" s="186">
        <f>F77*H77*E77</f>
        <v/>
      </c>
      <c r="J77" s="187" t="n"/>
    </row>
    <row r="78">
      <c r="A78" s="182" t="n"/>
      <c r="B78" s="163" t="n"/>
      <c r="C78" s="188" t="n"/>
      <c r="D78" s="189" t="n"/>
      <c r="E78" s="190" t="n"/>
      <c r="F78" s="189" t="n"/>
      <c r="G78" s="185">
        <f>D78*F78</f>
        <v/>
      </c>
      <c r="H78" s="191" t="n"/>
      <c r="I78" s="186">
        <f>F78*H78*E78</f>
        <v/>
      </c>
      <c r="J78" s="187" t="n"/>
    </row>
    <row r="79">
      <c r="A79" s="192" t="inlineStr">
        <is>
          <t>ИТОГО:</t>
        </is>
      </c>
      <c r="B79" s="193" t="n"/>
      <c r="C79" s="194" t="n"/>
      <c r="D79" s="195" t="n"/>
      <c r="E79" s="196">
        <f>SUM(E64:E78)</f>
        <v/>
      </c>
      <c r="F79" s="197">
        <f>SUM(F64:F76)</f>
        <v/>
      </c>
      <c r="G79" s="198">
        <f>SUM(G64:G71)</f>
        <v/>
      </c>
      <c r="H79" s="199" t="n"/>
      <c r="I79" s="199">
        <f>SUM(I64:I72)</f>
        <v/>
      </c>
      <c r="J79" s="200" t="n"/>
    </row>
    <row r="80">
      <c r="A80" s="2" t="n"/>
      <c r="B80" s="94" t="n"/>
      <c r="C80" s="43" t="n"/>
      <c r="D80" s="41" t="n"/>
      <c r="E80" s="41" t="n"/>
      <c r="F80" s="41" t="n"/>
      <c r="G80" s="41" t="n"/>
      <c r="H80" s="2" t="n"/>
      <c r="I80" s="2" t="n"/>
      <c r="J80" s="2" t="n"/>
    </row>
    <row r="81">
      <c r="A81" s="201" t="inlineStr">
        <is>
          <t>реализация Всего касса+безнал:</t>
        </is>
      </c>
      <c r="B81" s="202" t="inlineStr">
        <is>
          <t>кг</t>
        </is>
      </c>
      <c r="C81" s="203" t="inlineStr">
        <is>
          <t>на сумму</t>
        </is>
      </c>
      <c r="D81" s="41" t="n"/>
      <c r="E81" s="41" t="n"/>
      <c r="F81" s="41" t="n"/>
      <c r="G81" s="41" t="n"/>
      <c r="H81" s="2" t="n"/>
      <c r="I81" s="2" t="n"/>
      <c r="J81" s="2" t="n"/>
    </row>
    <row r="82">
      <c r="A82" s="204" t="n"/>
      <c r="B82" s="205">
        <f>E12+G79</f>
        <v/>
      </c>
      <c r="C82" s="206">
        <f>I12+H79+I79</f>
        <v/>
      </c>
      <c r="D82" s="41" t="n"/>
      <c r="E82" s="41" t="n"/>
      <c r="F82" s="41" t="n"/>
      <c r="G82" s="41" t="n"/>
      <c r="H82" s="2" t="n"/>
      <c r="I82" s="2" t="n"/>
      <c r="J82" s="2" t="n"/>
    </row>
    <row r="83">
      <c r="A83" s="207" t="inlineStr">
        <is>
          <t>Услуги оказывают нам (доставка сырья и комплектующих на склад, Товара покупателям)</t>
        </is>
      </c>
      <c r="B83" s="54" t="n"/>
      <c r="C83" s="54" t="n"/>
      <c r="D83" s="54" t="n"/>
      <c r="E83" s="54" t="n"/>
      <c r="F83" s="54" t="n"/>
      <c r="G83" s="54" t="n"/>
      <c r="H83" s="54" t="n"/>
      <c r="I83" s="291" t="n"/>
      <c r="J83" s="58" t="n"/>
    </row>
    <row r="84">
      <c r="A84" s="209" t="inlineStr">
        <is>
          <t>Контрагент</t>
        </is>
      </c>
      <c r="B84" s="210" t="inlineStr">
        <is>
          <t>вид услуги</t>
        </is>
      </c>
      <c r="C84" s="211" t="inlineStr">
        <is>
          <t>Кому / От кого</t>
        </is>
      </c>
      <c r="D84" s="212" t="inlineStr">
        <is>
          <t>наименование</t>
        </is>
      </c>
      <c r="E84" s="213" t="inlineStr">
        <is>
          <t xml:space="preserve">город доставки </t>
        </is>
      </c>
      <c r="F84" s="214" t="inlineStr">
        <is>
          <t>цена</t>
        </is>
      </c>
      <c r="G84" s="213" t="inlineStr">
        <is>
          <t>сумма</t>
        </is>
      </c>
      <c r="H84" s="212" t="inlineStr">
        <is>
          <t>за тонну</t>
        </is>
      </c>
      <c r="I84" s="291" t="n"/>
      <c r="J84" s="58" t="n"/>
    </row>
    <row r="85">
      <c r="A85" s="215" t="n"/>
      <c r="B85" s="60" t="n"/>
      <c r="C85" s="63" t="n"/>
      <c r="D85" s="226" t="n"/>
      <c r="E85" s="317" t="n"/>
      <c r="F85" s="62" t="n"/>
      <c r="G85" s="218" t="n"/>
      <c r="H85" s="305" t="n"/>
      <c r="I85" s="291" t="n"/>
      <c r="J85" s="58" t="n"/>
    </row>
    <row r="86">
      <c r="A86" s="215" t="n"/>
      <c r="B86" s="60" t="n"/>
      <c r="C86" s="63" t="n"/>
      <c r="D86" s="226" t="n"/>
      <c r="E86" s="217" t="n"/>
      <c r="F86" s="62" t="n"/>
      <c r="G86" s="218" t="n"/>
      <c r="H86" s="305" t="n"/>
      <c r="I86" s="315" t="n"/>
      <c r="J86" s="58" t="n"/>
    </row>
    <row r="87">
      <c r="A87" s="220" t="n"/>
      <c r="B87" s="60" t="n"/>
      <c r="C87" s="221" t="n"/>
      <c r="D87" s="222" t="n"/>
      <c r="E87" s="274" t="n"/>
      <c r="F87" s="223" t="n"/>
      <c r="G87" s="218" t="n"/>
      <c r="H87" s="305" t="n"/>
      <c r="I87" s="2" t="n"/>
      <c r="J87" s="2" t="n"/>
    </row>
    <row r="88">
      <c r="A88" s="220" t="n"/>
      <c r="B88" s="60" t="n"/>
      <c r="C88" s="221" t="n"/>
      <c r="D88" s="222" t="n"/>
      <c r="E88" s="274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74" t="n"/>
      <c r="F89" s="223" t="n"/>
      <c r="G89" s="218" t="n"/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F90+F1208</f>
        <v/>
      </c>
      <c r="H90" s="219" t="n"/>
      <c r="I90" s="2" t="n"/>
      <c r="J90" s="2" t="n"/>
    </row>
    <row r="91">
      <c r="A91" s="220" t="n"/>
      <c r="B91" s="60" t="n"/>
      <c r="C91" s="221" t="n"/>
      <c r="D91" s="226" t="n"/>
      <c r="E91" s="227" t="n"/>
      <c r="F91" s="223" t="n"/>
      <c r="G91" s="218">
        <f>F91+F1209</f>
        <v/>
      </c>
      <c r="H91" s="219" t="n"/>
      <c r="I91" s="2" t="n"/>
      <c r="J91" s="2" t="n"/>
    </row>
    <row r="92">
      <c r="A92" s="220" t="n"/>
      <c r="B92" s="60" t="n"/>
      <c r="C92" s="221" t="n"/>
      <c r="D92" s="226" t="n"/>
      <c r="E92" s="227" t="n"/>
      <c r="F92" s="223" t="n"/>
      <c r="G92" s="218">
        <f>F92+F1210</f>
        <v/>
      </c>
      <c r="H92" s="228" t="n"/>
      <c r="I92" s="2" t="n"/>
      <c r="J92" s="2" t="n"/>
    </row>
    <row r="93">
      <c r="A93" s="229" t="inlineStr">
        <is>
          <t>ИТОГО:</t>
        </is>
      </c>
      <c r="B93" s="230" t="n"/>
      <c r="C93" s="231" t="n"/>
      <c r="D93" s="232" t="n"/>
      <c r="E93" s="233">
        <f>SUM(E85:E92)</f>
        <v/>
      </c>
      <c r="F93" s="234" t="n"/>
      <c r="G93" s="235">
        <f>SUM(G85:G92)</f>
        <v/>
      </c>
      <c r="H93" s="235" t="n"/>
      <c r="I93" s="2" t="n"/>
      <c r="J93" s="2" t="n"/>
    </row>
    <row r="94">
      <c r="A94" s="41" t="n"/>
      <c r="B94" s="94" t="n"/>
      <c r="C94" s="43" t="n"/>
      <c r="D94" s="41" t="n"/>
      <c r="E94" s="41" t="n"/>
      <c r="F94" s="41" t="n"/>
      <c r="G94" s="41" t="n"/>
      <c r="H94" s="41" t="n"/>
      <c r="I94" s="2" t="n"/>
      <c r="J94" s="2" t="n"/>
    </row>
    <row r="95">
      <c r="A95" s="236" t="inlineStr">
        <is>
          <t>Услуги оказываем мы</t>
        </is>
      </c>
      <c r="B95" s="54" t="n"/>
      <c r="C95" s="54" t="n"/>
      <c r="D95" s="54" t="n"/>
      <c r="E95" s="54" t="n"/>
      <c r="F95" s="54" t="n"/>
      <c r="G95" s="54" t="n"/>
      <c r="H95" s="54" t="n"/>
      <c r="I95" s="237" t="n"/>
      <c r="J95" s="2" t="n"/>
    </row>
    <row r="96">
      <c r="A96" s="209" t="inlineStr">
        <is>
          <t>Контрагент</t>
        </is>
      </c>
      <c r="B96" s="238" t="inlineStr">
        <is>
          <t>вид услуги</t>
        </is>
      </c>
      <c r="C96" s="239" t="inlineStr">
        <is>
          <t>наименование</t>
        </is>
      </c>
      <c r="D96" s="240" t="inlineStr">
        <is>
          <t>вес, кг, шт</t>
        </is>
      </c>
      <c r="E96" s="240" t="inlineStr">
        <is>
          <t>цена</t>
        </is>
      </c>
      <c r="F96" s="240" t="inlineStr">
        <is>
          <t>сумма</t>
        </is>
      </c>
      <c r="G96" s="213" t="inlineStr">
        <is>
          <t>№УПД</t>
        </is>
      </c>
      <c r="H96" s="213" t="n"/>
      <c r="I96" s="2" t="n"/>
      <c r="J96" s="2" t="n"/>
    </row>
    <row r="97">
      <c r="A97" s="275" t="n"/>
      <c r="B97" s="276" t="n"/>
      <c r="C97" s="243" t="n"/>
      <c r="D97" s="244" t="n"/>
      <c r="E97" s="277" t="n"/>
      <c r="F97" s="278" t="n"/>
      <c r="G97" s="247" t="n"/>
      <c r="H97" s="248" t="n"/>
      <c r="I97" s="2" t="n"/>
      <c r="J97" s="2" t="n"/>
    </row>
    <row r="98">
      <c r="A98" s="249" t="n"/>
      <c r="B98" s="250" t="n"/>
      <c r="C98" s="251" t="n"/>
      <c r="D98" s="252" t="n"/>
      <c r="E98" s="253" t="n"/>
      <c r="F98" s="254">
        <f>D98*E98</f>
        <v/>
      </c>
      <c r="G98" s="255" t="n"/>
      <c r="H98" s="256" t="n"/>
      <c r="I98" s="2" t="n"/>
      <c r="J98" s="2" t="n"/>
    </row>
    <row r="99">
      <c r="A99" s="257" t="n"/>
      <c r="B99" s="258" t="n"/>
      <c r="C99" s="257" t="n"/>
      <c r="D99" s="257" t="n"/>
      <c r="E99" s="257" t="n"/>
      <c r="F99" s="254">
        <f>D99*E99</f>
        <v/>
      </c>
      <c r="G99" s="257" t="n"/>
      <c r="H99" s="257" t="n"/>
      <c r="I99" s="2" t="n"/>
      <c r="J99" s="2" t="n"/>
    </row>
    <row r="100">
      <c r="A100" s="249" t="n"/>
      <c r="B100" s="258" t="n"/>
      <c r="C100" s="257" t="n"/>
      <c r="D100" s="259" t="n"/>
      <c r="E100" s="257" t="n"/>
      <c r="F100" s="260" t="n"/>
      <c r="G100" s="257" t="n"/>
      <c r="H100" s="257" t="n"/>
      <c r="I100" s="2" t="n"/>
      <c r="J100" s="2" t="n"/>
    </row>
    <row r="101">
      <c r="A101" s="2" t="n"/>
      <c r="B101" s="261" t="n"/>
      <c r="C101" s="2" t="n"/>
      <c r="D101" s="2" t="n"/>
      <c r="E101" s="2" t="n"/>
      <c r="F101" s="262" t="n"/>
      <c r="G101" s="2" t="n"/>
      <c r="H101" s="2" t="n"/>
      <c r="I101" s="263" t="n"/>
      <c r="J101" s="264" t="n"/>
    </row>
  </sheetData>
  <mergeCells count="6">
    <mergeCell ref="A1:J1"/>
    <mergeCell ref="A83:H83"/>
    <mergeCell ref="A95:H95"/>
    <mergeCell ref="A17:H17"/>
    <mergeCell ref="A2:J2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8.875" customWidth="1" min="6" max="6"/>
    <col width="9.625" customWidth="1" min="7" max="7"/>
    <col width="11.12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n"/>
      <c r="C4" s="268" t="n"/>
      <c r="D4" s="51" t="n"/>
      <c r="E4" s="17" t="n"/>
      <c r="F4" s="17" t="n"/>
      <c r="G4" s="270" t="n"/>
      <c r="H4" s="19" t="n"/>
      <c r="I4" s="19" t="n"/>
      <c r="J4" s="20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44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244" t="n"/>
      <c r="C7" s="268" t="n"/>
      <c r="D7" s="51" t="n"/>
      <c r="E7" s="17" t="n"/>
      <c r="F7" s="17" t="n"/>
      <c r="G7" s="270" t="n"/>
      <c r="H7" s="19" t="n"/>
      <c r="I7" s="19" t="n"/>
      <c r="J7" s="20" t="n"/>
    </row>
    <row r="8">
      <c r="A8" s="13" t="n"/>
      <c r="B8" s="244" t="n"/>
      <c r="C8" s="268" t="n"/>
      <c r="D8" s="51" t="n"/>
      <c r="E8" s="17" t="n"/>
      <c r="F8" s="17" t="n"/>
      <c r="G8" s="17" t="n"/>
      <c r="H8" s="19" t="n"/>
      <c r="I8" s="19" t="n"/>
      <c r="J8" s="20" t="n"/>
    </row>
    <row r="9">
      <c r="A9" s="13" t="n"/>
      <c r="B9" s="244" t="n"/>
      <c r="C9" s="268" t="n"/>
      <c r="D9" s="51" t="n"/>
      <c r="E9" s="17" t="n"/>
      <c r="F9" s="17" t="n"/>
      <c r="G9" s="17" t="n"/>
      <c r="H9" s="19" t="n"/>
      <c r="I9" s="19" t="n"/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197093.39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286" t="inlineStr">
        <is>
          <t>поступление от ИП2</t>
        </is>
      </c>
      <c r="B20" s="293" t="n"/>
      <c r="C20" s="287" t="n">
        <v>0</v>
      </c>
      <c r="D20" s="287" t="n">
        <v>0</v>
      </c>
      <c r="E20" s="306" t="n"/>
      <c r="F20" s="307" t="n"/>
      <c r="G20" s="308" t="n"/>
      <c r="H20" s="309">
        <f>F20*G20</f>
        <v/>
      </c>
      <c r="I20" s="289" t="inlineStr">
        <is>
          <t>редакция</t>
        </is>
      </c>
      <c r="J20" s="2" t="n"/>
    </row>
    <row r="21">
      <c r="A21" s="66" t="n"/>
      <c r="B21" s="67" t="n"/>
      <c r="C21" s="68" t="n"/>
      <c r="D21" s="68" t="n"/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2" t="n"/>
      <c r="J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81" t="inlineStr">
        <is>
          <t>уборка</t>
        </is>
      </c>
      <c r="B27" s="67" t="n"/>
      <c r="C27" s="68" t="n">
        <v>2000</v>
      </c>
      <c r="D27" s="68" t="n">
        <v>2000</v>
      </c>
      <c r="E27" s="76" t="n"/>
      <c r="F27" s="78" t="n"/>
      <c r="G27" s="79" t="n"/>
      <c r="H27" s="80" t="n"/>
      <c r="I27" s="2" t="n"/>
      <c r="J27" s="2" t="n"/>
    </row>
    <row r="28">
      <c r="A28" s="69" t="inlineStr">
        <is>
          <t>з/п</t>
        </is>
      </c>
      <c r="B28" s="67" t="n"/>
      <c r="C28" s="68" t="n">
        <v>173900</v>
      </c>
      <c r="D28" s="68" t="n">
        <v>173900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inlineStr">
        <is>
          <t>манипулятор (разгружали биг-беги)</t>
        </is>
      </c>
      <c r="B29" s="67" t="n"/>
      <c r="C29" s="68" t="n">
        <v>6000</v>
      </c>
      <c r="D29" s="74" t="n">
        <v>6000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81" t="n"/>
      <c r="B30" s="67" t="n"/>
      <c r="C30" s="68" t="n"/>
      <c r="D30" s="68" t="n"/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n"/>
      <c r="B31" s="67" t="n"/>
      <c r="C31" s="68" t="n"/>
      <c r="D31" s="74" t="n"/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n"/>
      <c r="B32" s="67" t="n"/>
      <c r="C32" s="68" t="n"/>
      <c r="D32" s="74" t="n"/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5" t="n"/>
      <c r="E34" s="76" t="n"/>
      <c r="F34" s="78" t="n"/>
      <c r="G34" s="79" t="n"/>
      <c r="H34" s="72">
        <f>F34*G34</f>
        <v/>
      </c>
      <c r="I34" s="313" t="n"/>
      <c r="J34" s="2" t="n"/>
    </row>
    <row r="35">
      <c r="A35" s="69" t="n"/>
      <c r="B35" s="67" t="n"/>
      <c r="C35" s="68" t="n"/>
      <c r="D35" s="75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83" t="n"/>
      <c r="B37" s="67" t="n"/>
      <c r="C37" s="68" t="n"/>
      <c r="D37" s="84" t="n"/>
      <c r="E37" s="85" t="inlineStr">
        <is>
          <t>Итого расход:</t>
        </is>
      </c>
      <c r="F37" s="78" t="n"/>
      <c r="G37" s="79" t="n"/>
      <c r="H37" s="72">
        <f>F37*G37</f>
        <v/>
      </c>
      <c r="I37" s="86" t="n"/>
      <c r="J37" s="86" t="n"/>
    </row>
    <row r="38">
      <c r="A38" s="87" t="inlineStr">
        <is>
          <t>Остаток на конец дня:</t>
        </is>
      </c>
      <c r="B38" s="88" t="n"/>
      <c r="C38" s="89" t="n"/>
      <c r="D38" s="90">
        <f>SUM(D20,D21:D24,D19,)-SUM(D27:D37,)</f>
        <v/>
      </c>
      <c r="E38" s="87" t="inlineStr">
        <is>
          <t>Остаток на конец дня:</t>
        </is>
      </c>
      <c r="F38" s="91" t="n"/>
      <c r="G38" s="89" t="n"/>
      <c r="H38" s="92">
        <f>SUM(H19+H25-H37)</f>
        <v/>
      </c>
      <c r="I38" s="2" t="n"/>
      <c r="J38" s="2" t="n"/>
    </row>
    <row r="39">
      <c r="A39" s="93" t="n"/>
      <c r="B39" s="94" t="n"/>
      <c r="C39" s="43" t="n"/>
      <c r="D39" s="41" t="n"/>
      <c r="E39" s="41" t="n"/>
      <c r="F39" s="41" t="n"/>
      <c r="G39" s="2" t="n"/>
      <c r="H39" s="2" t="n"/>
      <c r="I39" s="2" t="n"/>
      <c r="J39" s="2" t="n"/>
    </row>
    <row r="40">
      <c r="A40" s="95" t="inlineStr">
        <is>
          <t>Расчётный счёт</t>
        </is>
      </c>
      <c r="B40" s="54" t="n"/>
      <c r="C40" s="54" t="n"/>
      <c r="D40" s="54" t="n"/>
      <c r="E40" s="54" t="n"/>
      <c r="F40" s="54" t="n"/>
      <c r="G40" s="54" t="n"/>
      <c r="H40" s="54" t="n"/>
      <c r="I40" s="2" t="n"/>
      <c r="J40" s="2" t="n"/>
    </row>
    <row r="41">
      <c r="A41" s="96" t="inlineStr">
        <is>
          <t>ВТБ</t>
        </is>
      </c>
      <c r="B41" s="279" t="inlineStr">
        <is>
          <t>ВТБ</t>
        </is>
      </c>
      <c r="C41" s="279" t="n"/>
      <c r="D41" s="47" t="n"/>
      <c r="E41" s="97" t="inlineStr">
        <is>
          <t>Альфабанк</t>
        </is>
      </c>
      <c r="F41" s="56" t="n"/>
      <c r="G41" s="56" t="n"/>
      <c r="H41" s="47" t="n"/>
      <c r="I41" s="2" t="n"/>
      <c r="J41" s="2" t="n"/>
    </row>
    <row r="42">
      <c r="A42" s="98" t="inlineStr">
        <is>
          <t>Остаток на начало дня:</t>
        </is>
      </c>
      <c r="B42" s="280" t="n"/>
      <c r="C42" s="290" t="n">
        <v>298069.23</v>
      </c>
      <c r="D42" s="56" t="n"/>
      <c r="E42" s="100" t="inlineStr">
        <is>
          <t>Остаток на начало дня:</t>
        </is>
      </c>
      <c r="F42" s="47" t="n"/>
      <c r="G42" s="101" t="n">
        <v>1506.2</v>
      </c>
      <c r="H42" s="47" t="n"/>
      <c r="I42" s="2" t="n"/>
      <c r="J42" s="2" t="n"/>
    </row>
    <row r="43">
      <c r="A43" s="102" t="inlineStr">
        <is>
          <t>Поступление</t>
        </is>
      </c>
      <c r="B43" s="47" t="n"/>
      <c r="C43" s="102" t="inlineStr">
        <is>
          <t>Расход</t>
        </is>
      </c>
      <c r="D43" s="47" t="n"/>
      <c r="E43" s="102" t="inlineStr">
        <is>
          <t>Поступление</t>
        </is>
      </c>
      <c r="F43" s="47" t="n"/>
      <c r="G43" s="102" t="inlineStr">
        <is>
          <t>Расход</t>
        </is>
      </c>
      <c r="H43" s="47" t="n"/>
      <c r="I43" s="86" t="n"/>
      <c r="J43" s="86" t="n"/>
    </row>
    <row r="44">
      <c r="A44" s="103" t="inlineStr">
        <is>
          <t>от кого</t>
        </is>
      </c>
      <c r="B44" s="103" t="inlineStr">
        <is>
          <t>сумма</t>
        </is>
      </c>
      <c r="C44" s="103" t="inlineStr">
        <is>
          <t>кому</t>
        </is>
      </c>
      <c r="D44" s="103" t="inlineStr">
        <is>
          <t>сумма</t>
        </is>
      </c>
      <c r="E44" s="103" t="inlineStr">
        <is>
          <t>от кого</t>
        </is>
      </c>
      <c r="F44" s="103" t="inlineStr">
        <is>
          <t>сумма</t>
        </is>
      </c>
      <c r="G44" s="103" t="inlineStr">
        <is>
          <t xml:space="preserve">кому </t>
        </is>
      </c>
      <c r="H44" s="103" t="inlineStr">
        <is>
          <t>сумма</t>
        </is>
      </c>
      <c r="I44" s="86" t="n"/>
      <c r="J44" s="86" t="n"/>
    </row>
    <row r="45">
      <c r="A45" s="104" t="n"/>
      <c r="B45" s="281" t="n"/>
      <c r="C45" s="106" t="n"/>
      <c r="D45" s="107" t="n"/>
      <c r="E45" s="108" t="n"/>
      <c r="F45" s="109" t="n"/>
      <c r="G45" s="110" t="n"/>
      <c r="H45" s="109" t="n"/>
      <c r="I45" s="86" t="n"/>
      <c r="J45" s="86" t="n"/>
    </row>
    <row r="46">
      <c r="A46" s="282" t="n"/>
      <c r="B46" s="281" t="n"/>
      <c r="C46" s="112" t="n"/>
      <c r="D46" s="107" t="n"/>
      <c r="E46" s="110" t="n"/>
      <c r="F46" s="109" t="n"/>
      <c r="G46" s="110" t="n"/>
      <c r="H46" s="109" t="n"/>
      <c r="I46" s="86" t="n"/>
      <c r="J46" s="86" t="n"/>
    </row>
    <row r="47">
      <c r="A47" s="111" t="n"/>
      <c r="B47" s="283" t="n"/>
      <c r="C47" s="113" t="n"/>
      <c r="D47" s="107" t="n"/>
      <c r="E47" s="110" t="n"/>
      <c r="F47" s="109" t="n"/>
      <c r="G47" s="114" t="n"/>
      <c r="H47" s="109" t="n"/>
      <c r="I47" s="86" t="n"/>
      <c r="J47" s="86" t="n"/>
    </row>
    <row r="48">
      <c r="A48" s="115" t="n"/>
      <c r="B48" s="283" t="n"/>
      <c r="C48" s="113" t="n"/>
      <c r="D48" s="107" t="n"/>
      <c r="E48" s="108" t="n"/>
      <c r="F48" s="116" t="n"/>
      <c r="G48" s="114" t="n"/>
      <c r="H48" s="109" t="n"/>
      <c r="I48" s="86" t="n"/>
      <c r="J48" s="86" t="n"/>
    </row>
    <row r="49">
      <c r="A49" s="117" t="n"/>
      <c r="B49" s="283" t="n"/>
      <c r="C49" s="113" t="n"/>
      <c r="D49" s="107" t="n"/>
      <c r="E49" s="118" t="n"/>
      <c r="F49" s="119" t="n"/>
      <c r="G49" s="120" t="n"/>
      <c r="H49" s="120" t="n"/>
      <c r="I49" s="86" t="n"/>
      <c r="J49" s="86" t="n"/>
    </row>
    <row r="50">
      <c r="A50" s="117" t="n"/>
      <c r="B50" s="283" t="n"/>
      <c r="C50" s="113" t="n"/>
      <c r="D50" s="107" t="n"/>
      <c r="E50" s="118" t="n"/>
      <c r="F50" s="119" t="n"/>
      <c r="G50" s="121" t="n"/>
      <c r="H50" s="120" t="n"/>
      <c r="I50" s="86" t="n"/>
      <c r="J50" s="86" t="n"/>
    </row>
    <row r="51">
      <c r="A51" s="122" t="n"/>
      <c r="B51" s="283" t="n"/>
      <c r="C51" s="113" t="n"/>
      <c r="D51" s="107" t="n"/>
      <c r="E51" s="118" t="n"/>
      <c r="F51" s="118" t="n"/>
      <c r="G51" s="123" t="n"/>
      <c r="H51" s="120" t="n"/>
      <c r="I51" s="86" t="n"/>
      <c r="J51" s="86" t="n"/>
    </row>
    <row r="52">
      <c r="A52" s="124" t="n"/>
      <c r="B52" s="284" t="n"/>
      <c r="C52" s="113" t="n"/>
      <c r="D52" s="107" t="n"/>
      <c r="E52" s="124" t="n"/>
      <c r="F52" s="118" t="n"/>
      <c r="G52" s="110" t="n"/>
      <c r="H52" s="120" t="n"/>
      <c r="I52" s="86" t="n"/>
      <c r="J52" s="86" t="n"/>
    </row>
    <row r="53">
      <c r="A53" s="124" t="n"/>
      <c r="B53" s="285" t="n"/>
      <c r="C53" s="110" t="n"/>
      <c r="D53" s="126" t="n"/>
      <c r="E53" s="124" t="n"/>
      <c r="F53" s="118" t="n"/>
      <c r="G53" s="110" t="n"/>
      <c r="H53" s="120" t="n"/>
      <c r="I53" s="86" t="n"/>
      <c r="J53" s="86" t="n"/>
    </row>
    <row r="54">
      <c r="A54" s="124" t="n"/>
      <c r="B54" s="285" t="n"/>
      <c r="C54" s="110" t="n"/>
      <c r="D54" s="126" t="n"/>
      <c r="E54" s="124" t="n"/>
      <c r="F54" s="118" t="n"/>
      <c r="G54" s="110" t="n"/>
      <c r="H54" s="120" t="n"/>
      <c r="I54" s="86" t="n"/>
      <c r="J54" s="86" t="n"/>
    </row>
    <row r="55">
      <c r="A55" s="124" t="n"/>
      <c r="B55" s="285" t="n"/>
      <c r="C55" s="110" t="n"/>
      <c r="D55" s="126" t="n"/>
      <c r="E55" s="124" t="n"/>
      <c r="F55" s="118" t="n"/>
      <c r="G55" s="110" t="n"/>
      <c r="H55" s="120" t="n"/>
      <c r="I55" s="86" t="n"/>
      <c r="J55" s="86" t="n"/>
    </row>
    <row r="56">
      <c r="A56" s="124" t="n"/>
      <c r="B56" s="28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7" t="n"/>
      <c r="B58" s="128" t="n">
        <v>0</v>
      </c>
      <c r="C58" s="129" t="n"/>
      <c r="D58" s="128">
        <f>SUM(D45:D57)</f>
        <v/>
      </c>
      <c r="E58" s="130" t="n"/>
      <c r="F58" s="130">
        <f>SUM(F45:F57)</f>
        <v/>
      </c>
      <c r="G58" s="130" t="n"/>
      <c r="H58" s="130">
        <f>SUM(H45:H57)</f>
        <v/>
      </c>
      <c r="I58" s="2" t="n"/>
      <c r="J58" s="2" t="n"/>
    </row>
    <row r="59">
      <c r="A59" s="131" t="inlineStr">
        <is>
          <t>Остаток на конец дня:</t>
        </is>
      </c>
      <c r="B59" s="132" t="n">
        <v>298069.23</v>
      </c>
      <c r="C59" s="56" t="n"/>
      <c r="D59" s="47" t="n"/>
      <c r="E59" s="100" t="inlineStr">
        <is>
          <t>Остаток на конец дня:</t>
        </is>
      </c>
      <c r="F59" s="101" t="n">
        <v>1506.2</v>
      </c>
      <c r="G59" s="56" t="n"/>
      <c r="H59" s="47" t="n"/>
      <c r="I59" s="2" t="n"/>
      <c r="J59" s="2" t="n"/>
    </row>
    <row r="60">
      <c r="A60" s="318" t="inlineStr">
        <is>
          <t>ИТОГО:</t>
        </is>
      </c>
      <c r="B60" s="319" t="n"/>
      <c r="C60" s="320">
        <f>B59+F59</f>
        <v/>
      </c>
      <c r="D60" s="321" t="n"/>
      <c r="E60" s="321" t="n"/>
      <c r="F60" s="321" t="n"/>
      <c r="G60" s="321" t="n"/>
      <c r="H60" s="319" t="n"/>
      <c r="I60" s="289" t="inlineStr">
        <is>
          <t xml:space="preserve">редакция </t>
        </is>
      </c>
      <c r="J60" s="2" t="n"/>
    </row>
    <row r="61">
      <c r="A61" s="41" t="n"/>
      <c r="B61" s="94" t="n"/>
      <c r="C61" s="43" t="n"/>
      <c r="D61" s="41" t="n"/>
      <c r="E61" s="41" t="n"/>
      <c r="F61" s="41" t="n"/>
      <c r="G61" s="41" t="n"/>
      <c r="H61" s="93" t="n"/>
      <c r="I61" s="135" t="n"/>
      <c r="J61" s="135" t="n"/>
    </row>
    <row r="62">
      <c r="A62" s="136" t="n"/>
      <c r="B62" s="137" t="inlineStr">
        <is>
          <t>Реализация по безналичному расчёту</t>
        </is>
      </c>
      <c r="D62" s="2" t="n"/>
      <c r="E62" s="41" t="n"/>
      <c r="F62" s="41" t="n"/>
      <c r="G62" s="41" t="n"/>
      <c r="H62" s="138" t="n"/>
      <c r="I62" s="2" t="n"/>
      <c r="J62" s="2" t="n"/>
    </row>
    <row r="63">
      <c r="A63" s="139" t="inlineStr">
        <is>
          <t>Контрагент</t>
        </is>
      </c>
      <c r="B63" s="140" t="inlineStr">
        <is>
          <t>поставщик</t>
        </is>
      </c>
      <c r="C63" s="141" t="inlineStr">
        <is>
          <t>наименование</t>
        </is>
      </c>
      <c r="D63" s="142" t="inlineStr">
        <is>
          <t>вес упаковки, тарелки</t>
        </is>
      </c>
      <c r="E63" s="143" t="inlineStr">
        <is>
          <t>кол.-во пакетов, коробок</t>
        </is>
      </c>
      <c r="F63" s="144" t="inlineStr">
        <is>
          <t>кол-во мест в коробке/упаковке</t>
        </is>
      </c>
      <c r="G63" s="145" t="inlineStr">
        <is>
          <t>общий вес, кг.</t>
        </is>
      </c>
      <c r="H63" s="146" t="inlineStr">
        <is>
          <t>цена пакет, тарелка</t>
        </is>
      </c>
      <c r="I63" s="147" t="inlineStr">
        <is>
          <t>сумма</t>
        </is>
      </c>
      <c r="J63" s="148" t="inlineStr">
        <is>
          <t>Комментарий</t>
        </is>
      </c>
    </row>
    <row r="64">
      <c r="A64" s="150" t="n"/>
      <c r="B64" s="151" t="n"/>
      <c r="C64" s="272" t="n"/>
      <c r="D64" s="153" t="n"/>
      <c r="E64" s="154" t="n"/>
      <c r="F64" s="155" t="n"/>
      <c r="G64" s="154" t="n"/>
      <c r="H64" s="156" t="n"/>
      <c r="I64" s="156" t="n"/>
      <c r="J64" s="157" t="n"/>
    </row>
    <row r="65">
      <c r="A65" s="150" t="n"/>
      <c r="B65" s="151" t="n"/>
      <c r="C65" s="158" t="n"/>
      <c r="D65" s="153" t="n"/>
      <c r="E65" s="154" t="n"/>
      <c r="F65" s="155" t="n"/>
      <c r="G65" s="154" t="n"/>
      <c r="H65" s="156" t="n"/>
      <c r="I65" s="156" t="n"/>
      <c r="J65" s="159" t="n"/>
    </row>
    <row r="66">
      <c r="A66" s="150" t="n"/>
      <c r="B66" s="151" t="n"/>
      <c r="C66" s="158" t="n"/>
      <c r="D66" s="153" t="n"/>
      <c r="E66" s="154" t="n"/>
      <c r="F66" s="155" t="n"/>
      <c r="G66" s="154" t="n"/>
      <c r="H66" s="156" t="n"/>
      <c r="I66" s="156" t="n"/>
      <c r="J66" s="159" t="n"/>
    </row>
    <row r="67">
      <c r="A67" s="150" t="n"/>
      <c r="B67" s="151" t="n"/>
      <c r="C67" s="158" t="n"/>
      <c r="D67" s="153" t="n"/>
      <c r="E67" s="154" t="n"/>
      <c r="F67" s="155" t="n"/>
      <c r="G67" s="154" t="n"/>
      <c r="H67" s="156" t="n"/>
      <c r="I67" s="156" t="n"/>
      <c r="J67" s="159" t="n"/>
    </row>
    <row r="68">
      <c r="A68" s="150" t="n"/>
      <c r="B68" s="151" t="n"/>
      <c r="C68" s="152" t="n"/>
      <c r="D68" s="153" t="n"/>
      <c r="E68" s="154" t="n"/>
      <c r="F68" s="155" t="n"/>
      <c r="G68" s="154" t="n"/>
      <c r="H68" s="156" t="n"/>
      <c r="I68" s="156" t="n"/>
      <c r="J68" s="159" t="n"/>
    </row>
    <row r="69">
      <c r="A69" s="150" t="n"/>
      <c r="B69" s="151" t="n"/>
      <c r="C69" s="152" t="n"/>
      <c r="D69" s="153" t="n"/>
      <c r="E69" s="154" t="n"/>
      <c r="F69" s="155" t="n"/>
      <c r="G69" s="154" t="n"/>
      <c r="H69" s="156" t="n"/>
      <c r="I69" s="156" t="n"/>
      <c r="J69" s="159" t="n"/>
    </row>
    <row r="70">
      <c r="A70" s="150" t="n"/>
      <c r="B70" s="150" t="n"/>
      <c r="C70" s="160" t="n"/>
      <c r="D70" s="153" t="n"/>
      <c r="E70" s="154" t="n"/>
      <c r="F70" s="155" t="n"/>
      <c r="G70" s="154" t="n"/>
      <c r="H70" s="156" t="n"/>
      <c r="I70" s="156" t="n"/>
      <c r="J70" s="161" t="n"/>
    </row>
    <row r="71">
      <c r="A71" s="162" t="n"/>
      <c r="B71" s="163" t="n"/>
      <c r="C71" s="164" t="n"/>
      <c r="D71" s="165" t="n"/>
      <c r="E71" s="166" t="n"/>
      <c r="F71" s="167" t="n"/>
      <c r="G71" s="168" t="n"/>
      <c r="H71" s="169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62" t="n"/>
      <c r="B74" s="163" t="n"/>
      <c r="C74" s="171" t="n"/>
      <c r="D74" s="153" t="n"/>
      <c r="E74" s="172" t="n"/>
      <c r="F74" s="155" t="n"/>
      <c r="G74" s="168" t="n"/>
      <c r="H74" s="156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73" t="n"/>
      <c r="B76" s="174" t="n"/>
      <c r="C76" s="175" t="n"/>
      <c r="D76" s="176" t="n"/>
      <c r="E76" s="177" t="n"/>
      <c r="F76" s="178" t="n"/>
      <c r="G76" s="179" t="n"/>
      <c r="H76" s="180" t="n"/>
      <c r="I76" s="181" t="n"/>
      <c r="J76" s="161" t="n"/>
    </row>
    <row r="77">
      <c r="A77" s="182" t="n"/>
      <c r="B77" s="163" t="n"/>
      <c r="C77" s="183" t="n"/>
      <c r="D77" s="184" t="n"/>
      <c r="E77" s="166" t="n"/>
      <c r="F77" s="167" t="n"/>
      <c r="G77" s="185">
        <f>D77*F77</f>
        <v/>
      </c>
      <c r="H77" s="186" t="n"/>
      <c r="I77" s="186">
        <f>F77*H77*E77</f>
        <v/>
      </c>
      <c r="J77" s="187" t="n"/>
    </row>
    <row r="78">
      <c r="A78" s="182" t="n"/>
      <c r="B78" s="163" t="n"/>
      <c r="C78" s="188" t="n"/>
      <c r="D78" s="189" t="n"/>
      <c r="E78" s="190" t="n"/>
      <c r="F78" s="189" t="n"/>
      <c r="G78" s="185">
        <f>D78*F78</f>
        <v/>
      </c>
      <c r="H78" s="191" t="n"/>
      <c r="I78" s="186">
        <f>F78*H78*E78</f>
        <v/>
      </c>
      <c r="J78" s="187" t="n"/>
    </row>
    <row r="79">
      <c r="A79" s="192" t="inlineStr">
        <is>
          <t>ИТОГО:</t>
        </is>
      </c>
      <c r="B79" s="193" t="n"/>
      <c r="C79" s="194" t="n"/>
      <c r="D79" s="195" t="n"/>
      <c r="E79" s="196">
        <f>SUM(E64:E78)</f>
        <v/>
      </c>
      <c r="F79" s="197">
        <f>SUM(F64:F76)</f>
        <v/>
      </c>
      <c r="G79" s="198">
        <f>SUM(G64:G71)</f>
        <v/>
      </c>
      <c r="H79" s="199" t="n"/>
      <c r="I79" s="199">
        <f>SUM(I64:I72)</f>
        <v/>
      </c>
      <c r="J79" s="200" t="n"/>
    </row>
    <row r="80">
      <c r="A80" s="2" t="n"/>
      <c r="B80" s="94" t="n"/>
      <c r="C80" s="43" t="n"/>
      <c r="D80" s="41" t="n"/>
      <c r="E80" s="41" t="n"/>
      <c r="F80" s="41" t="n"/>
      <c r="G80" s="41" t="n"/>
      <c r="H80" s="2" t="n"/>
      <c r="I80" s="2" t="n"/>
      <c r="J80" s="2" t="n"/>
    </row>
    <row r="81">
      <c r="A81" s="201" t="inlineStr">
        <is>
          <t>реализация Всего касса+безнал:</t>
        </is>
      </c>
      <c r="B81" s="202" t="inlineStr">
        <is>
          <t>кг</t>
        </is>
      </c>
      <c r="C81" s="203" t="inlineStr">
        <is>
          <t>на сумму</t>
        </is>
      </c>
      <c r="D81" s="41" t="n"/>
      <c r="E81" s="41" t="n"/>
      <c r="F81" s="41" t="n"/>
      <c r="G81" s="41" t="n"/>
      <c r="H81" s="2" t="n"/>
      <c r="I81" s="2" t="n"/>
      <c r="J81" s="2" t="n"/>
    </row>
    <row r="82">
      <c r="A82" s="204" t="n"/>
      <c r="B82" s="205">
        <f>E12+G79</f>
        <v/>
      </c>
      <c r="C82" s="206">
        <f>I12+H79+I79</f>
        <v/>
      </c>
      <c r="D82" s="41" t="n"/>
      <c r="E82" s="41" t="n"/>
      <c r="F82" s="41" t="n"/>
      <c r="G82" s="41" t="n"/>
      <c r="H82" s="2" t="n"/>
      <c r="I82" s="2" t="n"/>
      <c r="J82" s="2" t="n"/>
    </row>
    <row r="83">
      <c r="A83" s="207" t="inlineStr">
        <is>
          <t>Услуги оказывают нам (доставка сырья и комплектующих на склад, Товара покупателям)</t>
        </is>
      </c>
      <c r="B83" s="54" t="n"/>
      <c r="C83" s="54" t="n"/>
      <c r="D83" s="54" t="n"/>
      <c r="E83" s="54" t="n"/>
      <c r="F83" s="54" t="n"/>
      <c r="G83" s="54" t="n"/>
      <c r="H83" s="54" t="n"/>
      <c r="I83" s="291" t="n"/>
      <c r="J83" s="58" t="n"/>
    </row>
    <row r="84">
      <c r="A84" s="209" t="inlineStr">
        <is>
          <t>Контрагент</t>
        </is>
      </c>
      <c r="B84" s="210" t="inlineStr">
        <is>
          <t>вид услуги</t>
        </is>
      </c>
      <c r="C84" s="211" t="inlineStr">
        <is>
          <t>Кому / От кого</t>
        </is>
      </c>
      <c r="D84" s="212" t="inlineStr">
        <is>
          <t>наименование</t>
        </is>
      </c>
      <c r="E84" s="213" t="inlineStr">
        <is>
          <t xml:space="preserve">город доставки </t>
        </is>
      </c>
      <c r="F84" s="214" t="inlineStr">
        <is>
          <t>цена</t>
        </is>
      </c>
      <c r="G84" s="213" t="inlineStr">
        <is>
          <t>сумма</t>
        </is>
      </c>
      <c r="H84" s="212" t="inlineStr">
        <is>
          <t>за тонну</t>
        </is>
      </c>
      <c r="I84" s="291" t="n"/>
      <c r="J84" s="58" t="n"/>
    </row>
    <row r="85">
      <c r="A85" s="215" t="n"/>
      <c r="B85" s="60" t="n"/>
      <c r="C85" s="63" t="n"/>
      <c r="D85" s="226" t="n"/>
      <c r="E85" s="317" t="n"/>
      <c r="F85" s="62" t="n"/>
      <c r="G85" s="218" t="n"/>
      <c r="H85" s="305" t="n"/>
      <c r="I85" s="291" t="n"/>
      <c r="J85" s="58" t="n"/>
    </row>
    <row r="86">
      <c r="A86" s="215" t="n"/>
      <c r="B86" s="60" t="n"/>
      <c r="C86" s="63" t="n"/>
      <c r="D86" s="226" t="n"/>
      <c r="E86" s="217" t="n"/>
      <c r="F86" s="62" t="n"/>
      <c r="G86" s="218" t="n"/>
      <c r="H86" s="305" t="n"/>
      <c r="I86" s="315" t="n"/>
      <c r="J86" s="58" t="n"/>
    </row>
    <row r="87">
      <c r="A87" s="220" t="n"/>
      <c r="B87" s="60" t="n"/>
      <c r="C87" s="221" t="n"/>
      <c r="D87" s="222" t="n"/>
      <c r="E87" s="274" t="n"/>
      <c r="F87" s="223" t="n"/>
      <c r="G87" s="218" t="n"/>
      <c r="H87" s="305" t="n"/>
      <c r="I87" s="2" t="n"/>
      <c r="J87" s="2" t="n"/>
    </row>
    <row r="88">
      <c r="A88" s="220" t="n"/>
      <c r="B88" s="60" t="n"/>
      <c r="C88" s="221" t="n"/>
      <c r="D88" s="222" t="n"/>
      <c r="E88" s="274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74" t="n"/>
      <c r="F89" s="223" t="n"/>
      <c r="G89" s="218" t="n"/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F90+F1208</f>
        <v/>
      </c>
      <c r="H90" s="219" t="n"/>
      <c r="I90" s="2" t="n"/>
      <c r="J90" s="2" t="n"/>
    </row>
    <row r="91">
      <c r="A91" s="220" t="n"/>
      <c r="B91" s="60" t="n"/>
      <c r="C91" s="221" t="n"/>
      <c r="D91" s="226" t="n"/>
      <c r="E91" s="227" t="n"/>
      <c r="F91" s="223" t="n"/>
      <c r="G91" s="218">
        <f>F91+F1209</f>
        <v/>
      </c>
      <c r="H91" s="219" t="n"/>
      <c r="I91" s="2" t="n"/>
      <c r="J91" s="2" t="n"/>
    </row>
    <row r="92">
      <c r="A92" s="220" t="n"/>
      <c r="B92" s="60" t="n"/>
      <c r="C92" s="221" t="n"/>
      <c r="D92" s="226" t="n"/>
      <c r="E92" s="227" t="n"/>
      <c r="F92" s="223" t="n"/>
      <c r="G92" s="218">
        <f>F92+F1210</f>
        <v/>
      </c>
      <c r="H92" s="228" t="n"/>
      <c r="I92" s="2" t="n"/>
      <c r="J92" s="2" t="n"/>
    </row>
    <row r="93">
      <c r="A93" s="229" t="inlineStr">
        <is>
          <t>ИТОГО:</t>
        </is>
      </c>
      <c r="B93" s="230" t="n"/>
      <c r="C93" s="231" t="n"/>
      <c r="D93" s="232" t="n"/>
      <c r="E93" s="233">
        <f>SUM(E85:E92)</f>
        <v/>
      </c>
      <c r="F93" s="234" t="n"/>
      <c r="G93" s="235">
        <f>SUM(G85:G92)</f>
        <v/>
      </c>
      <c r="H93" s="235" t="n"/>
      <c r="I93" s="2" t="n"/>
      <c r="J93" s="2" t="n"/>
    </row>
    <row r="94">
      <c r="A94" s="41" t="n"/>
      <c r="B94" s="94" t="n"/>
      <c r="C94" s="43" t="n"/>
      <c r="D94" s="41" t="n"/>
      <c r="E94" s="41" t="n"/>
      <c r="F94" s="41" t="n"/>
      <c r="G94" s="41" t="n"/>
      <c r="H94" s="41" t="n"/>
      <c r="I94" s="2" t="n"/>
      <c r="J94" s="2" t="n"/>
    </row>
    <row r="95">
      <c r="A95" s="236" t="inlineStr">
        <is>
          <t>Услуги оказываем мы</t>
        </is>
      </c>
      <c r="B95" s="54" t="n"/>
      <c r="C95" s="54" t="n"/>
      <c r="D95" s="54" t="n"/>
      <c r="E95" s="54" t="n"/>
      <c r="F95" s="54" t="n"/>
      <c r="G95" s="54" t="n"/>
      <c r="H95" s="54" t="n"/>
      <c r="I95" s="237" t="n"/>
      <c r="J95" s="2" t="n"/>
    </row>
    <row r="96">
      <c r="A96" s="209" t="inlineStr">
        <is>
          <t>Контрагент</t>
        </is>
      </c>
      <c r="B96" s="238" t="inlineStr">
        <is>
          <t>вид услуги</t>
        </is>
      </c>
      <c r="C96" s="239" t="inlineStr">
        <is>
          <t>наименование</t>
        </is>
      </c>
      <c r="D96" s="240" t="inlineStr">
        <is>
          <t>вес, кг, шт</t>
        </is>
      </c>
      <c r="E96" s="240" t="inlineStr">
        <is>
          <t>цена</t>
        </is>
      </c>
      <c r="F96" s="240" t="inlineStr">
        <is>
          <t>сумма</t>
        </is>
      </c>
      <c r="G96" s="213" t="inlineStr">
        <is>
          <t>№УПД</t>
        </is>
      </c>
      <c r="H96" s="213" t="n"/>
      <c r="I96" s="2" t="n"/>
      <c r="J96" s="2" t="n"/>
    </row>
    <row r="97">
      <c r="A97" s="275" t="n"/>
      <c r="B97" s="276" t="n"/>
      <c r="C97" s="243" t="n"/>
      <c r="D97" s="244" t="n"/>
      <c r="E97" s="277" t="n"/>
      <c r="F97" s="278" t="n"/>
      <c r="G97" s="247" t="n"/>
      <c r="H97" s="248" t="n"/>
      <c r="I97" s="2" t="n"/>
      <c r="J97" s="2" t="n"/>
    </row>
    <row r="98">
      <c r="A98" s="249" t="n"/>
      <c r="B98" s="250" t="n"/>
      <c r="C98" s="251" t="n"/>
      <c r="D98" s="252" t="n"/>
      <c r="E98" s="253" t="n"/>
      <c r="F98" s="254">
        <f>D98*E98</f>
        <v/>
      </c>
      <c r="G98" s="255" t="n"/>
      <c r="H98" s="256" t="n"/>
      <c r="I98" s="2" t="n"/>
      <c r="J98" s="2" t="n"/>
    </row>
    <row r="99">
      <c r="A99" s="257" t="n"/>
      <c r="B99" s="258" t="n"/>
      <c r="C99" s="257" t="n"/>
      <c r="D99" s="257" t="n"/>
      <c r="E99" s="257" t="n"/>
      <c r="F99" s="254">
        <f>D99*E99</f>
        <v/>
      </c>
      <c r="G99" s="257" t="n"/>
      <c r="H99" s="257" t="n"/>
      <c r="I99" s="2" t="n"/>
      <c r="J99" s="2" t="n"/>
    </row>
    <row r="100">
      <c r="A100" s="249" t="n"/>
      <c r="B100" s="258" t="n"/>
      <c r="C100" s="257" t="n"/>
      <c r="D100" s="259" t="n"/>
      <c r="E100" s="257" t="n"/>
      <c r="F100" s="260" t="n"/>
      <c r="G100" s="257" t="n"/>
      <c r="H100" s="257" t="n"/>
      <c r="I100" s="2" t="n"/>
      <c r="J100" s="2" t="n"/>
    </row>
    <row r="101">
      <c r="A101" s="2" t="n"/>
      <c r="B101" s="261" t="n"/>
      <c r="C101" s="2" t="n"/>
      <c r="D101" s="2" t="n"/>
      <c r="E101" s="2" t="n"/>
      <c r="F101" s="262" t="n"/>
      <c r="G101" s="2" t="n"/>
      <c r="H101" s="2" t="n"/>
      <c r="I101" s="263" t="n"/>
      <c r="J101" s="264" t="n"/>
    </row>
  </sheetData>
  <mergeCells count="6">
    <mergeCell ref="A1:J1"/>
    <mergeCell ref="A83:H83"/>
    <mergeCell ref="A95:H95"/>
    <mergeCell ref="A17:H17"/>
    <mergeCell ref="A2:J2"/>
    <mergeCell ref="A40:H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8.875" customWidth="1" min="6" max="6"/>
    <col width="9.625" customWidth="1" min="7" max="7"/>
    <col width="11.12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inlineStr">
        <is>
          <t>Снекпром</t>
        </is>
      </c>
      <c r="C4" s="268" t="inlineStr">
        <is>
          <t>железные бочки из-под патоки</t>
        </is>
      </c>
      <c r="D4" s="51" t="n"/>
      <c r="E4" s="17" t="n"/>
      <c r="F4" s="17" t="n">
        <v>3</v>
      </c>
      <c r="G4" s="270" t="n"/>
      <c r="H4" s="19" t="n">
        <v>800</v>
      </c>
      <c r="I4" s="19">
        <f>F4*H4</f>
        <v/>
      </c>
      <c r="J4" s="20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44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244" t="n"/>
      <c r="C7" s="268" t="n"/>
      <c r="D7" s="51" t="n"/>
      <c r="E7" s="17" t="n"/>
      <c r="F7" s="17" t="n"/>
      <c r="G7" s="270" t="n"/>
      <c r="H7" s="19" t="n"/>
      <c r="I7" s="19" t="n"/>
      <c r="J7" s="20" t="n"/>
    </row>
    <row r="8">
      <c r="A8" s="13" t="n"/>
      <c r="B8" s="244" t="n"/>
      <c r="C8" s="268" t="n"/>
      <c r="D8" s="51" t="n"/>
      <c r="E8" s="17" t="n"/>
      <c r="F8" s="17" t="n"/>
      <c r="G8" s="17" t="n"/>
      <c r="H8" s="19" t="n"/>
      <c r="I8" s="19" t="n"/>
      <c r="J8" s="20" t="n"/>
    </row>
    <row r="9">
      <c r="A9" s="13" t="n"/>
      <c r="B9" s="244" t="n"/>
      <c r="C9" s="268" t="n"/>
      <c r="D9" s="51" t="n"/>
      <c r="E9" s="17" t="n"/>
      <c r="F9" s="17" t="n"/>
      <c r="G9" s="17" t="n"/>
      <c r="H9" s="19" t="n"/>
      <c r="I9" s="19" t="n"/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15193.45000000001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66" t="inlineStr">
        <is>
          <t>Поступление от ИП1</t>
        </is>
      </c>
      <c r="B20" s="67" t="n"/>
      <c r="C20" s="68" t="n">
        <v>400000</v>
      </c>
      <c r="D20" s="68" t="n">
        <v>400000</v>
      </c>
      <c r="E20" s="69" t="n"/>
      <c r="F20" s="70" t="n"/>
      <c r="G20" s="71" t="n"/>
      <c r="H20" s="72">
        <f>F20*G20</f>
        <v/>
      </c>
      <c r="I20" s="2" t="n"/>
      <c r="J20" s="2" t="n"/>
    </row>
    <row r="21">
      <c r="A21" s="66" t="inlineStr">
        <is>
          <t>поступление н (за железые бочки)</t>
        </is>
      </c>
      <c r="B21" s="67" t="n"/>
      <c r="C21" s="68" t="n">
        <v>2400</v>
      </c>
      <c r="D21" s="68" t="n">
        <v>2400</v>
      </c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2" t="n"/>
      <c r="J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81" t="inlineStr">
        <is>
          <t>уборка</t>
        </is>
      </c>
      <c r="B27" s="67" t="n"/>
      <c r="C27" s="68" t="n">
        <v>4000</v>
      </c>
      <c r="D27" s="68" t="n">
        <v>4000</v>
      </c>
      <c r="E27" s="76" t="n"/>
      <c r="F27" s="78" t="n"/>
      <c r="G27" s="79" t="n"/>
      <c r="H27" s="80" t="n"/>
      <c r="I27" s="2" t="n"/>
      <c r="J27" s="2" t="n"/>
    </row>
    <row r="28">
      <c r="A28" s="69" t="inlineStr">
        <is>
          <t>мешки</t>
        </is>
      </c>
      <c r="B28" s="67" t="n"/>
      <c r="C28" s="68" t="n">
        <v>2416</v>
      </c>
      <c r="D28" s="68" t="n">
        <v>2416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inlineStr">
        <is>
          <t>комиссия</t>
        </is>
      </c>
      <c r="B29" s="67" t="n"/>
      <c r="C29" s="68" t="n">
        <v>32000</v>
      </c>
      <c r="D29" s="74" t="n">
        <v>32000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81" t="n"/>
      <c r="B30" s="67" t="n"/>
      <c r="C30" s="68" t="n"/>
      <c r="D30" s="68" t="n"/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n"/>
      <c r="B31" s="67" t="n"/>
      <c r="C31" s="68" t="n"/>
      <c r="D31" s="74" t="n"/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n"/>
      <c r="B32" s="67" t="n"/>
      <c r="C32" s="68" t="n"/>
      <c r="D32" s="74" t="n"/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5" t="n"/>
      <c r="E34" s="76" t="n"/>
      <c r="F34" s="78" t="n"/>
      <c r="G34" s="79" t="n"/>
      <c r="H34" s="72">
        <f>F34*G34</f>
        <v/>
      </c>
      <c r="I34" s="313" t="n"/>
      <c r="J34" s="2" t="n"/>
    </row>
    <row r="35">
      <c r="A35" s="69" t="n"/>
      <c r="B35" s="67" t="n"/>
      <c r="C35" s="68" t="n"/>
      <c r="D35" s="75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83" t="n"/>
      <c r="B37" s="67" t="n"/>
      <c r="C37" s="68" t="n"/>
      <c r="D37" s="84" t="n"/>
      <c r="E37" s="85" t="inlineStr">
        <is>
          <t>Итого расход:</t>
        </is>
      </c>
      <c r="F37" s="78" t="n"/>
      <c r="G37" s="79" t="n"/>
      <c r="H37" s="72">
        <f>F37*G37</f>
        <v/>
      </c>
      <c r="I37" s="86" t="n"/>
      <c r="J37" s="86" t="n"/>
    </row>
    <row r="38">
      <c r="A38" s="87" t="inlineStr">
        <is>
          <t>Остаток на конец дня:</t>
        </is>
      </c>
      <c r="B38" s="88" t="n"/>
      <c r="C38" s="89" t="n"/>
      <c r="D38" s="90">
        <f>SUM(D20,D21:D24,D19,)-SUM(D27:D37,)</f>
        <v/>
      </c>
      <c r="E38" s="87" t="inlineStr">
        <is>
          <t>Остаток на конец дня:</t>
        </is>
      </c>
      <c r="F38" s="91" t="n"/>
      <c r="G38" s="89" t="n"/>
      <c r="H38" s="92">
        <f>SUM(H19+H25-H37)</f>
        <v/>
      </c>
      <c r="I38" s="2" t="n"/>
      <c r="J38" s="2" t="n"/>
    </row>
    <row r="39">
      <c r="A39" s="93" t="n"/>
      <c r="B39" s="94" t="n"/>
      <c r="C39" s="43" t="n"/>
      <c r="D39" s="41" t="n"/>
      <c r="E39" s="41" t="n"/>
      <c r="F39" s="41" t="n"/>
      <c r="G39" s="2" t="n"/>
      <c r="H39" s="2" t="n"/>
      <c r="I39" s="2" t="n"/>
      <c r="J39" s="2" t="n"/>
    </row>
    <row r="40">
      <c r="A40" s="95" t="inlineStr">
        <is>
          <t>Расчётный счёт</t>
        </is>
      </c>
      <c r="B40" s="54" t="n"/>
      <c r="C40" s="54" t="n"/>
      <c r="D40" s="54" t="n"/>
      <c r="E40" s="54" t="n"/>
      <c r="F40" s="54" t="n"/>
      <c r="G40" s="54" t="n"/>
      <c r="H40" s="54" t="n"/>
      <c r="I40" s="2" t="n"/>
      <c r="J40" s="2" t="n"/>
    </row>
    <row r="41">
      <c r="A41" s="96" t="inlineStr">
        <is>
          <t>ВТБ</t>
        </is>
      </c>
      <c r="B41" s="279" t="inlineStr">
        <is>
          <t>ВТБ</t>
        </is>
      </c>
      <c r="C41" s="279" t="n"/>
      <c r="D41" s="47" t="n"/>
      <c r="E41" s="97" t="inlineStr">
        <is>
          <t>Альфабанк</t>
        </is>
      </c>
      <c r="F41" s="56" t="n"/>
      <c r="G41" s="56" t="n"/>
      <c r="H41" s="47" t="n"/>
      <c r="I41" s="2" t="n"/>
      <c r="J41" s="2" t="n"/>
    </row>
    <row r="42">
      <c r="A42" s="98" t="inlineStr">
        <is>
          <t>Остаток на начало дня:</t>
        </is>
      </c>
      <c r="B42" s="280" t="n"/>
      <c r="C42" s="290" t="n">
        <v>298069.23</v>
      </c>
      <c r="D42" s="56" t="n"/>
      <c r="E42" s="100" t="inlineStr">
        <is>
          <t>Остаток на начало дня:</t>
        </is>
      </c>
      <c r="F42" s="47" t="n"/>
      <c r="G42" s="101" t="n">
        <v>1506.2</v>
      </c>
      <c r="H42" s="47" t="n"/>
      <c r="I42" s="2" t="n"/>
      <c r="J42" s="2" t="n"/>
    </row>
    <row r="43">
      <c r="A43" s="102" t="inlineStr">
        <is>
          <t>Поступление</t>
        </is>
      </c>
      <c r="B43" s="47" t="n"/>
      <c r="C43" s="102" t="inlineStr">
        <is>
          <t>Расход</t>
        </is>
      </c>
      <c r="D43" s="47" t="n"/>
      <c r="E43" s="102" t="inlineStr">
        <is>
          <t>Поступление</t>
        </is>
      </c>
      <c r="F43" s="47" t="n"/>
      <c r="G43" s="102" t="inlineStr">
        <is>
          <t>Расход</t>
        </is>
      </c>
      <c r="H43" s="47" t="n"/>
      <c r="I43" s="86" t="n"/>
      <c r="J43" s="86" t="n"/>
    </row>
    <row r="44">
      <c r="A44" s="103" t="inlineStr">
        <is>
          <t>от кого</t>
        </is>
      </c>
      <c r="B44" s="103" t="inlineStr">
        <is>
          <t>сумма</t>
        </is>
      </c>
      <c r="C44" s="103" t="inlineStr">
        <is>
          <t>кому</t>
        </is>
      </c>
      <c r="D44" s="103" t="inlineStr">
        <is>
          <t>сумма</t>
        </is>
      </c>
      <c r="E44" s="103" t="inlineStr">
        <is>
          <t>от кого</t>
        </is>
      </c>
      <c r="F44" s="103" t="inlineStr">
        <is>
          <t>сумма</t>
        </is>
      </c>
      <c r="G44" s="103" t="inlineStr">
        <is>
          <t xml:space="preserve">кому </t>
        </is>
      </c>
      <c r="H44" s="103" t="inlineStr">
        <is>
          <t>сумма</t>
        </is>
      </c>
      <c r="I44" s="86" t="n"/>
      <c r="J44" s="86" t="n"/>
    </row>
    <row r="45">
      <c r="A45" s="104" t="n"/>
      <c r="B45" s="281" t="n"/>
      <c r="C45" s="106" t="n"/>
      <c r="D45" s="107" t="n"/>
      <c r="E45" s="108" t="n"/>
      <c r="F45" s="109" t="n"/>
      <c r="G45" s="110" t="n"/>
      <c r="H45" s="109" t="n"/>
      <c r="I45" s="86" t="n"/>
      <c r="J45" s="86" t="n"/>
    </row>
    <row r="46">
      <c r="A46" s="282" t="n"/>
      <c r="B46" s="281" t="n"/>
      <c r="C46" s="112" t="n"/>
      <c r="D46" s="107" t="n"/>
      <c r="E46" s="110" t="n"/>
      <c r="F46" s="109" t="n"/>
      <c r="G46" s="110" t="n"/>
      <c r="H46" s="109" t="n"/>
      <c r="I46" s="86" t="n"/>
      <c r="J46" s="86" t="n"/>
    </row>
    <row r="47">
      <c r="A47" s="111" t="n"/>
      <c r="B47" s="283" t="n"/>
      <c r="C47" s="113" t="n"/>
      <c r="D47" s="107" t="n"/>
      <c r="E47" s="110" t="n"/>
      <c r="F47" s="109" t="n"/>
      <c r="G47" s="114" t="n"/>
      <c r="H47" s="109" t="n"/>
      <c r="I47" s="86" t="n"/>
      <c r="J47" s="86" t="n"/>
    </row>
    <row r="48">
      <c r="A48" s="115" t="n"/>
      <c r="B48" s="283" t="n"/>
      <c r="C48" s="113" t="n"/>
      <c r="D48" s="107" t="n"/>
      <c r="E48" s="108" t="n"/>
      <c r="F48" s="116" t="n"/>
      <c r="G48" s="114" t="n"/>
      <c r="H48" s="109" t="n"/>
      <c r="I48" s="86" t="n"/>
      <c r="J48" s="86" t="n"/>
    </row>
    <row r="49">
      <c r="A49" s="117" t="n"/>
      <c r="B49" s="283" t="n"/>
      <c r="C49" s="113" t="n"/>
      <c r="D49" s="107" t="n"/>
      <c r="E49" s="118" t="n"/>
      <c r="F49" s="119" t="n"/>
      <c r="G49" s="120" t="n"/>
      <c r="H49" s="120" t="n"/>
      <c r="I49" s="86" t="n"/>
      <c r="J49" s="86" t="n"/>
    </row>
    <row r="50">
      <c r="A50" s="117" t="n"/>
      <c r="B50" s="283" t="n"/>
      <c r="C50" s="113" t="n"/>
      <c r="D50" s="107" t="n"/>
      <c r="E50" s="118" t="n"/>
      <c r="F50" s="119" t="n"/>
      <c r="G50" s="121" t="n"/>
      <c r="H50" s="120" t="n"/>
      <c r="I50" s="86" t="n"/>
      <c r="J50" s="86" t="n"/>
    </row>
    <row r="51">
      <c r="A51" s="122" t="n"/>
      <c r="B51" s="283" t="n"/>
      <c r="C51" s="113" t="n"/>
      <c r="D51" s="107" t="n"/>
      <c r="E51" s="118" t="n"/>
      <c r="F51" s="118" t="n"/>
      <c r="G51" s="123" t="n"/>
      <c r="H51" s="120" t="n"/>
      <c r="I51" s="86" t="n"/>
      <c r="J51" s="86" t="n"/>
    </row>
    <row r="52">
      <c r="A52" s="124" t="n"/>
      <c r="B52" s="284" t="n"/>
      <c r="C52" s="113" t="n"/>
      <c r="D52" s="107" t="n"/>
      <c r="E52" s="124" t="n"/>
      <c r="F52" s="118" t="n"/>
      <c r="G52" s="110" t="n"/>
      <c r="H52" s="120" t="n"/>
      <c r="I52" s="86" t="n"/>
      <c r="J52" s="86" t="n"/>
    </row>
    <row r="53">
      <c r="A53" s="124" t="n"/>
      <c r="B53" s="285" t="n"/>
      <c r="C53" s="110" t="n"/>
      <c r="D53" s="126" t="n"/>
      <c r="E53" s="124" t="n"/>
      <c r="F53" s="118" t="n"/>
      <c r="G53" s="110" t="n"/>
      <c r="H53" s="120" t="n"/>
      <c r="I53" s="86" t="n"/>
      <c r="J53" s="86" t="n"/>
    </row>
    <row r="54">
      <c r="A54" s="124" t="n"/>
      <c r="B54" s="285" t="n"/>
      <c r="C54" s="110" t="n"/>
      <c r="D54" s="126" t="n"/>
      <c r="E54" s="124" t="n"/>
      <c r="F54" s="118" t="n"/>
      <c r="G54" s="110" t="n"/>
      <c r="H54" s="120" t="n"/>
      <c r="I54" s="86" t="n"/>
      <c r="J54" s="86" t="n"/>
    </row>
    <row r="55">
      <c r="A55" s="124" t="n"/>
      <c r="B55" s="285" t="n"/>
      <c r="C55" s="110" t="n"/>
      <c r="D55" s="126" t="n"/>
      <c r="E55" s="124" t="n"/>
      <c r="F55" s="118" t="n"/>
      <c r="G55" s="110" t="n"/>
      <c r="H55" s="120" t="n"/>
      <c r="I55" s="86" t="n"/>
      <c r="J55" s="86" t="n"/>
    </row>
    <row r="56">
      <c r="A56" s="124" t="n"/>
      <c r="B56" s="28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7" t="n"/>
      <c r="B58" s="128">
        <f>SUM(B45:B57)+C42</f>
        <v/>
      </c>
      <c r="C58" s="129" t="n"/>
      <c r="D58" s="128">
        <f>SUM(D45:D57)</f>
        <v/>
      </c>
      <c r="E58" s="130" t="n"/>
      <c r="F58" s="130">
        <f>SUM(F45:F57)</f>
        <v/>
      </c>
      <c r="G58" s="130" t="n"/>
      <c r="H58" s="130">
        <f>SUM(H45:H57)</f>
        <v/>
      </c>
      <c r="I58" s="2" t="n"/>
      <c r="J58" s="2" t="n"/>
    </row>
    <row r="59">
      <c r="A59" s="131" t="inlineStr">
        <is>
          <t>Остаток на конец дня:</t>
        </is>
      </c>
      <c r="B59" s="132">
        <f>B58-D58</f>
        <v/>
      </c>
      <c r="C59" s="56" t="n"/>
      <c r="D59" s="47" t="n"/>
      <c r="E59" s="100" t="inlineStr">
        <is>
          <t>Остаток на конец дня:</t>
        </is>
      </c>
      <c r="F59" s="101" t="n">
        <v>1506.2</v>
      </c>
      <c r="G59" s="56" t="n"/>
      <c r="H59" s="47" t="n"/>
      <c r="I59" s="2" t="n"/>
      <c r="J59" s="2" t="n"/>
    </row>
    <row r="60">
      <c r="A60" s="133" t="inlineStr">
        <is>
          <t>ИТОГО:</t>
        </is>
      </c>
      <c r="B60" s="47" t="n"/>
      <c r="C60" s="134" t="n">
        <v>299575.43</v>
      </c>
      <c r="D60" s="56" t="n"/>
      <c r="E60" s="56" t="n"/>
      <c r="F60" s="56" t="n"/>
      <c r="G60" s="56" t="n"/>
      <c r="H60" s="47" t="n"/>
      <c r="I60" s="2" t="n"/>
      <c r="J60" s="2" t="n"/>
    </row>
    <row r="61">
      <c r="A61" s="41" t="n"/>
      <c r="B61" s="94" t="n"/>
      <c r="C61" s="43" t="n"/>
      <c r="D61" s="41" t="n"/>
      <c r="E61" s="41" t="n"/>
      <c r="F61" s="41" t="n"/>
      <c r="G61" s="41" t="n"/>
      <c r="H61" s="93" t="n"/>
      <c r="I61" s="135" t="n"/>
      <c r="J61" s="135" t="n"/>
    </row>
    <row r="62">
      <c r="A62" s="136" t="n"/>
      <c r="B62" s="137" t="inlineStr">
        <is>
          <t>Реализация по безналичному расчёту</t>
        </is>
      </c>
      <c r="D62" s="2" t="n"/>
      <c r="E62" s="41" t="n"/>
      <c r="F62" s="41" t="n"/>
      <c r="G62" s="41" t="n"/>
      <c r="H62" s="138" t="n"/>
      <c r="I62" s="2" t="n"/>
      <c r="J62" s="2" t="n"/>
    </row>
    <row r="63">
      <c r="A63" s="139" t="inlineStr">
        <is>
          <t>Контрагент</t>
        </is>
      </c>
      <c r="B63" s="140" t="inlineStr">
        <is>
          <t>поставщик</t>
        </is>
      </c>
      <c r="C63" s="141" t="inlineStr">
        <is>
          <t>наименование</t>
        </is>
      </c>
      <c r="D63" s="142" t="inlineStr">
        <is>
          <t>вес упаковки, тарелки</t>
        </is>
      </c>
      <c r="E63" s="143" t="inlineStr">
        <is>
          <t>кол.-во пакетов, коробок</t>
        </is>
      </c>
      <c r="F63" s="144" t="inlineStr">
        <is>
          <t>кол-во мест в коробке/упаковке</t>
        </is>
      </c>
      <c r="G63" s="145" t="inlineStr">
        <is>
          <t>общий вес, кг.</t>
        </is>
      </c>
      <c r="H63" s="146" t="inlineStr">
        <is>
          <t>цена пакет, тарелка</t>
        </is>
      </c>
      <c r="I63" s="147" t="inlineStr">
        <is>
          <t>сумма</t>
        </is>
      </c>
      <c r="J63" s="148" t="inlineStr">
        <is>
          <t>Комментарий</t>
        </is>
      </c>
    </row>
    <row r="64">
      <c r="A64" s="150" t="n"/>
      <c r="B64" s="151" t="n"/>
      <c r="C64" s="272" t="n"/>
      <c r="D64" s="153" t="n"/>
      <c r="E64" s="154" t="n"/>
      <c r="F64" s="155" t="n"/>
      <c r="G64" s="154" t="n"/>
      <c r="H64" s="156" t="n"/>
      <c r="I64" s="156" t="n"/>
      <c r="J64" s="157" t="n"/>
    </row>
    <row r="65">
      <c r="A65" s="150" t="n"/>
      <c r="B65" s="151" t="n"/>
      <c r="C65" s="158" t="n"/>
      <c r="D65" s="153" t="n"/>
      <c r="E65" s="154" t="n"/>
      <c r="F65" s="155" t="n"/>
      <c r="G65" s="154" t="n"/>
      <c r="H65" s="156" t="n"/>
      <c r="I65" s="156" t="n"/>
      <c r="J65" s="159" t="n"/>
    </row>
    <row r="66">
      <c r="A66" s="150" t="n"/>
      <c r="B66" s="151" t="n"/>
      <c r="C66" s="158" t="n"/>
      <c r="D66" s="153" t="n"/>
      <c r="E66" s="154" t="n"/>
      <c r="F66" s="155" t="n"/>
      <c r="G66" s="154" t="n"/>
      <c r="H66" s="156" t="n"/>
      <c r="I66" s="156" t="n"/>
      <c r="J66" s="159" t="n"/>
    </row>
    <row r="67">
      <c r="A67" s="150" t="n"/>
      <c r="B67" s="151" t="n"/>
      <c r="C67" s="158" t="n"/>
      <c r="D67" s="153" t="n"/>
      <c r="E67" s="154" t="n"/>
      <c r="F67" s="155" t="n"/>
      <c r="G67" s="154" t="n"/>
      <c r="H67" s="156" t="n"/>
      <c r="I67" s="156" t="n"/>
      <c r="J67" s="159" t="n"/>
    </row>
    <row r="68">
      <c r="A68" s="150" t="n"/>
      <c r="B68" s="151" t="n"/>
      <c r="C68" s="152" t="n"/>
      <c r="D68" s="153" t="n"/>
      <c r="E68" s="154" t="n"/>
      <c r="F68" s="155" t="n"/>
      <c r="G68" s="154" t="n"/>
      <c r="H68" s="156" t="n"/>
      <c r="I68" s="156" t="n"/>
      <c r="J68" s="159" t="n"/>
    </row>
    <row r="69">
      <c r="A69" s="150" t="n"/>
      <c r="B69" s="151" t="n"/>
      <c r="C69" s="152" t="n"/>
      <c r="D69" s="153" t="n"/>
      <c r="E69" s="154" t="n"/>
      <c r="F69" s="155" t="n"/>
      <c r="G69" s="154" t="n"/>
      <c r="H69" s="156" t="n"/>
      <c r="I69" s="156" t="n"/>
      <c r="J69" s="159" t="n"/>
    </row>
    <row r="70">
      <c r="A70" s="150" t="n"/>
      <c r="B70" s="150" t="n"/>
      <c r="C70" s="160" t="n"/>
      <c r="D70" s="153" t="n"/>
      <c r="E70" s="154" t="n"/>
      <c r="F70" s="155" t="n"/>
      <c r="G70" s="154" t="n"/>
      <c r="H70" s="156" t="n"/>
      <c r="I70" s="156" t="n"/>
      <c r="J70" s="161" t="n"/>
    </row>
    <row r="71">
      <c r="A71" s="162" t="n"/>
      <c r="B71" s="163" t="n"/>
      <c r="C71" s="164" t="n"/>
      <c r="D71" s="165" t="n"/>
      <c r="E71" s="166" t="n"/>
      <c r="F71" s="167" t="n"/>
      <c r="G71" s="168" t="n"/>
      <c r="H71" s="169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62" t="n"/>
      <c r="B74" s="163" t="n"/>
      <c r="C74" s="171" t="n"/>
      <c r="D74" s="153" t="n"/>
      <c r="E74" s="172" t="n"/>
      <c r="F74" s="155" t="n"/>
      <c r="G74" s="168" t="n"/>
      <c r="H74" s="156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73" t="n"/>
      <c r="B76" s="174" t="n"/>
      <c r="C76" s="175" t="n"/>
      <c r="D76" s="176" t="n"/>
      <c r="E76" s="177" t="n"/>
      <c r="F76" s="178" t="n"/>
      <c r="G76" s="179" t="n"/>
      <c r="H76" s="180" t="n"/>
      <c r="I76" s="181" t="n"/>
      <c r="J76" s="161" t="n"/>
    </row>
    <row r="77">
      <c r="A77" s="182" t="n"/>
      <c r="B77" s="163" t="n"/>
      <c r="C77" s="183" t="n"/>
      <c r="D77" s="184" t="n"/>
      <c r="E77" s="166" t="n"/>
      <c r="F77" s="167" t="n"/>
      <c r="G77" s="185">
        <f>D77*F77</f>
        <v/>
      </c>
      <c r="H77" s="186" t="n"/>
      <c r="I77" s="186">
        <f>F77*H77*E77</f>
        <v/>
      </c>
      <c r="J77" s="187" t="n"/>
    </row>
    <row r="78">
      <c r="A78" s="182" t="n"/>
      <c r="B78" s="163" t="n"/>
      <c r="C78" s="188" t="n"/>
      <c r="D78" s="189" t="n"/>
      <c r="E78" s="190" t="n"/>
      <c r="F78" s="189" t="n"/>
      <c r="G78" s="185">
        <f>D78*F78</f>
        <v/>
      </c>
      <c r="H78" s="191" t="n"/>
      <c r="I78" s="186">
        <f>F78*H78*E78</f>
        <v/>
      </c>
      <c r="J78" s="187" t="n"/>
    </row>
    <row r="79">
      <c r="A79" s="192" t="inlineStr">
        <is>
          <t>ИТОГО:</t>
        </is>
      </c>
      <c r="B79" s="193" t="n"/>
      <c r="C79" s="194" t="n"/>
      <c r="D79" s="195" t="n"/>
      <c r="E79" s="196">
        <f>SUM(E64:E78)</f>
        <v/>
      </c>
      <c r="F79" s="197">
        <f>SUM(F64:F76)</f>
        <v/>
      </c>
      <c r="G79" s="198">
        <f>SUM(G64:G71)</f>
        <v/>
      </c>
      <c r="H79" s="199" t="n"/>
      <c r="I79" s="199">
        <f>SUM(I64:I72)</f>
        <v/>
      </c>
      <c r="J79" s="200" t="n"/>
    </row>
    <row r="80">
      <c r="A80" s="2" t="n"/>
      <c r="B80" s="94" t="n"/>
      <c r="C80" s="43" t="n"/>
      <c r="D80" s="41" t="n"/>
      <c r="E80" s="41" t="n"/>
      <c r="F80" s="41" t="n"/>
      <c r="G80" s="41" t="n"/>
      <c r="H80" s="2" t="n"/>
      <c r="I80" s="2" t="n"/>
      <c r="J80" s="2" t="n"/>
    </row>
    <row r="81">
      <c r="A81" s="201" t="inlineStr">
        <is>
          <t>реализация Всего касса+безнал:</t>
        </is>
      </c>
      <c r="B81" s="202" t="inlineStr">
        <is>
          <t>кг</t>
        </is>
      </c>
      <c r="C81" s="203" t="inlineStr">
        <is>
          <t>на сумму</t>
        </is>
      </c>
      <c r="D81" s="41" t="n"/>
      <c r="E81" s="41" t="n"/>
      <c r="F81" s="41" t="n"/>
      <c r="G81" s="41" t="n"/>
      <c r="H81" s="2" t="n"/>
      <c r="I81" s="2" t="n"/>
      <c r="J81" s="2" t="n"/>
    </row>
    <row r="82">
      <c r="A82" s="204" t="n"/>
      <c r="B82" s="205">
        <f>E12+G79</f>
        <v/>
      </c>
      <c r="C82" s="206">
        <f>I12+H79+I79</f>
        <v/>
      </c>
      <c r="D82" s="41" t="n"/>
      <c r="E82" s="41" t="n"/>
      <c r="F82" s="41" t="n"/>
      <c r="G82" s="41" t="n"/>
      <c r="H82" s="2" t="n"/>
      <c r="I82" s="2" t="n"/>
      <c r="J82" s="2" t="n"/>
    </row>
    <row r="83">
      <c r="A83" s="207" t="inlineStr">
        <is>
          <t>Услуги оказывают нам (доставка сырья и комплектующих на склад, Товара покупателям)</t>
        </is>
      </c>
      <c r="B83" s="54" t="n"/>
      <c r="C83" s="54" t="n"/>
      <c r="D83" s="54" t="n"/>
      <c r="E83" s="54" t="n"/>
      <c r="F83" s="54" t="n"/>
      <c r="G83" s="54" t="n"/>
      <c r="H83" s="54" t="n"/>
      <c r="I83" s="291" t="n"/>
      <c r="J83" s="58" t="n"/>
    </row>
    <row r="84">
      <c r="A84" s="209" t="inlineStr">
        <is>
          <t>Контрагент</t>
        </is>
      </c>
      <c r="B84" s="210" t="inlineStr">
        <is>
          <t>вид услуги</t>
        </is>
      </c>
      <c r="C84" s="211" t="inlineStr">
        <is>
          <t>Кому / От кого</t>
        </is>
      </c>
      <c r="D84" s="212" t="inlineStr">
        <is>
          <t>наименование</t>
        </is>
      </c>
      <c r="E84" s="213" t="inlineStr">
        <is>
          <t xml:space="preserve">город доставки </t>
        </is>
      </c>
      <c r="F84" s="214" t="inlineStr">
        <is>
          <t>цена</t>
        </is>
      </c>
      <c r="G84" s="213" t="inlineStr">
        <is>
          <t>сумма</t>
        </is>
      </c>
      <c r="H84" s="212" t="inlineStr">
        <is>
          <t>за тонну</t>
        </is>
      </c>
      <c r="I84" s="291" t="n"/>
      <c r="J84" s="58" t="n"/>
    </row>
    <row r="85">
      <c r="A85" s="215" t="inlineStr">
        <is>
          <t>Промстеклоснаб</t>
        </is>
      </c>
      <c r="B85" s="60" t="inlineStr">
        <is>
          <t>доставка</t>
        </is>
      </c>
      <c r="C85" s="63" t="inlineStr">
        <is>
          <t>Агроимпекс-Снекпром</t>
        </is>
      </c>
      <c r="D85" s="226" t="inlineStr">
        <is>
          <t>арахис сплит</t>
        </is>
      </c>
      <c r="E85" s="317" t="inlineStr">
        <is>
          <t>Москва (Химки)</t>
        </is>
      </c>
      <c r="F85" s="62" t="n">
        <v>19000</v>
      </c>
      <c r="G85" s="218">
        <f>F85+F1203</f>
        <v/>
      </c>
      <c r="H85" s="305" t="n"/>
      <c r="I85" s="291" t="n"/>
      <c r="J85" s="58" t="n"/>
    </row>
    <row r="86">
      <c r="A86" s="215" t="n"/>
      <c r="B86" s="60" t="n"/>
      <c r="C86" s="63" t="n"/>
      <c r="D86" s="226" t="n"/>
      <c r="E86" s="217" t="n"/>
      <c r="F86" s="62" t="n"/>
      <c r="G86" s="218" t="n"/>
      <c r="H86" s="305" t="n"/>
      <c r="I86" s="315" t="n"/>
      <c r="J86" s="58" t="n"/>
    </row>
    <row r="87">
      <c r="A87" s="220" t="n"/>
      <c r="B87" s="60" t="n"/>
      <c r="C87" s="221" t="n"/>
      <c r="D87" s="222" t="n"/>
      <c r="E87" s="274" t="n"/>
      <c r="F87" s="223" t="n"/>
      <c r="G87" s="218" t="n"/>
      <c r="H87" s="305" t="n"/>
      <c r="I87" s="2" t="n"/>
      <c r="J87" s="2" t="n"/>
    </row>
    <row r="88">
      <c r="A88" s="220" t="n"/>
      <c r="B88" s="60" t="n"/>
      <c r="C88" s="221" t="n"/>
      <c r="D88" s="222" t="n"/>
      <c r="E88" s="274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74" t="n"/>
      <c r="F89" s="223" t="n"/>
      <c r="G89" s="218" t="n"/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F90+F1208</f>
        <v/>
      </c>
      <c r="H90" s="219" t="n"/>
      <c r="I90" s="2" t="n"/>
      <c r="J90" s="2" t="n"/>
    </row>
    <row r="91">
      <c r="A91" s="220" t="n"/>
      <c r="B91" s="60" t="n"/>
      <c r="C91" s="221" t="n"/>
      <c r="D91" s="226" t="n"/>
      <c r="E91" s="227" t="n"/>
      <c r="F91" s="223" t="n"/>
      <c r="G91" s="218">
        <f>F91+F1209</f>
        <v/>
      </c>
      <c r="H91" s="219" t="n"/>
      <c r="I91" s="2" t="n"/>
      <c r="J91" s="2" t="n"/>
    </row>
    <row r="92">
      <c r="A92" s="220" t="n"/>
      <c r="B92" s="60" t="n"/>
      <c r="C92" s="221" t="n"/>
      <c r="D92" s="226" t="n"/>
      <c r="E92" s="227" t="n"/>
      <c r="F92" s="223" t="n"/>
      <c r="G92" s="218">
        <f>F92+F1210</f>
        <v/>
      </c>
      <c r="H92" s="228" t="n"/>
      <c r="I92" s="2" t="n"/>
      <c r="J92" s="2" t="n"/>
    </row>
    <row r="93">
      <c r="A93" s="229" t="inlineStr">
        <is>
          <t>ИТОГО:</t>
        </is>
      </c>
      <c r="B93" s="230" t="n"/>
      <c r="C93" s="231" t="n"/>
      <c r="D93" s="232" t="n"/>
      <c r="E93" s="233">
        <f>SUM(E85:E92)</f>
        <v/>
      </c>
      <c r="F93" s="234" t="n"/>
      <c r="G93" s="235">
        <f>SUM(G85:G92)</f>
        <v/>
      </c>
      <c r="H93" s="235" t="n"/>
      <c r="I93" s="2" t="n"/>
      <c r="J93" s="2" t="n"/>
    </row>
    <row r="94">
      <c r="A94" s="41" t="n"/>
      <c r="B94" s="94" t="n"/>
      <c r="C94" s="43" t="n"/>
      <c r="D94" s="41" t="n"/>
      <c r="E94" s="41" t="n"/>
      <c r="F94" s="41" t="n"/>
      <c r="G94" s="41" t="n"/>
      <c r="H94" s="41" t="n"/>
      <c r="I94" s="2" t="n"/>
      <c r="J94" s="2" t="n"/>
    </row>
    <row r="95">
      <c r="A95" s="236" t="inlineStr">
        <is>
          <t>Услуги оказываем мы</t>
        </is>
      </c>
      <c r="B95" s="54" t="n"/>
      <c r="C95" s="54" t="n"/>
      <c r="D95" s="54" t="n"/>
      <c r="E95" s="54" t="n"/>
      <c r="F95" s="54" t="n"/>
      <c r="G95" s="54" t="n"/>
      <c r="H95" s="54" t="n"/>
      <c r="I95" s="237" t="n"/>
      <c r="J95" s="2" t="n"/>
    </row>
    <row r="96">
      <c r="A96" s="209" t="inlineStr">
        <is>
          <t>Контрагент</t>
        </is>
      </c>
      <c r="B96" s="238" t="inlineStr">
        <is>
          <t>вид услуги</t>
        </is>
      </c>
      <c r="C96" s="239" t="inlineStr">
        <is>
          <t>наименование</t>
        </is>
      </c>
      <c r="D96" s="240" t="inlineStr">
        <is>
          <t>вес, кг, шт</t>
        </is>
      </c>
      <c r="E96" s="240" t="inlineStr">
        <is>
          <t>цена</t>
        </is>
      </c>
      <c r="F96" s="240" t="inlineStr">
        <is>
          <t>сумма</t>
        </is>
      </c>
      <c r="G96" s="213" t="inlineStr">
        <is>
          <t>№УПД</t>
        </is>
      </c>
      <c r="H96" s="213" t="n"/>
      <c r="I96" s="2" t="n"/>
      <c r="J96" s="2" t="n"/>
    </row>
    <row r="97">
      <c r="A97" s="275" t="n"/>
      <c r="B97" s="276" t="n"/>
      <c r="C97" s="243" t="n"/>
      <c r="D97" s="244" t="n"/>
      <c r="E97" s="277" t="n"/>
      <c r="F97" s="278" t="n"/>
      <c r="G97" s="247" t="n"/>
      <c r="H97" s="248" t="n"/>
      <c r="I97" s="2" t="n"/>
      <c r="J97" s="2" t="n"/>
    </row>
    <row r="98">
      <c r="A98" s="249" t="n"/>
      <c r="B98" s="250" t="n"/>
      <c r="C98" s="251" t="n"/>
      <c r="D98" s="252" t="n"/>
      <c r="E98" s="253" t="n"/>
      <c r="F98" s="254">
        <f>D98*E98</f>
        <v/>
      </c>
      <c r="G98" s="255" t="n"/>
      <c r="H98" s="256" t="n"/>
      <c r="I98" s="2" t="n"/>
      <c r="J98" s="2" t="n"/>
    </row>
    <row r="99">
      <c r="A99" s="257" t="n"/>
      <c r="B99" s="258" t="n"/>
      <c r="C99" s="257" t="n"/>
      <c r="D99" s="257" t="n"/>
      <c r="E99" s="257" t="n"/>
      <c r="F99" s="254">
        <f>D99*E99</f>
        <v/>
      </c>
      <c r="G99" s="257" t="n"/>
      <c r="H99" s="257" t="n"/>
      <c r="I99" s="2" t="n"/>
      <c r="J99" s="2" t="n"/>
    </row>
    <row r="100">
      <c r="A100" s="249" t="n"/>
      <c r="B100" s="258" t="n"/>
      <c r="C100" s="257" t="n"/>
      <c r="D100" s="259" t="n"/>
      <c r="E100" s="257" t="n"/>
      <c r="F100" s="260" t="n"/>
      <c r="G100" s="257" t="n"/>
      <c r="H100" s="257" t="n"/>
      <c r="I100" s="2" t="n"/>
      <c r="J100" s="2" t="n"/>
    </row>
    <row r="101">
      <c r="A101" s="2" t="n"/>
      <c r="B101" s="261" t="n"/>
      <c r="C101" s="2" t="n"/>
      <c r="D101" s="2" t="n"/>
      <c r="E101" s="2" t="n"/>
      <c r="F101" s="262" t="n"/>
      <c r="G101" s="2" t="n"/>
      <c r="H101" s="2" t="n"/>
      <c r="I101" s="263" t="n"/>
      <c r="J101" s="264" t="n"/>
    </row>
  </sheetData>
  <mergeCells count="6">
    <mergeCell ref="A1:J1"/>
    <mergeCell ref="A83:H83"/>
    <mergeCell ref="A95:H95"/>
    <mergeCell ref="A17:H17"/>
    <mergeCell ref="A2:J2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29.75" customWidth="1" min="6" max="6"/>
    <col width="9.625" customWidth="1" min="7" max="7"/>
    <col width="11.12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n"/>
      <c r="C4" s="268" t="n"/>
      <c r="D4" s="51" t="n"/>
      <c r="E4" s="17" t="n"/>
      <c r="F4" s="17" t="n"/>
      <c r="G4" s="270" t="n"/>
      <c r="H4" s="19" t="n">
        <v>800</v>
      </c>
      <c r="I4" s="19">
        <f>F4*H4</f>
        <v/>
      </c>
      <c r="J4" s="20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44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244" t="n"/>
      <c r="C7" s="268" t="n"/>
      <c r="D7" s="51" t="n"/>
      <c r="E7" s="17" t="n"/>
      <c r="F7" s="17" t="n"/>
      <c r="G7" s="270" t="n"/>
      <c r="H7" s="19" t="n"/>
      <c r="I7" s="19" t="n"/>
      <c r="J7" s="20" t="n"/>
    </row>
    <row r="8">
      <c r="A8" s="13" t="n"/>
      <c r="B8" s="244" t="n"/>
      <c r="C8" s="268" t="n"/>
      <c r="D8" s="51" t="n"/>
      <c r="E8" s="17" t="n"/>
      <c r="F8" s="17" t="n"/>
      <c r="G8" s="17" t="n"/>
      <c r="H8" s="19" t="n"/>
      <c r="I8" s="19" t="n"/>
      <c r="J8" s="20" t="n"/>
    </row>
    <row r="9">
      <c r="A9" s="13" t="n"/>
      <c r="B9" s="244" t="n"/>
      <c r="C9" s="268" t="n"/>
      <c r="D9" s="51" t="n"/>
      <c r="E9" s="17" t="n"/>
      <c r="F9" s="17" t="n"/>
      <c r="G9" s="17" t="n"/>
      <c r="H9" s="19" t="n"/>
      <c r="I9" s="19" t="n"/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379177.45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66" t="n"/>
      <c r="B20" s="67" t="n"/>
      <c r="C20" s="68" t="n"/>
      <c r="D20" s="68" t="n"/>
      <c r="E20" s="69" t="n"/>
      <c r="F20" s="70" t="n"/>
      <c r="G20" s="71" t="n"/>
      <c r="H20" s="72">
        <f>F20*G20</f>
        <v/>
      </c>
      <c r="I20" s="2" t="n"/>
      <c r="J20" s="2" t="n"/>
    </row>
    <row r="21">
      <c r="A21" s="66" t="n"/>
      <c r="B21" s="67" t="n"/>
      <c r="C21" s="68" t="n"/>
      <c r="D21" s="68" t="n"/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2" t="n"/>
      <c r="J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81" t="inlineStr">
        <is>
          <t>форсунки для барабана</t>
        </is>
      </c>
      <c r="B27" s="67" t="n"/>
      <c r="C27" s="68" t="n">
        <v>1330</v>
      </c>
      <c r="D27" s="68" t="n">
        <v>1330</v>
      </c>
      <c r="E27" s="76" t="n"/>
      <c r="F27" s="78" t="n"/>
      <c r="G27" s="79" t="n"/>
      <c r="H27" s="80" t="n"/>
      <c r="I27" s="2" t="n"/>
      <c r="J27" s="2" t="n"/>
    </row>
    <row r="28">
      <c r="A28" s="69" t="inlineStr">
        <is>
          <t>з/п Саманков</t>
        </is>
      </c>
      <c r="B28" s="67" t="n"/>
      <c r="C28" s="68" t="n">
        <v>10000</v>
      </c>
      <c r="D28" s="68" t="n">
        <v>10000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inlineStr">
        <is>
          <t>з/п Матвиенко</t>
        </is>
      </c>
      <c r="B29" s="67" t="n"/>
      <c r="C29" s="68" t="n">
        <v>10000</v>
      </c>
      <c r="D29" s="74" t="n">
        <v>10000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81" t="inlineStr">
        <is>
          <t>з/п сотрудники</t>
        </is>
      </c>
      <c r="B30" s="67" t="n"/>
      <c r="C30" s="68" t="n">
        <v>121000</v>
      </c>
      <c r="D30" s="68" t="n">
        <v>121000</v>
      </c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inlineStr">
        <is>
          <t>командировка Логинов (конструктор)</t>
        </is>
      </c>
      <c r="B31" s="67" t="n"/>
      <c r="C31" s="68" t="n">
        <v>5000</v>
      </c>
      <c r="D31" s="74" t="n">
        <v>5000</v>
      </c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n"/>
      <c r="B32" s="67" t="n"/>
      <c r="C32" s="68" t="n"/>
      <c r="D32" s="74" t="n"/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5" t="n"/>
      <c r="E34" s="76" t="n"/>
      <c r="F34" s="78" t="n"/>
      <c r="G34" s="79" t="n"/>
      <c r="H34" s="72">
        <f>F34*G34</f>
        <v/>
      </c>
      <c r="I34" s="313" t="n"/>
      <c r="J34" s="2" t="n"/>
    </row>
    <row r="35">
      <c r="A35" s="69" t="n"/>
      <c r="B35" s="67" t="n"/>
      <c r="C35" s="68" t="n"/>
      <c r="D35" s="75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83" t="n"/>
      <c r="B37" s="67" t="n"/>
      <c r="C37" s="68" t="n"/>
      <c r="D37" s="84" t="n"/>
      <c r="E37" s="85" t="inlineStr">
        <is>
          <t>Итого расход:</t>
        </is>
      </c>
      <c r="F37" s="78" t="n"/>
      <c r="G37" s="79" t="n"/>
      <c r="H37" s="72">
        <f>F37*G37</f>
        <v/>
      </c>
      <c r="I37" s="86" t="n"/>
      <c r="J37" s="86" t="n"/>
    </row>
    <row r="38">
      <c r="A38" s="87" t="inlineStr">
        <is>
          <t>Остаток на конец дня:</t>
        </is>
      </c>
      <c r="B38" s="88" t="n"/>
      <c r="C38" s="89" t="n"/>
      <c r="D38" s="90">
        <f>SUM(D20,D21:D24,D19,)-SUM(D27:D37,)</f>
        <v/>
      </c>
      <c r="E38" s="87" t="inlineStr">
        <is>
          <t>Остаток на конец дня:</t>
        </is>
      </c>
      <c r="F38" s="91" t="n"/>
      <c r="G38" s="89" t="n"/>
      <c r="H38" s="92">
        <f>SUM(H19+H25-H37)</f>
        <v/>
      </c>
      <c r="I38" s="2" t="n"/>
      <c r="J38" s="2" t="n"/>
    </row>
    <row r="39">
      <c r="A39" s="93" t="n"/>
      <c r="B39" s="94" t="n"/>
      <c r="C39" s="43" t="n"/>
      <c r="D39" s="41" t="n"/>
      <c r="E39" s="41" t="n"/>
      <c r="F39" s="41" t="n"/>
      <c r="G39" s="2" t="n"/>
      <c r="H39" s="2" t="n"/>
      <c r="I39" s="2" t="n"/>
      <c r="J39" s="2" t="n"/>
    </row>
    <row r="40">
      <c r="A40" s="95" t="inlineStr">
        <is>
          <t>Расчётный счёт</t>
        </is>
      </c>
      <c r="B40" s="54" t="n"/>
      <c r="C40" s="54" t="n"/>
      <c r="D40" s="54" t="n"/>
      <c r="E40" s="54" t="n"/>
      <c r="F40" s="54" t="n"/>
      <c r="G40" s="54" t="n"/>
      <c r="H40" s="54" t="n"/>
      <c r="I40" s="2" t="n"/>
      <c r="J40" s="2" t="n"/>
    </row>
    <row r="41">
      <c r="A41" s="96" t="inlineStr">
        <is>
          <t>ВТБ</t>
        </is>
      </c>
      <c r="B41" s="279" t="inlineStr">
        <is>
          <t>ВТБ</t>
        </is>
      </c>
      <c r="C41" s="279" t="n"/>
      <c r="D41" s="47" t="n"/>
      <c r="E41" s="97" t="inlineStr">
        <is>
          <t>Альфабанк</t>
        </is>
      </c>
      <c r="F41" s="56" t="n"/>
      <c r="G41" s="56" t="n"/>
      <c r="H41" s="47" t="n"/>
      <c r="I41" s="2" t="n"/>
      <c r="J41" s="2" t="n"/>
    </row>
    <row r="42">
      <c r="A42" s="98" t="inlineStr">
        <is>
          <t>Остаток на начало дня:</t>
        </is>
      </c>
      <c r="B42" s="280" t="n"/>
      <c r="C42" s="290" t="n">
        <v>298069.23</v>
      </c>
      <c r="D42" s="56" t="n"/>
      <c r="E42" s="100" t="inlineStr">
        <is>
          <t>Остаток на начало дня:</t>
        </is>
      </c>
      <c r="F42" s="47" t="n"/>
      <c r="G42" s="101" t="n">
        <v>1506.2</v>
      </c>
      <c r="H42" s="47" t="n"/>
      <c r="I42" s="2" t="n"/>
      <c r="J42" s="2" t="n"/>
    </row>
    <row r="43">
      <c r="A43" s="102" t="inlineStr">
        <is>
          <t>Поступление</t>
        </is>
      </c>
      <c r="B43" s="47" t="n"/>
      <c r="C43" s="102" t="inlineStr">
        <is>
          <t>Расход</t>
        </is>
      </c>
      <c r="D43" s="47" t="n"/>
      <c r="E43" s="102" t="inlineStr">
        <is>
          <t>Поступление</t>
        </is>
      </c>
      <c r="F43" s="47" t="n"/>
      <c r="G43" s="102" t="inlineStr">
        <is>
          <t>Расход</t>
        </is>
      </c>
      <c r="H43" s="47" t="n"/>
      <c r="I43" s="86" t="n"/>
      <c r="J43" s="86" t="n"/>
    </row>
    <row r="44">
      <c r="A44" s="103" t="inlineStr">
        <is>
          <t>от кого</t>
        </is>
      </c>
      <c r="B44" s="103" t="inlineStr">
        <is>
          <t>сумма</t>
        </is>
      </c>
      <c r="C44" s="103" t="inlineStr">
        <is>
          <t>кому</t>
        </is>
      </c>
      <c r="D44" s="103" t="inlineStr">
        <is>
          <t>сумма</t>
        </is>
      </c>
      <c r="E44" s="103" t="inlineStr">
        <is>
          <t>от кого</t>
        </is>
      </c>
      <c r="F44" s="103" t="inlineStr">
        <is>
          <t>сумма</t>
        </is>
      </c>
      <c r="G44" s="103" t="inlineStr">
        <is>
          <t xml:space="preserve">кому </t>
        </is>
      </c>
      <c r="H44" s="103" t="inlineStr">
        <is>
          <t>сумма</t>
        </is>
      </c>
      <c r="I44" s="86" t="n"/>
      <c r="J44" s="86" t="n"/>
    </row>
    <row r="45">
      <c r="A45" s="104" t="inlineStr">
        <is>
          <t xml:space="preserve">ООО Золотой снек  за арахис </t>
        </is>
      </c>
      <c r="B45" s="281" t="n">
        <v>115340</v>
      </c>
      <c r="C45" s="106" t="inlineStr">
        <is>
          <t>ООО ПЭК  за доставку</t>
        </is>
      </c>
      <c r="D45" s="107" t="n">
        <v>3802.1</v>
      </c>
      <c r="E45" s="108" t="n"/>
      <c r="F45" s="109" t="n"/>
      <c r="G45" s="110" t="n"/>
      <c r="H45" s="109" t="n"/>
      <c r="I45" s="86" t="n"/>
      <c r="J45" s="86" t="n"/>
    </row>
    <row r="46">
      <c r="A46" s="282" t="n"/>
      <c r="B46" s="281" t="n"/>
      <c r="C46" s="112" t="inlineStr">
        <is>
          <t xml:space="preserve">ООО Приопак за пленку </t>
        </is>
      </c>
      <c r="D46" s="107" t="n">
        <v>25969.2</v>
      </c>
      <c r="E46" s="110" t="n"/>
      <c r="F46" s="109" t="n"/>
      <c r="G46" s="110" t="n"/>
      <c r="H46" s="109" t="n"/>
      <c r="I46" s="86" t="n"/>
      <c r="J46" s="86" t="n"/>
    </row>
    <row r="47">
      <c r="A47" s="111" t="n"/>
      <c r="B47" s="283" t="n"/>
      <c r="C47" s="113" t="inlineStr">
        <is>
          <t xml:space="preserve">Лаконт А за светопробы </t>
        </is>
      </c>
      <c r="D47" s="107" t="n">
        <v>35845</v>
      </c>
      <c r="E47" s="110" t="n"/>
      <c r="F47" s="109" t="n"/>
      <c r="G47" s="114" t="n"/>
      <c r="H47" s="109" t="n"/>
      <c r="I47" s="86" t="n"/>
      <c r="J47" s="86" t="n"/>
    </row>
    <row r="48">
      <c r="A48" s="115" t="n"/>
      <c r="B48" s="283" t="n"/>
      <c r="C48" s="113" t="inlineStr">
        <is>
          <t xml:space="preserve">АО Эко ресурс  за диоксид титана </t>
        </is>
      </c>
      <c r="D48" s="107" t="n">
        <v>70682</v>
      </c>
      <c r="E48" s="108" t="n"/>
      <c r="F48" s="116" t="n"/>
      <c r="G48" s="114" t="n"/>
      <c r="H48" s="109" t="n"/>
      <c r="I48" s="86" t="n"/>
      <c r="J48" s="86" t="n"/>
    </row>
    <row r="49">
      <c r="A49" s="117" t="n"/>
      <c r="B49" s="283" t="n"/>
      <c r="C49" s="113" t="inlineStr">
        <is>
          <t>Размещение на депозите 277000</t>
        </is>
      </c>
      <c r="D49" s="107" t="n">
        <v>0</v>
      </c>
      <c r="E49" s="118" t="n"/>
      <c r="F49" s="119" t="n"/>
      <c r="G49" s="120" t="n"/>
      <c r="H49" s="120" t="n"/>
      <c r="I49" s="86" t="n"/>
      <c r="J49" s="86" t="n"/>
    </row>
    <row r="50">
      <c r="A50" s="117" t="n"/>
      <c r="B50" s="283" t="n"/>
      <c r="C50" s="113" t="n"/>
      <c r="D50" s="107" t="n"/>
      <c r="E50" s="118" t="n"/>
      <c r="F50" s="119" t="n"/>
      <c r="G50" s="121" t="n"/>
      <c r="H50" s="120" t="n"/>
      <c r="I50" s="86" t="n"/>
      <c r="J50" s="86" t="n"/>
    </row>
    <row r="51">
      <c r="A51" s="122" t="n"/>
      <c r="B51" s="283" t="n"/>
      <c r="C51" s="113" t="n"/>
      <c r="D51" s="107" t="n"/>
      <c r="E51" s="118" t="n"/>
      <c r="F51" s="118" t="n"/>
      <c r="G51" s="123" t="n"/>
      <c r="H51" s="120" t="n"/>
      <c r="I51" s="86" t="n"/>
      <c r="J51" s="86" t="n"/>
    </row>
    <row r="52">
      <c r="A52" s="124" t="n"/>
      <c r="B52" s="284" t="n"/>
      <c r="C52" s="113" t="n"/>
      <c r="D52" s="107" t="n"/>
      <c r="E52" s="124" t="n"/>
      <c r="F52" s="118" t="n"/>
      <c r="G52" s="110" t="n"/>
      <c r="H52" s="120" t="n"/>
      <c r="I52" s="86" t="n"/>
      <c r="J52" s="86" t="n"/>
    </row>
    <row r="53">
      <c r="A53" s="124" t="n"/>
      <c r="B53" s="285" t="n"/>
      <c r="C53" s="110" t="n"/>
      <c r="D53" s="126" t="n"/>
      <c r="E53" s="124" t="n"/>
      <c r="F53" s="118" t="n"/>
      <c r="G53" s="110" t="n"/>
      <c r="H53" s="120" t="n"/>
      <c r="I53" s="86" t="n"/>
      <c r="J53" s="86" t="n"/>
    </row>
    <row r="54">
      <c r="A54" s="124" t="n"/>
      <c r="B54" s="285" t="n"/>
      <c r="C54" s="110" t="n"/>
      <c r="D54" s="126" t="n"/>
      <c r="E54" s="124" t="n"/>
      <c r="F54" s="118" t="n"/>
      <c r="G54" s="110" t="n"/>
      <c r="H54" s="120" t="n"/>
      <c r="I54" s="86" t="n"/>
      <c r="J54" s="86" t="n"/>
    </row>
    <row r="55">
      <c r="A55" s="124" t="n"/>
      <c r="B55" s="285" t="n"/>
      <c r="C55" s="110" t="n"/>
      <c r="D55" s="126" t="n"/>
      <c r="E55" s="124" t="n"/>
      <c r="F55" s="118" t="n"/>
      <c r="G55" s="110" t="n"/>
      <c r="H55" s="120" t="n"/>
      <c r="I55" s="86" t="n"/>
      <c r="J55" s="86" t="n"/>
    </row>
    <row r="56">
      <c r="A56" s="124" t="n"/>
      <c r="B56" s="28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7" t="n"/>
      <c r="B58" s="128">
        <f>SUM(B45:B57)+C42</f>
        <v/>
      </c>
      <c r="C58" s="129" t="n"/>
      <c r="D58" s="128">
        <f>SUM(D45:D57)</f>
        <v/>
      </c>
      <c r="E58" s="130" t="n"/>
      <c r="F58" s="130">
        <f>SUM(F45:F57)</f>
        <v/>
      </c>
      <c r="G58" s="130" t="n"/>
      <c r="H58" s="130">
        <f>SUM(H45:H57)</f>
        <v/>
      </c>
      <c r="I58" s="2" t="n"/>
      <c r="J58" s="2" t="n"/>
    </row>
    <row r="59">
      <c r="A59" s="131" t="inlineStr">
        <is>
          <t>Остаток на конец дня:</t>
        </is>
      </c>
      <c r="B59" s="132">
        <f>B58-D58</f>
        <v/>
      </c>
      <c r="C59" s="56" t="n"/>
      <c r="D59" s="47" t="n"/>
      <c r="E59" s="100" t="inlineStr">
        <is>
          <t>Остаток на конец дня:</t>
        </is>
      </c>
      <c r="F59" s="101" t="n">
        <v>1506.2</v>
      </c>
      <c r="G59" s="56" t="n"/>
      <c r="H59" s="47" t="n"/>
      <c r="I59" s="2" t="n"/>
      <c r="J59" s="2" t="n"/>
    </row>
    <row r="60">
      <c r="A60" s="133" t="inlineStr">
        <is>
          <t>ИТОГО:</t>
        </is>
      </c>
      <c r="B60" s="47" t="n"/>
      <c r="C60" s="134" t="n">
        <v>278617.13</v>
      </c>
      <c r="D60" s="56" t="n"/>
      <c r="E60" s="56" t="n"/>
      <c r="F60" s="56" t="n"/>
      <c r="G60" s="56" t="n"/>
      <c r="H60" s="47" t="n"/>
      <c r="I60" s="2" t="n"/>
      <c r="J60" s="2" t="n"/>
    </row>
    <row r="61">
      <c r="A61" s="41" t="n"/>
      <c r="B61" s="94" t="n"/>
      <c r="C61" s="43" t="n"/>
      <c r="D61" s="41" t="n"/>
      <c r="E61" s="41" t="n"/>
      <c r="F61" s="41" t="n"/>
      <c r="G61" s="41" t="n"/>
      <c r="H61" s="93" t="n"/>
      <c r="I61" s="135" t="n"/>
      <c r="J61" s="135" t="n"/>
    </row>
    <row r="62">
      <c r="A62" s="136" t="n"/>
      <c r="B62" s="137" t="inlineStr">
        <is>
          <t>Реализация по безналичному расчёту</t>
        </is>
      </c>
      <c r="D62" s="2" t="n"/>
      <c r="E62" s="41" t="n"/>
      <c r="F62" s="41" t="n"/>
      <c r="G62" s="41" t="n"/>
      <c r="H62" s="138" t="n"/>
      <c r="I62" s="2" t="n"/>
      <c r="J62" s="2" t="n"/>
    </row>
    <row r="63">
      <c r="A63" s="139" t="inlineStr">
        <is>
          <t>Контрагент</t>
        </is>
      </c>
      <c r="B63" s="140" t="inlineStr">
        <is>
          <t>поставщик</t>
        </is>
      </c>
      <c r="C63" s="141" t="inlineStr">
        <is>
          <t>наименование</t>
        </is>
      </c>
      <c r="D63" s="142" t="inlineStr">
        <is>
          <t>вес упаковки, тарелки</t>
        </is>
      </c>
      <c r="E63" s="143" t="inlineStr">
        <is>
          <t>кол.-во пакетов, коробок</t>
        </is>
      </c>
      <c r="F63" s="144" t="inlineStr">
        <is>
          <t>кол-во мест в коробке/упаковке</t>
        </is>
      </c>
      <c r="G63" s="145" t="inlineStr">
        <is>
          <t>общий вес, кг.</t>
        </is>
      </c>
      <c r="H63" s="146" t="inlineStr">
        <is>
          <t>цена пакет, тарелка</t>
        </is>
      </c>
      <c r="I63" s="147" t="inlineStr">
        <is>
          <t>сумма</t>
        </is>
      </c>
      <c r="J63" s="148" t="inlineStr">
        <is>
          <t>Комментарий</t>
        </is>
      </c>
    </row>
    <row r="64">
      <c r="A64" s="150" t="n"/>
      <c r="B64" s="151" t="n"/>
      <c r="C64" s="272" t="n"/>
      <c r="D64" s="153" t="n"/>
      <c r="E64" s="154" t="n"/>
      <c r="F64" s="155" t="n"/>
      <c r="G64" s="154" t="n"/>
      <c r="H64" s="156" t="n"/>
      <c r="I64" s="156" t="n"/>
      <c r="J64" s="157" t="n"/>
    </row>
    <row r="65">
      <c r="A65" s="150" t="n"/>
      <c r="B65" s="151" t="n"/>
      <c r="C65" s="158" t="n"/>
      <c r="D65" s="153" t="n"/>
      <c r="E65" s="154" t="n"/>
      <c r="F65" s="155" t="n"/>
      <c r="G65" s="154" t="n"/>
      <c r="H65" s="156" t="n"/>
      <c r="I65" s="156" t="n"/>
      <c r="J65" s="159" t="n"/>
    </row>
    <row r="66">
      <c r="A66" s="150" t="n"/>
      <c r="B66" s="151" t="n"/>
      <c r="C66" s="158" t="n"/>
      <c r="D66" s="153" t="n"/>
      <c r="E66" s="154" t="n"/>
      <c r="F66" s="155" t="n"/>
      <c r="G66" s="154" t="n"/>
      <c r="H66" s="156" t="n"/>
      <c r="I66" s="156" t="n"/>
      <c r="J66" s="159" t="n"/>
    </row>
    <row r="67">
      <c r="A67" s="150" t="n"/>
      <c r="B67" s="151" t="n"/>
      <c r="C67" s="158" t="n"/>
      <c r="D67" s="153" t="n"/>
      <c r="E67" s="154" t="n"/>
      <c r="F67" s="155" t="n"/>
      <c r="G67" s="154" t="n"/>
      <c r="H67" s="156" t="n"/>
      <c r="I67" s="156" t="n"/>
      <c r="J67" s="159" t="n"/>
    </row>
    <row r="68">
      <c r="A68" s="150" t="n"/>
      <c r="B68" s="151" t="n"/>
      <c r="C68" s="152" t="n"/>
      <c r="D68" s="153" t="n"/>
      <c r="E68" s="154" t="n"/>
      <c r="F68" s="155" t="n"/>
      <c r="G68" s="154" t="n"/>
      <c r="H68" s="156" t="n"/>
      <c r="I68" s="156" t="n"/>
      <c r="J68" s="159" t="n"/>
    </row>
    <row r="69">
      <c r="A69" s="150" t="n"/>
      <c r="B69" s="151" t="n"/>
      <c r="C69" s="152" t="n"/>
      <c r="D69" s="153" t="n"/>
      <c r="E69" s="154" t="n"/>
      <c r="F69" s="155" t="n"/>
      <c r="G69" s="154" t="n"/>
      <c r="H69" s="156" t="n"/>
      <c r="I69" s="156" t="n"/>
      <c r="J69" s="159" t="n"/>
    </row>
    <row r="70">
      <c r="A70" s="150" t="n"/>
      <c r="B70" s="150" t="n"/>
      <c r="C70" s="160" t="n"/>
      <c r="D70" s="153" t="n"/>
      <c r="E70" s="154" t="n"/>
      <c r="F70" s="155" t="n"/>
      <c r="G70" s="154" t="n"/>
      <c r="H70" s="156" t="n"/>
      <c r="I70" s="156" t="n"/>
      <c r="J70" s="161" t="n"/>
    </row>
    <row r="71">
      <c r="A71" s="162" t="n"/>
      <c r="B71" s="163" t="n"/>
      <c r="C71" s="164" t="n"/>
      <c r="D71" s="165" t="n"/>
      <c r="E71" s="166" t="n"/>
      <c r="F71" s="167" t="n"/>
      <c r="G71" s="168" t="n"/>
      <c r="H71" s="169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62" t="n"/>
      <c r="B74" s="163" t="n"/>
      <c r="C74" s="171" t="n"/>
      <c r="D74" s="153" t="n"/>
      <c r="E74" s="172" t="n"/>
      <c r="F74" s="155" t="n"/>
      <c r="G74" s="168" t="n"/>
      <c r="H74" s="156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73" t="n"/>
      <c r="B76" s="174" t="n"/>
      <c r="C76" s="175" t="n"/>
      <c r="D76" s="176" t="n"/>
      <c r="E76" s="177" t="n"/>
      <c r="F76" s="178" t="n"/>
      <c r="G76" s="179" t="n"/>
      <c r="H76" s="180" t="n"/>
      <c r="I76" s="181" t="n"/>
      <c r="J76" s="161" t="n"/>
    </row>
    <row r="77">
      <c r="A77" s="182" t="n"/>
      <c r="B77" s="163" t="n"/>
      <c r="C77" s="183" t="n"/>
      <c r="D77" s="184" t="n"/>
      <c r="E77" s="166" t="n"/>
      <c r="F77" s="167" t="n"/>
      <c r="G77" s="185">
        <f>D77*F77</f>
        <v/>
      </c>
      <c r="H77" s="186" t="n"/>
      <c r="I77" s="186">
        <f>F77*H77*E77</f>
        <v/>
      </c>
      <c r="J77" s="187" t="n"/>
    </row>
    <row r="78">
      <c r="A78" s="182" t="n"/>
      <c r="B78" s="163" t="n"/>
      <c r="C78" s="188" t="n"/>
      <c r="D78" s="189" t="n"/>
      <c r="E78" s="190" t="n"/>
      <c r="F78" s="189" t="n"/>
      <c r="G78" s="185">
        <f>D78*F78</f>
        <v/>
      </c>
      <c r="H78" s="191" t="n"/>
      <c r="I78" s="186">
        <f>F78*H78*E78</f>
        <v/>
      </c>
      <c r="J78" s="187" t="n"/>
    </row>
    <row r="79">
      <c r="A79" s="192" t="inlineStr">
        <is>
          <t>ИТОГО:</t>
        </is>
      </c>
      <c r="B79" s="193" t="n"/>
      <c r="C79" s="194" t="n"/>
      <c r="D79" s="195" t="n"/>
      <c r="E79" s="196">
        <f>SUM(E64:E78)</f>
        <v/>
      </c>
      <c r="F79" s="197">
        <f>SUM(F64:F76)</f>
        <v/>
      </c>
      <c r="G79" s="198">
        <f>SUM(G64:G71)</f>
        <v/>
      </c>
      <c r="H79" s="199" t="n"/>
      <c r="I79" s="199">
        <f>SUM(I64:I72)</f>
        <v/>
      </c>
      <c r="J79" s="200" t="n"/>
    </row>
    <row r="80">
      <c r="A80" s="2" t="n"/>
      <c r="B80" s="94" t="n"/>
      <c r="C80" s="43" t="n"/>
      <c r="D80" s="41" t="n"/>
      <c r="E80" s="41" t="n"/>
      <c r="F80" s="41" t="n"/>
      <c r="G80" s="41" t="n"/>
      <c r="H80" s="2" t="n"/>
      <c r="I80" s="2" t="n"/>
      <c r="J80" s="2" t="n"/>
    </row>
    <row r="81">
      <c r="A81" s="201" t="inlineStr">
        <is>
          <t>реализация Всего касса+безнал:</t>
        </is>
      </c>
      <c r="B81" s="202" t="inlineStr">
        <is>
          <t>кг</t>
        </is>
      </c>
      <c r="C81" s="203" t="inlineStr">
        <is>
          <t>на сумму</t>
        </is>
      </c>
      <c r="D81" s="41" t="n"/>
      <c r="E81" s="41" t="n"/>
      <c r="F81" s="41" t="n"/>
      <c r="G81" s="41" t="n"/>
      <c r="H81" s="2" t="n"/>
      <c r="I81" s="2" t="n"/>
      <c r="J81" s="2" t="n"/>
    </row>
    <row r="82">
      <c r="A82" s="204" t="n"/>
      <c r="B82" s="205">
        <f>E12+G79</f>
        <v/>
      </c>
      <c r="C82" s="206">
        <f>I12+H79+I79</f>
        <v/>
      </c>
      <c r="D82" s="41" t="n"/>
      <c r="E82" s="41" t="n"/>
      <c r="F82" s="41" t="n"/>
      <c r="G82" s="41" t="n"/>
      <c r="H82" s="2" t="n"/>
      <c r="I82" s="2" t="n"/>
      <c r="J82" s="2" t="n"/>
    </row>
    <row r="83">
      <c r="A83" s="207" t="inlineStr">
        <is>
          <t>Услуги оказывают нам (доставка сырья и комплектующих на склад, Товара покупателям)</t>
        </is>
      </c>
      <c r="B83" s="54" t="n"/>
      <c r="C83" s="54" t="n"/>
      <c r="D83" s="54" t="n"/>
      <c r="E83" s="54" t="n"/>
      <c r="F83" s="54" t="n"/>
      <c r="G83" s="54" t="n"/>
      <c r="H83" s="54" t="n"/>
      <c r="I83" s="291" t="n"/>
      <c r="J83" s="58" t="n"/>
    </row>
    <row r="84">
      <c r="A84" s="209" t="inlineStr">
        <is>
          <t>Контрагент</t>
        </is>
      </c>
      <c r="B84" s="210" t="inlineStr">
        <is>
          <t>вид услуги</t>
        </is>
      </c>
      <c r="C84" s="211" t="inlineStr">
        <is>
          <t>Кому / От кого</t>
        </is>
      </c>
      <c r="D84" s="212" t="inlineStr">
        <is>
          <t>наименование</t>
        </is>
      </c>
      <c r="E84" s="213" t="inlineStr">
        <is>
          <t xml:space="preserve">город доставки </t>
        </is>
      </c>
      <c r="F84" s="214" t="inlineStr">
        <is>
          <t>цена</t>
        </is>
      </c>
      <c r="G84" s="213" t="inlineStr">
        <is>
          <t>сумма</t>
        </is>
      </c>
      <c r="H84" s="212" t="inlineStr">
        <is>
          <t>за тонну</t>
        </is>
      </c>
      <c r="I84" s="291" t="n"/>
      <c r="J84" s="58" t="n"/>
    </row>
    <row r="85">
      <c r="A85" s="215" t="n"/>
      <c r="B85" s="60" t="n"/>
      <c r="C85" s="63" t="n"/>
      <c r="D85" s="226" t="n"/>
      <c r="E85" s="317" t="n"/>
      <c r="F85" s="62" t="n"/>
      <c r="G85" s="218">
        <f>F85+F1203</f>
        <v/>
      </c>
      <c r="H85" s="305" t="n"/>
      <c r="I85" s="291" t="n"/>
      <c r="J85" s="58" t="n"/>
    </row>
    <row r="86">
      <c r="A86" s="215" t="n"/>
      <c r="B86" s="60" t="n"/>
      <c r="C86" s="63" t="n"/>
      <c r="D86" s="226" t="n"/>
      <c r="E86" s="217" t="n"/>
      <c r="F86" s="62" t="n"/>
      <c r="G86" s="218" t="n"/>
      <c r="H86" s="305" t="n"/>
      <c r="I86" s="315" t="n"/>
      <c r="J86" s="58" t="n"/>
    </row>
    <row r="87">
      <c r="A87" s="220" t="n"/>
      <c r="B87" s="60" t="n"/>
      <c r="C87" s="221" t="n"/>
      <c r="D87" s="222" t="n"/>
      <c r="E87" s="274" t="n"/>
      <c r="F87" s="223" t="n"/>
      <c r="G87" s="218" t="n"/>
      <c r="H87" s="305" t="n"/>
      <c r="I87" s="2" t="n"/>
      <c r="J87" s="2" t="n"/>
    </row>
    <row r="88">
      <c r="A88" s="220" t="n"/>
      <c r="B88" s="60" t="n"/>
      <c r="C88" s="221" t="n"/>
      <c r="D88" s="222" t="n"/>
      <c r="E88" s="274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74" t="n"/>
      <c r="F89" s="223" t="n"/>
      <c r="G89" s="218" t="n"/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F90+F1208</f>
        <v/>
      </c>
      <c r="H90" s="219" t="n"/>
      <c r="I90" s="2" t="n"/>
      <c r="J90" s="2" t="n"/>
    </row>
    <row r="91">
      <c r="A91" s="220" t="n"/>
      <c r="B91" s="60" t="n"/>
      <c r="C91" s="221" t="n"/>
      <c r="D91" s="226" t="n"/>
      <c r="E91" s="227" t="n"/>
      <c r="F91" s="223" t="n"/>
      <c r="G91" s="218">
        <f>F91+F1209</f>
        <v/>
      </c>
      <c r="H91" s="219" t="n"/>
      <c r="I91" s="2" t="n"/>
      <c r="J91" s="2" t="n"/>
    </row>
    <row r="92">
      <c r="A92" s="220" t="n"/>
      <c r="B92" s="60" t="n"/>
      <c r="C92" s="221" t="n"/>
      <c r="D92" s="226" t="n"/>
      <c r="E92" s="227" t="n"/>
      <c r="F92" s="223" t="n"/>
      <c r="G92" s="218">
        <f>F92+F1210</f>
        <v/>
      </c>
      <c r="H92" s="228" t="n"/>
      <c r="I92" s="2" t="n"/>
      <c r="J92" s="2" t="n"/>
    </row>
    <row r="93">
      <c r="A93" s="229" t="inlineStr">
        <is>
          <t>ИТОГО:</t>
        </is>
      </c>
      <c r="B93" s="230" t="n"/>
      <c r="C93" s="231" t="n"/>
      <c r="D93" s="232" t="n"/>
      <c r="E93" s="233">
        <f>SUM(E85:E92)</f>
        <v/>
      </c>
      <c r="F93" s="234" t="n"/>
      <c r="G93" s="235">
        <f>SUM(G85:G92)</f>
        <v/>
      </c>
      <c r="H93" s="235" t="n"/>
      <c r="I93" s="2" t="n"/>
      <c r="J93" s="2" t="n"/>
    </row>
    <row r="94">
      <c r="A94" s="41" t="n"/>
      <c r="B94" s="94" t="n"/>
      <c r="C94" s="43" t="n"/>
      <c r="D94" s="41" t="n"/>
      <c r="E94" s="41" t="n"/>
      <c r="F94" s="41" t="n"/>
      <c r="G94" s="41" t="n"/>
      <c r="H94" s="41" t="n"/>
      <c r="I94" s="2" t="n"/>
      <c r="J94" s="2" t="n"/>
    </row>
    <row r="95">
      <c r="A95" s="236" t="inlineStr">
        <is>
          <t>Услуги оказываем мы</t>
        </is>
      </c>
      <c r="B95" s="54" t="n"/>
      <c r="C95" s="54" t="n"/>
      <c r="D95" s="54" t="n"/>
      <c r="E95" s="54" t="n"/>
      <c r="F95" s="54" t="n"/>
      <c r="G95" s="54" t="n"/>
      <c r="H95" s="54" t="n"/>
      <c r="I95" s="237" t="n"/>
      <c r="J95" s="2" t="n"/>
    </row>
    <row r="96">
      <c r="A96" s="209" t="inlineStr">
        <is>
          <t>Контрагент</t>
        </is>
      </c>
      <c r="B96" s="238" t="inlineStr">
        <is>
          <t>вид услуги</t>
        </is>
      </c>
      <c r="C96" s="239" t="inlineStr">
        <is>
          <t>наименование</t>
        </is>
      </c>
      <c r="D96" s="240" t="inlineStr">
        <is>
          <t>вес, кг, шт</t>
        </is>
      </c>
      <c r="E96" s="240" t="inlineStr">
        <is>
          <t>цена</t>
        </is>
      </c>
      <c r="F96" s="240" t="inlineStr">
        <is>
          <t>сумма</t>
        </is>
      </c>
      <c r="G96" s="213" t="inlineStr">
        <is>
          <t>№УПД</t>
        </is>
      </c>
      <c r="H96" s="213" t="n"/>
      <c r="I96" s="2" t="n"/>
      <c r="J96" s="2" t="n"/>
    </row>
    <row r="97">
      <c r="A97" s="275" t="n"/>
      <c r="B97" s="276" t="n"/>
      <c r="C97" s="243" t="n"/>
      <c r="D97" s="244" t="n"/>
      <c r="E97" s="277" t="n"/>
      <c r="F97" s="278" t="n"/>
      <c r="G97" s="247" t="n"/>
      <c r="H97" s="248" t="n"/>
      <c r="I97" s="2" t="n"/>
      <c r="J97" s="2" t="n"/>
    </row>
    <row r="98">
      <c r="A98" s="249" t="n"/>
      <c r="B98" s="250" t="n"/>
      <c r="C98" s="251" t="n"/>
      <c r="D98" s="252" t="n"/>
      <c r="E98" s="253" t="n"/>
      <c r="F98" s="254">
        <f>D98*E98</f>
        <v/>
      </c>
      <c r="G98" s="255" t="n"/>
      <c r="H98" s="256" t="n"/>
      <c r="I98" s="2" t="n"/>
      <c r="J98" s="2" t="n"/>
    </row>
    <row r="99">
      <c r="A99" s="257" t="n"/>
      <c r="B99" s="258" t="n"/>
      <c r="C99" s="257" t="n"/>
      <c r="D99" s="257" t="n"/>
      <c r="E99" s="257" t="n"/>
      <c r="F99" s="254">
        <f>D99*E99</f>
        <v/>
      </c>
      <c r="G99" s="257" t="n"/>
      <c r="H99" s="257" t="n"/>
      <c r="I99" s="2" t="n"/>
      <c r="J99" s="2" t="n"/>
    </row>
    <row r="100">
      <c r="A100" s="249" t="n"/>
      <c r="B100" s="258" t="n"/>
      <c r="C100" s="257" t="n"/>
      <c r="D100" s="259" t="n"/>
      <c r="E100" s="257" t="n"/>
      <c r="F100" s="260" t="n"/>
      <c r="G100" s="257" t="n"/>
      <c r="H100" s="257" t="n"/>
      <c r="I100" s="2" t="n"/>
      <c r="J100" s="2" t="n"/>
    </row>
    <row r="101">
      <c r="A101" s="2" t="n"/>
      <c r="B101" s="261" t="n"/>
      <c r="C101" s="2" t="n"/>
      <c r="D101" s="2" t="n"/>
      <c r="E101" s="2" t="n"/>
      <c r="F101" s="262" t="n"/>
      <c r="G101" s="2" t="n"/>
      <c r="H101" s="2" t="n"/>
      <c r="I101" s="263" t="n"/>
      <c r="J101" s="264" t="n"/>
    </row>
  </sheetData>
  <mergeCells count="6">
    <mergeCell ref="A1:J1"/>
    <mergeCell ref="A83:H83"/>
    <mergeCell ref="A95:H95"/>
    <mergeCell ref="A17:H17"/>
    <mergeCell ref="A2:J2"/>
    <mergeCell ref="A40:H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20.875" customWidth="1" min="4" max="4"/>
    <col width="18.375" customWidth="1" min="5" max="5"/>
    <col width="29.75" customWidth="1" min="6" max="6"/>
    <col width="9.625" customWidth="1" min="7" max="7"/>
    <col width="18.7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n"/>
      <c r="C4" s="268" t="n"/>
      <c r="D4" s="51" t="n"/>
      <c r="E4" s="17" t="n"/>
      <c r="F4" s="17" t="n"/>
      <c r="G4" s="270" t="n"/>
      <c r="H4" s="19" t="n">
        <v>800</v>
      </c>
      <c r="I4" s="19">
        <f>F4*H4</f>
        <v/>
      </c>
      <c r="J4" s="20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44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244" t="n"/>
      <c r="C7" s="268" t="n"/>
      <c r="D7" s="51" t="n"/>
      <c r="E7" s="17" t="n"/>
      <c r="F7" s="17" t="n"/>
      <c r="G7" s="270" t="n"/>
      <c r="H7" s="19" t="n"/>
      <c r="I7" s="19" t="n"/>
      <c r="J7" s="20" t="n"/>
    </row>
    <row r="8">
      <c r="A8" s="13" t="n"/>
      <c r="B8" s="244" t="n"/>
      <c r="C8" s="268" t="n"/>
      <c r="D8" s="51" t="n"/>
      <c r="E8" s="17" t="n"/>
      <c r="F8" s="17" t="n"/>
      <c r="G8" s="17" t="n"/>
      <c r="H8" s="19" t="n"/>
      <c r="I8" s="19" t="n"/>
      <c r="J8" s="20" t="n"/>
    </row>
    <row r="9">
      <c r="A9" s="13" t="n"/>
      <c r="B9" s="244" t="n"/>
      <c r="C9" s="268" t="n"/>
      <c r="D9" s="51" t="n"/>
      <c r="E9" s="17" t="n"/>
      <c r="F9" s="17" t="n"/>
      <c r="G9" s="17" t="n"/>
      <c r="H9" s="19" t="n"/>
      <c r="I9" s="19" t="n"/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231847.45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66" t="n"/>
      <c r="B20" s="67" t="n"/>
      <c r="C20" s="68" t="n"/>
      <c r="D20" s="68" t="n"/>
      <c r="E20" s="69" t="n"/>
      <c r="F20" s="70" t="n"/>
      <c r="G20" s="71" t="n"/>
      <c r="H20" s="72">
        <f>F20*G20</f>
        <v/>
      </c>
      <c r="I20" s="2" t="n"/>
      <c r="J20" s="2" t="n"/>
    </row>
    <row r="21">
      <c r="A21" s="66" t="n"/>
      <c r="B21" s="67" t="n"/>
      <c r="C21" s="68" t="n"/>
      <c r="D21" s="68" t="n"/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2" t="n"/>
      <c r="J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81" t="inlineStr">
        <is>
          <t>уборка</t>
        </is>
      </c>
      <c r="B27" s="67" t="n"/>
      <c r="C27" s="68" t="n">
        <v>2000</v>
      </c>
      <c r="D27" s="68" t="n">
        <v>2000</v>
      </c>
      <c r="E27" s="76" t="n"/>
      <c r="F27" s="78" t="n"/>
      <c r="G27" s="79" t="n"/>
      <c r="H27" s="80" t="n"/>
      <c r="I27" s="2" t="n"/>
      <c r="J27" s="2" t="n"/>
    </row>
    <row r="28">
      <c r="A28" s="69" t="inlineStr">
        <is>
          <t>монтаж перегородки в помывочной зоне</t>
        </is>
      </c>
      <c r="B28" s="67" t="n"/>
      <c r="C28" s="68" t="n">
        <v>5000</v>
      </c>
      <c r="D28" s="68" t="n">
        <v>5000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n"/>
      <c r="B29" s="67" t="n"/>
      <c r="C29" s="68" t="n"/>
      <c r="D29" s="74" t="n"/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81" t="n"/>
      <c r="B30" s="67" t="n"/>
      <c r="C30" s="68" t="n"/>
      <c r="D30" s="68" t="n"/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n"/>
      <c r="B31" s="67" t="n"/>
      <c r="C31" s="68" t="n"/>
      <c r="D31" s="74" t="n"/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n"/>
      <c r="B32" s="67" t="n"/>
      <c r="C32" s="68" t="n"/>
      <c r="D32" s="74" t="n"/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5" t="n"/>
      <c r="E34" s="76" t="n"/>
      <c r="F34" s="78" t="n"/>
      <c r="G34" s="79" t="n"/>
      <c r="H34" s="72">
        <f>F34*G34</f>
        <v/>
      </c>
      <c r="I34" s="313" t="n"/>
      <c r="J34" s="2" t="n"/>
    </row>
    <row r="35">
      <c r="A35" s="69" t="n"/>
      <c r="B35" s="67" t="n"/>
      <c r="C35" s="68" t="n"/>
      <c r="D35" s="75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83" t="n"/>
      <c r="B37" s="67" t="n"/>
      <c r="C37" s="68" t="n"/>
      <c r="D37" s="84" t="n"/>
      <c r="E37" s="85" t="inlineStr">
        <is>
          <t>Итого расход:</t>
        </is>
      </c>
      <c r="F37" s="78" t="n"/>
      <c r="G37" s="79" t="n"/>
      <c r="H37" s="72">
        <f>F37*G37</f>
        <v/>
      </c>
      <c r="I37" s="86" t="n"/>
      <c r="J37" s="86" t="n"/>
    </row>
    <row r="38">
      <c r="A38" s="87" t="inlineStr">
        <is>
          <t>Остаток на конец дня:</t>
        </is>
      </c>
      <c r="B38" s="88" t="n"/>
      <c r="C38" s="89" t="n"/>
      <c r="D38" s="90">
        <f>SUM(D20,D21:D24,D19,)-SUM(D27:D37,)</f>
        <v/>
      </c>
      <c r="E38" s="87" t="inlineStr">
        <is>
          <t>Остаток на конец дня:</t>
        </is>
      </c>
      <c r="F38" s="91" t="n"/>
      <c r="G38" s="89" t="n"/>
      <c r="H38" s="92">
        <f>SUM(H19+H25-H37)</f>
        <v/>
      </c>
      <c r="I38" s="2" t="n"/>
      <c r="J38" s="2" t="n"/>
    </row>
    <row r="39">
      <c r="A39" s="93" t="n"/>
      <c r="B39" s="94" t="n"/>
      <c r="C39" s="43" t="n"/>
      <c r="D39" s="41" t="n"/>
      <c r="E39" s="41" t="n"/>
      <c r="F39" s="41" t="n"/>
      <c r="G39" s="2" t="n"/>
      <c r="H39" s="2" t="n"/>
      <c r="I39" s="2" t="n"/>
      <c r="J39" s="2" t="n"/>
    </row>
    <row r="40">
      <c r="A40" s="95" t="inlineStr">
        <is>
          <t>Расчётный счёт</t>
        </is>
      </c>
      <c r="B40" s="54" t="n"/>
      <c r="C40" s="54" t="n"/>
      <c r="D40" s="54" t="n"/>
      <c r="E40" s="54" t="n"/>
      <c r="F40" s="54" t="n"/>
      <c r="G40" s="54" t="n"/>
      <c r="H40" s="54" t="n"/>
      <c r="I40" s="2" t="n"/>
      <c r="J40" s="2" t="n"/>
    </row>
    <row r="41">
      <c r="A41" s="96" t="inlineStr">
        <is>
          <t>ВТБ</t>
        </is>
      </c>
      <c r="B41" s="279" t="inlineStr">
        <is>
          <t>ВТБ</t>
        </is>
      </c>
      <c r="C41" s="279" t="n"/>
      <c r="D41" s="47" t="n"/>
      <c r="E41" s="97" t="inlineStr">
        <is>
          <t>Альфабанк</t>
        </is>
      </c>
      <c r="F41" s="56" t="n"/>
      <c r="G41" s="56" t="n"/>
      <c r="H41" s="47" t="n"/>
      <c r="I41" s="2" t="n"/>
      <c r="J41" s="2" t="n"/>
    </row>
    <row r="42">
      <c r="A42" s="98" t="inlineStr">
        <is>
          <t>Остаток на начало дня:</t>
        </is>
      </c>
      <c r="B42" s="280" t="n"/>
      <c r="C42" s="290" t="n">
        <v>277110.53</v>
      </c>
      <c r="D42" s="56" t="n"/>
      <c r="E42" s="100" t="inlineStr">
        <is>
          <t>Остаток на начало дня:</t>
        </is>
      </c>
      <c r="F42" s="47" t="n"/>
      <c r="G42" s="101" t="n">
        <v>1506.2</v>
      </c>
      <c r="H42" s="47" t="n"/>
      <c r="I42" s="2" t="n"/>
      <c r="J42" s="2" t="n"/>
    </row>
    <row r="43">
      <c r="A43" s="102" t="inlineStr">
        <is>
          <t>Поступление</t>
        </is>
      </c>
      <c r="B43" s="47" t="n"/>
      <c r="C43" s="102" t="inlineStr">
        <is>
          <t>Расход</t>
        </is>
      </c>
      <c r="D43" s="47" t="n"/>
      <c r="E43" s="102" t="inlineStr">
        <is>
          <t>Поступление</t>
        </is>
      </c>
      <c r="F43" s="47" t="n"/>
      <c r="G43" s="102" t="inlineStr">
        <is>
          <t>Расход</t>
        </is>
      </c>
      <c r="H43" s="47" t="n"/>
      <c r="I43" s="86" t="n"/>
      <c r="J43" s="86" t="n"/>
    </row>
    <row r="44">
      <c r="A44" s="103" t="inlineStr">
        <is>
          <t>от кого</t>
        </is>
      </c>
      <c r="B44" s="103" t="inlineStr">
        <is>
          <t>сумма</t>
        </is>
      </c>
      <c r="C44" s="103" t="inlineStr">
        <is>
          <t>кому</t>
        </is>
      </c>
      <c r="D44" s="103" t="inlineStr">
        <is>
          <t>сумма</t>
        </is>
      </c>
      <c r="E44" s="103" t="inlineStr">
        <is>
          <t>от кого</t>
        </is>
      </c>
      <c r="F44" s="103" t="inlineStr">
        <is>
          <t>сумма</t>
        </is>
      </c>
      <c r="G44" s="103" t="inlineStr">
        <is>
          <t xml:space="preserve">кому </t>
        </is>
      </c>
      <c r="H44" s="103" t="inlineStr">
        <is>
          <t>сумма</t>
        </is>
      </c>
      <c r="I44" s="86" t="n"/>
      <c r="J44" s="86" t="n"/>
    </row>
    <row r="45">
      <c r="A45" s="104" t="inlineStr">
        <is>
          <t xml:space="preserve">ИП Лысенко  за арахис </t>
        </is>
      </c>
      <c r="B45" s="281" t="n">
        <v>61576.2</v>
      </c>
      <c r="C45" s="106" t="inlineStr">
        <is>
          <t>Комиссия банка</t>
        </is>
      </c>
      <c r="D45" s="107" t="n">
        <v>5525</v>
      </c>
      <c r="E45" s="108" t="inlineStr">
        <is>
          <t xml:space="preserve">Финансирование по факторингу </t>
        </is>
      </c>
      <c r="F45" s="109" t="n">
        <v>1596384</v>
      </c>
      <c r="G45" s="110" t="inlineStr">
        <is>
          <t xml:space="preserve">Перевод в ВТБ </t>
        </is>
      </c>
      <c r="H45" s="109" t="n">
        <v>1596000</v>
      </c>
      <c r="I45" s="86" t="n"/>
      <c r="J45" s="86" t="n"/>
    </row>
    <row r="46">
      <c r="A46" s="282" t="inlineStr">
        <is>
          <t xml:space="preserve">ООО Золотой снек </t>
        </is>
      </c>
      <c r="B46" s="281" t="n">
        <v>100000</v>
      </c>
      <c r="C46" s="112" t="inlineStr">
        <is>
          <t xml:space="preserve">ООО Эко-пронск  вывоз мусора </t>
        </is>
      </c>
      <c r="D46" s="107" t="n">
        <v>21750.42</v>
      </c>
      <c r="E46" s="110" t="n"/>
      <c r="F46" s="109" t="n"/>
      <c r="G46" s="110" t="n"/>
      <c r="H46" s="109" t="n"/>
      <c r="I46" s="86" t="n"/>
      <c r="J46" s="86" t="n"/>
    </row>
    <row r="47">
      <c r="A47" s="111" t="inlineStr">
        <is>
          <t xml:space="preserve">Проценты по депозиту </t>
        </is>
      </c>
      <c r="B47" s="283" t="n">
        <v>142.29</v>
      </c>
      <c r="C47" s="113" t="inlineStr">
        <is>
          <t xml:space="preserve">Саманков В.И. оплата по договору  изготовл металлоконструкций </t>
        </is>
      </c>
      <c r="D47" s="107" t="n">
        <v>325000</v>
      </c>
      <c r="E47" s="110" t="n"/>
      <c r="F47" s="109" t="n"/>
      <c r="G47" s="114" t="n"/>
      <c r="H47" s="109" t="n"/>
      <c r="I47" s="86" t="n"/>
      <c r="J47" s="86" t="n"/>
    </row>
    <row r="48">
      <c r="A48" s="115" t="inlineStr">
        <is>
          <t xml:space="preserve">Перевод с Альфа банк </t>
        </is>
      </c>
      <c r="B48" s="283" t="n">
        <v>1596000</v>
      </c>
      <c r="C48" s="113" t="inlineStr">
        <is>
          <t xml:space="preserve">ОО Компания ОПТТорг  за арахис </t>
        </is>
      </c>
      <c r="D48" s="107" t="n">
        <v>1430000</v>
      </c>
      <c r="E48" s="108" t="n"/>
      <c r="F48" s="116" t="n"/>
      <c r="G48" s="114" t="n"/>
      <c r="H48" s="109" t="n"/>
      <c r="I48" s="86" t="n"/>
      <c r="J48" s="86" t="n"/>
    </row>
    <row r="49">
      <c r="A49" s="117" t="n"/>
      <c r="B49" s="283" t="n"/>
      <c r="C49" s="113" t="inlineStr">
        <is>
          <t>Размещение на депозит 252000</t>
        </is>
      </c>
      <c r="D49" s="107" t="n">
        <v>0</v>
      </c>
      <c r="E49" s="118" t="n"/>
      <c r="F49" s="119" t="n"/>
      <c r="G49" s="120" t="n"/>
      <c r="H49" s="120" t="n"/>
      <c r="I49" s="86" t="n"/>
      <c r="J49" s="86" t="n"/>
    </row>
    <row r="50">
      <c r="A50" s="117" t="n"/>
      <c r="B50" s="283" t="n"/>
      <c r="C50" s="113" t="n"/>
      <c r="D50" s="107" t="n"/>
      <c r="E50" s="118" t="n"/>
      <c r="F50" s="119" t="n"/>
      <c r="G50" s="121" t="n"/>
      <c r="H50" s="120" t="n"/>
      <c r="I50" s="86" t="n"/>
      <c r="J50" s="86" t="n"/>
    </row>
    <row r="51">
      <c r="A51" s="122" t="n"/>
      <c r="B51" s="283" t="n"/>
      <c r="C51" s="113" t="n"/>
      <c r="D51" s="107" t="n"/>
      <c r="E51" s="118" t="n"/>
      <c r="F51" s="118" t="n"/>
      <c r="G51" s="123" t="n"/>
      <c r="H51" s="120" t="n"/>
      <c r="I51" s="86" t="n"/>
      <c r="J51" s="86" t="n"/>
    </row>
    <row r="52">
      <c r="A52" s="124" t="n"/>
      <c r="B52" s="284" t="n"/>
      <c r="C52" s="113" t="n"/>
      <c r="D52" s="107" t="n"/>
      <c r="E52" s="124" t="n"/>
      <c r="F52" s="118" t="n"/>
      <c r="G52" s="110" t="n"/>
      <c r="H52" s="120" t="n"/>
      <c r="I52" s="86" t="n"/>
      <c r="J52" s="86" t="n"/>
    </row>
    <row r="53">
      <c r="A53" s="124" t="n"/>
      <c r="B53" s="285" t="n"/>
      <c r="C53" s="110" t="n"/>
      <c r="D53" s="126" t="n"/>
      <c r="E53" s="124" t="n"/>
      <c r="F53" s="118" t="n"/>
      <c r="G53" s="110" t="n"/>
      <c r="H53" s="120" t="n"/>
      <c r="I53" s="86" t="n"/>
      <c r="J53" s="86" t="n"/>
    </row>
    <row r="54">
      <c r="A54" s="124" t="n"/>
      <c r="B54" s="285" t="n"/>
      <c r="C54" s="110" t="n"/>
      <c r="D54" s="126" t="n"/>
      <c r="E54" s="124" t="n"/>
      <c r="F54" s="118" t="n"/>
      <c r="G54" s="110" t="n"/>
      <c r="H54" s="120" t="n"/>
      <c r="I54" s="86" t="n"/>
      <c r="J54" s="86" t="n"/>
    </row>
    <row r="55">
      <c r="A55" s="124" t="n"/>
      <c r="B55" s="285" t="n"/>
      <c r="C55" s="110" t="n"/>
      <c r="D55" s="126" t="n"/>
      <c r="E55" s="124" t="n"/>
      <c r="F55" s="118" t="n"/>
      <c r="G55" s="110" t="n"/>
      <c r="H55" s="120" t="n"/>
      <c r="I55" s="86" t="n"/>
      <c r="J55" s="86" t="n"/>
    </row>
    <row r="56">
      <c r="A56" s="124" t="n"/>
      <c r="B56" s="28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7" t="n"/>
      <c r="B58" s="128">
        <f>SUM(B45:B57)+C42</f>
        <v/>
      </c>
      <c r="C58" s="129" t="n"/>
      <c r="D58" s="128">
        <f>SUM(D45:D57)</f>
        <v/>
      </c>
      <c r="E58" s="130" t="n"/>
      <c r="F58" s="130">
        <f>SUM(F45:F57)</f>
        <v/>
      </c>
      <c r="G58" s="130" t="n"/>
      <c r="H58" s="130">
        <f>SUM(H45:H57)</f>
        <v/>
      </c>
      <c r="I58" s="2" t="n"/>
      <c r="J58" s="2" t="n"/>
    </row>
    <row r="59">
      <c r="A59" s="131" t="inlineStr">
        <is>
          <t>Остаток на конец дня:</t>
        </is>
      </c>
      <c r="B59" s="132">
        <f>B58-D58</f>
        <v/>
      </c>
      <c r="C59" s="56" t="n"/>
      <c r="D59" s="47" t="n"/>
      <c r="E59" s="100" t="inlineStr">
        <is>
          <t>Остаток на конец дня:</t>
        </is>
      </c>
      <c r="F59" s="101">
        <f>G42+F58-H58</f>
        <v/>
      </c>
      <c r="G59" s="56" t="n"/>
      <c r="H59" s="47" t="n"/>
      <c r="I59" s="2" t="n"/>
      <c r="J59" s="2" t="n"/>
    </row>
    <row r="60">
      <c r="A60" s="133" t="inlineStr">
        <is>
          <t>ИТОГО:</t>
        </is>
      </c>
      <c r="B60" s="47" t="n"/>
      <c r="C60" s="134">
        <f>B59+F59</f>
        <v/>
      </c>
      <c r="D60" s="56" t="n"/>
      <c r="E60" s="56" t="n"/>
      <c r="F60" s="56" t="n"/>
      <c r="G60" s="56" t="n"/>
      <c r="H60" s="47" t="n"/>
      <c r="I60" s="2" t="n"/>
      <c r="J60" s="2" t="n"/>
    </row>
    <row r="61">
      <c r="A61" s="41" t="n"/>
      <c r="B61" s="94" t="n"/>
      <c r="C61" s="43" t="n"/>
      <c r="D61" s="41" t="n"/>
      <c r="E61" s="41" t="n"/>
      <c r="F61" s="41" t="n"/>
      <c r="G61" s="41" t="n"/>
      <c r="H61" s="93" t="n"/>
      <c r="I61" s="135" t="n"/>
      <c r="J61" s="135" t="n"/>
    </row>
    <row r="62">
      <c r="A62" s="136" t="n"/>
      <c r="B62" s="137" t="inlineStr">
        <is>
          <t>Реализация по безналичному расчёту</t>
        </is>
      </c>
      <c r="D62" s="2" t="n"/>
      <c r="E62" s="41" t="n"/>
      <c r="F62" s="41" t="n"/>
      <c r="G62" s="41" t="n"/>
      <c r="H62" s="138" t="n"/>
      <c r="I62" s="2" t="n"/>
      <c r="J62" s="2" t="n"/>
    </row>
    <row r="63">
      <c r="A63" s="139" t="inlineStr">
        <is>
          <t>Контрагент</t>
        </is>
      </c>
      <c r="B63" s="140" t="inlineStr">
        <is>
          <t>поставщик</t>
        </is>
      </c>
      <c r="C63" s="141" t="inlineStr">
        <is>
          <t>наименование</t>
        </is>
      </c>
      <c r="D63" s="142" t="inlineStr">
        <is>
          <t>вес упаковки, тарелки</t>
        </is>
      </c>
      <c r="E63" s="143" t="inlineStr">
        <is>
          <t>кол.-во пакетов, коробок</t>
        </is>
      </c>
      <c r="F63" s="144" t="inlineStr">
        <is>
          <t>кол-во мест в коробке/упаковке</t>
        </is>
      </c>
      <c r="G63" s="145" t="inlineStr">
        <is>
          <t>общий вес, кг.</t>
        </is>
      </c>
      <c r="H63" s="146" t="inlineStr">
        <is>
          <t>цена пакет, тарелка</t>
        </is>
      </c>
      <c r="I63" s="147" t="inlineStr">
        <is>
          <t>сумма</t>
        </is>
      </c>
      <c r="J63" s="148" t="inlineStr">
        <is>
          <t>Комментарий</t>
        </is>
      </c>
    </row>
    <row r="64">
      <c r="A64" s="150" t="inlineStr">
        <is>
          <t>Элемент-Трейд</t>
        </is>
      </c>
      <c r="B64" s="151" t="inlineStr">
        <is>
          <t>Снекпром</t>
        </is>
      </c>
      <c r="C64" s="272" t="inlineStr">
        <is>
          <t>Арахис в хрустящей корочке "Квадромикс", тарелка 200 г</t>
        </is>
      </c>
      <c r="D64" s="153" t="n">
        <v>0.2</v>
      </c>
      <c r="E64" s="154" t="n">
        <v>4320</v>
      </c>
      <c r="F64" s="155" t="n">
        <v>18</v>
      </c>
      <c r="G64" s="154">
        <f>D64*E64</f>
        <v/>
      </c>
      <c r="H64" s="156" t="n">
        <v>68</v>
      </c>
      <c r="I64" s="156">
        <f>H64*E64</f>
        <v/>
      </c>
      <c r="J64" s="157" t="inlineStr">
        <is>
          <t>Уфа</t>
        </is>
      </c>
    </row>
    <row r="65">
      <c r="A65" s="150" t="inlineStr">
        <is>
          <t>Элемент-Трейд</t>
        </is>
      </c>
      <c r="B65" s="151" t="inlineStr">
        <is>
          <t>Снекпром</t>
        </is>
      </c>
      <c r="C65" s="158" t="inlineStr">
        <is>
          <t>Арахис в хрустящей корочке "Квадромикс", тарелка 200 г</t>
        </is>
      </c>
      <c r="D65" s="153" t="n">
        <v>0.2</v>
      </c>
      <c r="E65" s="154" t="n">
        <v>7200</v>
      </c>
      <c r="F65" s="155" t="n">
        <v>18</v>
      </c>
      <c r="G65" s="154">
        <f>D65*E65</f>
        <v/>
      </c>
      <c r="H65" s="156" t="n">
        <v>72</v>
      </c>
      <c r="I65" s="156">
        <f>H65*E65</f>
        <v/>
      </c>
      <c r="J65" s="322" t="inlineStr">
        <is>
          <t>Нефтеюганск</t>
        </is>
      </c>
    </row>
    <row r="66">
      <c r="A66" s="150" t="n"/>
      <c r="B66" s="151" t="n"/>
      <c r="C66" s="158" t="n"/>
      <c r="D66" s="153" t="n"/>
      <c r="E66" s="154" t="n"/>
      <c r="F66" s="155" t="n"/>
      <c r="G66" s="154" t="n"/>
      <c r="H66" s="156" t="n"/>
      <c r="I66" s="156" t="n"/>
      <c r="J66" s="159" t="n"/>
    </row>
    <row r="67">
      <c r="A67" s="150" t="n"/>
      <c r="B67" s="151" t="n"/>
      <c r="C67" s="158" t="n"/>
      <c r="D67" s="153" t="n"/>
      <c r="E67" s="154" t="n"/>
      <c r="F67" s="155" t="n"/>
      <c r="G67" s="154" t="n"/>
      <c r="H67" s="156" t="n"/>
      <c r="I67" s="156" t="n"/>
      <c r="J67" s="159" t="n"/>
    </row>
    <row r="68">
      <c r="A68" s="150" t="n"/>
      <c r="B68" s="151" t="n"/>
      <c r="C68" s="152" t="n"/>
      <c r="D68" s="153" t="n"/>
      <c r="E68" s="154" t="n"/>
      <c r="F68" s="155" t="n"/>
      <c r="G68" s="154" t="n"/>
      <c r="H68" s="156" t="n"/>
      <c r="I68" s="156" t="n"/>
      <c r="J68" s="159" t="n"/>
    </row>
    <row r="69">
      <c r="A69" s="150" t="n"/>
      <c r="B69" s="151" t="n"/>
      <c r="C69" s="152" t="n"/>
      <c r="D69" s="153" t="n"/>
      <c r="E69" s="154" t="n"/>
      <c r="F69" s="155" t="n"/>
      <c r="G69" s="154" t="n"/>
      <c r="H69" s="156" t="n"/>
      <c r="I69" s="156" t="n"/>
      <c r="J69" s="159" t="n"/>
    </row>
    <row r="70">
      <c r="A70" s="150" t="n"/>
      <c r="B70" s="150" t="n"/>
      <c r="C70" s="160" t="n"/>
      <c r="D70" s="153" t="n"/>
      <c r="E70" s="154" t="n"/>
      <c r="F70" s="155" t="n"/>
      <c r="G70" s="154" t="n"/>
      <c r="H70" s="156" t="n"/>
      <c r="I70" s="156" t="n"/>
      <c r="J70" s="161" t="n"/>
    </row>
    <row r="71">
      <c r="A71" s="162" t="n"/>
      <c r="B71" s="163" t="n"/>
      <c r="C71" s="164" t="n"/>
      <c r="D71" s="165" t="n"/>
      <c r="E71" s="166" t="n"/>
      <c r="F71" s="167" t="n"/>
      <c r="G71" s="168" t="n"/>
      <c r="H71" s="169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62" t="n"/>
      <c r="B74" s="163" t="n"/>
      <c r="C74" s="171" t="n"/>
      <c r="D74" s="153" t="n"/>
      <c r="E74" s="172" t="n"/>
      <c r="F74" s="155" t="n"/>
      <c r="G74" s="168" t="n"/>
      <c r="H74" s="156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73" t="n"/>
      <c r="B76" s="174" t="n"/>
      <c r="C76" s="175" t="n"/>
      <c r="D76" s="176" t="n"/>
      <c r="E76" s="177" t="n"/>
      <c r="F76" s="178" t="n"/>
      <c r="G76" s="179" t="n"/>
      <c r="H76" s="180" t="n"/>
      <c r="I76" s="181" t="n"/>
      <c r="J76" s="161" t="n"/>
    </row>
    <row r="77">
      <c r="A77" s="182" t="n"/>
      <c r="B77" s="163" t="n"/>
      <c r="C77" s="183" t="n"/>
      <c r="D77" s="184" t="n"/>
      <c r="E77" s="166" t="n"/>
      <c r="F77" s="167" t="n"/>
      <c r="G77" s="185">
        <f>D77*F77</f>
        <v/>
      </c>
      <c r="H77" s="186" t="n"/>
      <c r="I77" s="186">
        <f>F77*H77*E77</f>
        <v/>
      </c>
      <c r="J77" s="187" t="n"/>
    </row>
    <row r="78">
      <c r="A78" s="182" t="n"/>
      <c r="B78" s="163" t="n"/>
      <c r="C78" s="188" t="n"/>
      <c r="D78" s="189" t="n"/>
      <c r="E78" s="190" t="n"/>
      <c r="F78" s="189" t="n"/>
      <c r="G78" s="185">
        <f>D78*F78</f>
        <v/>
      </c>
      <c r="H78" s="191" t="n"/>
      <c r="I78" s="186">
        <f>F78*H78*E78</f>
        <v/>
      </c>
      <c r="J78" s="187" t="n"/>
    </row>
    <row r="79">
      <c r="A79" s="192" t="inlineStr">
        <is>
          <t>ИТОГО:</t>
        </is>
      </c>
      <c r="B79" s="193" t="n"/>
      <c r="C79" s="194" t="n"/>
      <c r="D79" s="195" t="n"/>
      <c r="E79" s="196">
        <f>SUM(E64:E78)</f>
        <v/>
      </c>
      <c r="F79" s="197">
        <f>SUM(F64:F76)</f>
        <v/>
      </c>
      <c r="G79" s="198">
        <f>SUM(G64:G71)</f>
        <v/>
      </c>
      <c r="H79" s="199" t="n"/>
      <c r="I79" s="199">
        <f>SUM(I64:I72)</f>
        <v/>
      </c>
      <c r="J79" s="200" t="n"/>
    </row>
    <row r="80">
      <c r="A80" s="2" t="n"/>
      <c r="B80" s="94" t="n"/>
      <c r="C80" s="43" t="n"/>
      <c r="D80" s="41" t="n"/>
      <c r="E80" s="41" t="n"/>
      <c r="F80" s="41" t="n"/>
      <c r="G80" s="41" t="n"/>
      <c r="H80" s="2" t="n"/>
      <c r="I80" s="2" t="n"/>
      <c r="J80" s="2" t="n"/>
    </row>
    <row r="81">
      <c r="A81" s="201" t="inlineStr">
        <is>
          <t>реализация Всего касса+безнал:</t>
        </is>
      </c>
      <c r="B81" s="202" t="inlineStr">
        <is>
          <t>кг</t>
        </is>
      </c>
      <c r="C81" s="203" t="inlineStr">
        <is>
          <t>на сумму</t>
        </is>
      </c>
      <c r="D81" s="41" t="n"/>
      <c r="E81" s="41" t="n"/>
      <c r="F81" s="41" t="n"/>
      <c r="G81" s="41" t="n"/>
      <c r="H81" s="2" t="n"/>
      <c r="I81" s="2" t="n"/>
      <c r="J81" s="2" t="n"/>
    </row>
    <row r="82">
      <c r="A82" s="204" t="n"/>
      <c r="B82" s="205">
        <f>E12+G79</f>
        <v/>
      </c>
      <c r="C82" s="206">
        <f>I12+H79+I79</f>
        <v/>
      </c>
      <c r="D82" s="41" t="n"/>
      <c r="E82" s="41" t="n"/>
      <c r="F82" s="41" t="n"/>
      <c r="G82" s="41" t="n"/>
      <c r="H82" s="2" t="n"/>
      <c r="I82" s="2" t="n"/>
      <c r="J82" s="2" t="n"/>
    </row>
    <row r="83">
      <c r="A83" s="207" t="inlineStr">
        <is>
          <t>Услуги оказывают нам (доставка сырья и комплектующих на склад, Товара покупателям)</t>
        </is>
      </c>
      <c r="B83" s="54" t="n"/>
      <c r="C83" s="54" t="n"/>
      <c r="D83" s="54" t="n"/>
      <c r="E83" s="54" t="n"/>
      <c r="F83" s="54" t="n"/>
      <c r="G83" s="54" t="n"/>
      <c r="H83" s="54" t="n"/>
      <c r="I83" s="291" t="n"/>
      <c r="J83" s="58" t="n"/>
    </row>
    <row r="84">
      <c r="A84" s="209" t="inlineStr">
        <is>
          <t>Контрагент</t>
        </is>
      </c>
      <c r="B84" s="210" t="inlineStr">
        <is>
          <t>вид услуги</t>
        </is>
      </c>
      <c r="C84" s="211" t="inlineStr">
        <is>
          <t>Кому / От кого</t>
        </is>
      </c>
      <c r="D84" s="212" t="inlineStr">
        <is>
          <t>наименование</t>
        </is>
      </c>
      <c r="E84" s="213" t="inlineStr">
        <is>
          <t xml:space="preserve">город доставки </t>
        </is>
      </c>
      <c r="F84" s="214" t="inlineStr">
        <is>
          <t>цена</t>
        </is>
      </c>
      <c r="G84" s="213" t="inlineStr">
        <is>
          <t>сумма</t>
        </is>
      </c>
      <c r="H84" s="212" t="inlineStr">
        <is>
          <t>за тонну</t>
        </is>
      </c>
      <c r="I84" s="291" t="n"/>
      <c r="J84" s="58" t="n"/>
    </row>
    <row r="85">
      <c r="A85" s="215" t="inlineStr">
        <is>
          <t>Промстеклоснаб</t>
        </is>
      </c>
      <c r="B85" s="60" t="inlineStr">
        <is>
          <t>доставка</t>
        </is>
      </c>
      <c r="C85" s="63" t="inlineStr">
        <is>
          <t>Снекпром - FM Logistic</t>
        </is>
      </c>
      <c r="D85" s="226" t="inlineStr">
        <is>
          <t>арахис</t>
        </is>
      </c>
      <c r="E85" s="317" t="inlineStr">
        <is>
          <t>Большое Толбино</t>
        </is>
      </c>
      <c r="F85" s="62" t="n">
        <v>14000</v>
      </c>
      <c r="G85" s="218">
        <f>F85+F1203</f>
        <v/>
      </c>
      <c r="H85" s="305" t="n"/>
      <c r="I85" s="291" t="n"/>
      <c r="J85" s="58" t="n"/>
    </row>
    <row r="86">
      <c r="A86" s="215" t="inlineStr">
        <is>
          <t>FM Logistic</t>
        </is>
      </c>
      <c r="B86" s="60" t="inlineStr">
        <is>
          <t>доставка</t>
        </is>
      </c>
      <c r="C86" s="63" t="inlineStr">
        <is>
          <t>Снекпром - Элемент Трэйд</t>
        </is>
      </c>
      <c r="D86" s="226" t="inlineStr">
        <is>
          <t>арахис</t>
        </is>
      </c>
      <c r="E86" s="217" t="inlineStr">
        <is>
          <t>Уфа</t>
        </is>
      </c>
      <c r="F86" s="302" t="n">
        <v>19080</v>
      </c>
      <c r="G86" s="218">
        <f>F86+F1204</f>
        <v/>
      </c>
      <c r="H86" s="305" t="n"/>
      <c r="I86" s="315" t="inlineStr">
        <is>
          <t>была указана цена за паллет</t>
        </is>
      </c>
      <c r="J86" s="58" t="n"/>
    </row>
    <row r="87">
      <c r="A87" s="220" t="inlineStr">
        <is>
          <t>FM Logistic</t>
        </is>
      </c>
      <c r="B87" s="60" t="inlineStr">
        <is>
          <t>доставка</t>
        </is>
      </c>
      <c r="C87" s="63" t="inlineStr">
        <is>
          <t>Снекпром - Элемент Трэйд</t>
        </is>
      </c>
      <c r="D87" s="226" t="inlineStr">
        <is>
          <t>арахис</t>
        </is>
      </c>
      <c r="E87" s="274" t="inlineStr">
        <is>
          <t>Нефтеюганск</t>
        </is>
      </c>
      <c r="F87" s="296" t="n">
        <v>66600</v>
      </c>
      <c r="G87" s="218">
        <f>F87+F1205</f>
        <v/>
      </c>
      <c r="H87" s="305" t="n"/>
      <c r="I87" s="315" t="inlineStr">
        <is>
          <t>была указана цена за паллет</t>
        </is>
      </c>
      <c r="J87" s="2" t="n"/>
    </row>
    <row r="88">
      <c r="A88" s="220" t="n"/>
      <c r="B88" s="60" t="n"/>
      <c r="C88" s="221" t="n"/>
      <c r="D88" s="222" t="n"/>
      <c r="E88" s="274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74" t="n"/>
      <c r="F89" s="223" t="n"/>
      <c r="G89" s="218" t="n"/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F90+F1208</f>
        <v/>
      </c>
      <c r="H90" s="219" t="n"/>
      <c r="I90" s="2" t="n"/>
      <c r="J90" s="2" t="n"/>
    </row>
    <row r="91">
      <c r="A91" s="220" t="n"/>
      <c r="B91" s="60" t="n"/>
      <c r="C91" s="221" t="n"/>
      <c r="D91" s="226" t="n"/>
      <c r="E91" s="227" t="n"/>
      <c r="F91" s="223" t="n"/>
      <c r="G91" s="218">
        <f>F91+F1209</f>
        <v/>
      </c>
      <c r="H91" s="219" t="n"/>
      <c r="I91" s="2" t="n"/>
      <c r="J91" s="2" t="n"/>
    </row>
    <row r="92">
      <c r="A92" s="220" t="n"/>
      <c r="B92" s="60" t="n"/>
      <c r="C92" s="221" t="n"/>
      <c r="D92" s="226" t="n"/>
      <c r="E92" s="227" t="n"/>
      <c r="F92" s="223" t="n"/>
      <c r="G92" s="218">
        <f>F92+F1210</f>
        <v/>
      </c>
      <c r="H92" s="228" t="n"/>
      <c r="I92" s="2" t="n"/>
      <c r="J92" s="2" t="n"/>
    </row>
    <row r="93">
      <c r="A93" s="229" t="inlineStr">
        <is>
          <t>ИТОГО:</t>
        </is>
      </c>
      <c r="B93" s="230" t="n"/>
      <c r="C93" s="231" t="n"/>
      <c r="D93" s="232" t="n"/>
      <c r="E93" s="233">
        <f>SUM(E85:E92)</f>
        <v/>
      </c>
      <c r="F93" s="234" t="n"/>
      <c r="G93" s="235">
        <f>SUM(G85:G92)</f>
        <v/>
      </c>
      <c r="H93" s="235" t="n"/>
      <c r="I93" s="2" t="n"/>
      <c r="J93" s="2" t="n"/>
    </row>
    <row r="94">
      <c r="A94" s="41" t="n"/>
      <c r="B94" s="94" t="n"/>
      <c r="C94" s="43" t="n"/>
      <c r="D94" s="41" t="n"/>
      <c r="E94" s="41" t="n"/>
      <c r="F94" s="41" t="n"/>
      <c r="G94" s="41" t="n"/>
      <c r="H94" s="41" t="n"/>
      <c r="I94" s="2" t="n"/>
      <c r="J94" s="2" t="n"/>
    </row>
    <row r="95">
      <c r="A95" s="236" t="inlineStr">
        <is>
          <t>Услуги оказываем мы</t>
        </is>
      </c>
      <c r="B95" s="54" t="n"/>
      <c r="C95" s="54" t="n"/>
      <c r="D95" s="54" t="n"/>
      <c r="E95" s="54" t="n"/>
      <c r="F95" s="54" t="n"/>
      <c r="G95" s="54" t="n"/>
      <c r="H95" s="54" t="n"/>
      <c r="I95" s="237" t="n"/>
      <c r="J95" s="2" t="n"/>
    </row>
    <row r="96">
      <c r="A96" s="209" t="inlineStr">
        <is>
          <t>Контрагент</t>
        </is>
      </c>
      <c r="B96" s="238" t="inlineStr">
        <is>
          <t>вид услуги</t>
        </is>
      </c>
      <c r="C96" s="239" t="inlineStr">
        <is>
          <t>наименование</t>
        </is>
      </c>
      <c r="D96" s="240" t="inlineStr">
        <is>
          <t>вес, кг, шт</t>
        </is>
      </c>
      <c r="E96" s="240" t="inlineStr">
        <is>
          <t>цена</t>
        </is>
      </c>
      <c r="F96" s="240" t="inlineStr">
        <is>
          <t>сумма</t>
        </is>
      </c>
      <c r="G96" s="213" t="inlineStr">
        <is>
          <t>№УПД</t>
        </is>
      </c>
      <c r="H96" s="213" t="n"/>
      <c r="I96" s="2" t="n"/>
      <c r="J96" s="2" t="n"/>
    </row>
    <row r="97">
      <c r="A97" s="275" t="n"/>
      <c r="B97" s="276" t="n"/>
      <c r="C97" s="243" t="n"/>
      <c r="D97" s="244" t="n"/>
      <c r="E97" s="277" t="n"/>
      <c r="F97" s="278" t="n"/>
      <c r="G97" s="247" t="n"/>
      <c r="H97" s="248" t="n"/>
      <c r="I97" s="2" t="n"/>
      <c r="J97" s="2" t="n"/>
    </row>
    <row r="98">
      <c r="A98" s="249" t="n"/>
      <c r="B98" s="250" t="n"/>
      <c r="C98" s="251" t="n"/>
      <c r="D98" s="252" t="n"/>
      <c r="E98" s="253" t="n"/>
      <c r="F98" s="254">
        <f>D98*E98</f>
        <v/>
      </c>
      <c r="G98" s="255" t="n"/>
      <c r="H98" s="256" t="n"/>
      <c r="I98" s="2" t="n"/>
      <c r="J98" s="2" t="n"/>
    </row>
    <row r="99">
      <c r="A99" s="257" t="n"/>
      <c r="B99" s="258" t="n"/>
      <c r="C99" s="257" t="n"/>
      <c r="D99" s="257" t="n"/>
      <c r="E99" s="257" t="n"/>
      <c r="F99" s="254">
        <f>D99*E99</f>
        <v/>
      </c>
      <c r="G99" s="257" t="n"/>
      <c r="H99" s="257" t="n"/>
      <c r="I99" s="2" t="n"/>
      <c r="J99" s="2" t="n"/>
    </row>
    <row r="100">
      <c r="A100" s="249" t="n"/>
      <c r="B100" s="258" t="n"/>
      <c r="C100" s="257" t="n"/>
      <c r="D100" s="259" t="n"/>
      <c r="E100" s="257" t="n"/>
      <c r="F100" s="260" t="n"/>
      <c r="G100" s="257" t="n"/>
      <c r="H100" s="257" t="n"/>
      <c r="I100" s="2" t="n"/>
      <c r="J100" s="2" t="n"/>
    </row>
    <row r="101">
      <c r="A101" s="2" t="n"/>
      <c r="B101" s="261" t="n"/>
      <c r="C101" s="2" t="n"/>
      <c r="D101" s="2" t="n"/>
      <c r="E101" s="2" t="n"/>
      <c r="F101" s="262" t="n"/>
      <c r="G101" s="2" t="n"/>
      <c r="H101" s="2" t="n"/>
      <c r="I101" s="263" t="n"/>
      <c r="J101" s="264" t="n"/>
    </row>
  </sheetData>
  <mergeCells count="6">
    <mergeCell ref="A1:J1"/>
    <mergeCell ref="A83:H83"/>
    <mergeCell ref="A95:H95"/>
    <mergeCell ref="A17:H17"/>
    <mergeCell ref="A2:J2"/>
    <mergeCell ref="A40:H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23.375" customWidth="1" min="5" max="5"/>
    <col width="8.875" customWidth="1" min="6" max="6"/>
    <col width="9.625" customWidth="1" min="7" max="7"/>
    <col width="11.12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n"/>
      <c r="C4" s="268" t="n"/>
      <c r="D4" s="51" t="n"/>
      <c r="E4" s="17" t="n"/>
      <c r="F4" s="17" t="n"/>
      <c r="G4" s="270" t="n"/>
      <c r="H4" s="19" t="n">
        <v>800</v>
      </c>
      <c r="I4" s="19">
        <f>F4*H4</f>
        <v/>
      </c>
      <c r="J4" s="20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44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244" t="n"/>
      <c r="C7" s="268" t="n"/>
      <c r="D7" s="51" t="n"/>
      <c r="E7" s="17" t="n"/>
      <c r="F7" s="17" t="n"/>
      <c r="G7" s="270" t="n"/>
      <c r="H7" s="19" t="n"/>
      <c r="I7" s="19" t="n"/>
      <c r="J7" s="20" t="n"/>
    </row>
    <row r="8">
      <c r="A8" s="13" t="n"/>
      <c r="B8" s="244" t="n"/>
      <c r="C8" s="268" t="n"/>
      <c r="D8" s="51" t="n"/>
      <c r="E8" s="17" t="n"/>
      <c r="F8" s="17" t="n"/>
      <c r="G8" s="17" t="n"/>
      <c r="H8" s="19" t="n"/>
      <c r="I8" s="19" t="n"/>
      <c r="J8" s="20" t="n"/>
    </row>
    <row r="9">
      <c r="A9" s="13" t="n"/>
      <c r="B9" s="244" t="n"/>
      <c r="C9" s="268" t="n"/>
      <c r="D9" s="51" t="n"/>
      <c r="E9" s="17" t="n"/>
      <c r="F9" s="17" t="n"/>
      <c r="G9" s="17" t="n"/>
      <c r="H9" s="19" t="n"/>
      <c r="I9" s="19" t="n"/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224847.45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66" t="inlineStr">
        <is>
          <t>приход ИП У4</t>
        </is>
      </c>
      <c r="B20" s="67" t="n"/>
      <c r="C20" s="68" t="n">
        <v>325000</v>
      </c>
      <c r="D20" s="68" t="n">
        <v>325000</v>
      </c>
      <c r="E20" s="69" t="n"/>
      <c r="F20" s="70" t="n"/>
      <c r="G20" s="71" t="n"/>
      <c r="H20" s="72">
        <f>F20*G20</f>
        <v/>
      </c>
      <c r="I20" s="2" t="n"/>
      <c r="J20" s="2" t="n"/>
    </row>
    <row r="21">
      <c r="A21" s="66" t="n"/>
      <c r="B21" s="67" t="n"/>
      <c r="C21" s="68" t="n"/>
      <c r="D21" s="68" t="n"/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2" t="n"/>
      <c r="J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81" t="inlineStr">
        <is>
          <t>уборка</t>
        </is>
      </c>
      <c r="B27" s="67" t="n"/>
      <c r="C27" s="68" t="n">
        <v>2000</v>
      </c>
      <c r="D27" s="68" t="n">
        <v>2000</v>
      </c>
      <c r="E27" s="76" t="n"/>
      <c r="F27" s="78" t="n"/>
      <c r="G27" s="79" t="n"/>
      <c r="H27" s="80" t="n"/>
      <c r="I27" s="2" t="n"/>
      <c r="J27" s="2" t="n"/>
    </row>
    <row r="28">
      <c r="A28" s="69" t="inlineStr">
        <is>
          <t>комиссия</t>
        </is>
      </c>
      <c r="B28" s="67" t="n"/>
      <c r="C28" s="68" t="n">
        <v>21027</v>
      </c>
      <c r="D28" s="68" t="n">
        <v>21027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inlineStr">
        <is>
          <t>з/п Матвиенко</t>
        </is>
      </c>
      <c r="B29" s="67" t="n"/>
      <c r="C29" s="68" t="n">
        <v>90000</v>
      </c>
      <c r="D29" s="68" t="n">
        <v>90000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81" t="inlineStr">
        <is>
          <t>з/п Саманков</t>
        </is>
      </c>
      <c r="B30" s="67" t="n"/>
      <c r="C30" s="68" t="n">
        <v>90000</v>
      </c>
      <c r="D30" s="68" t="n">
        <v>90000</v>
      </c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inlineStr">
        <is>
          <t>з/п Рожков</t>
        </is>
      </c>
      <c r="B31" s="67" t="n"/>
      <c r="C31" s="68" t="n">
        <v>20000</v>
      </c>
      <c r="D31" s="74" t="n">
        <v>20000</v>
      </c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inlineStr">
        <is>
          <t>баннер  (б/у накрыли Нотис)</t>
        </is>
      </c>
      <c r="B32" s="67" t="n"/>
      <c r="C32" s="68" t="n">
        <v>1000</v>
      </c>
      <c r="D32" s="74" t="n">
        <v>1000</v>
      </c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5" t="n"/>
      <c r="E34" s="76" t="n"/>
      <c r="F34" s="78" t="n"/>
      <c r="G34" s="79" t="n"/>
      <c r="H34" s="72">
        <f>F34*G34</f>
        <v/>
      </c>
      <c r="I34" s="313" t="n"/>
      <c r="J34" s="2" t="n"/>
    </row>
    <row r="35">
      <c r="A35" s="69" t="n"/>
      <c r="B35" s="67" t="n"/>
      <c r="C35" s="68" t="n"/>
      <c r="D35" s="75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83" t="n"/>
      <c r="B37" s="67" t="n"/>
      <c r="C37" s="68" t="n"/>
      <c r="D37" s="84" t="n"/>
      <c r="E37" s="85" t="inlineStr">
        <is>
          <t>Итого расход:</t>
        </is>
      </c>
      <c r="F37" s="78" t="n"/>
      <c r="G37" s="79" t="n"/>
      <c r="H37" s="72">
        <f>F37*G37</f>
        <v/>
      </c>
      <c r="I37" s="86" t="n"/>
      <c r="J37" s="86" t="n"/>
    </row>
    <row r="38">
      <c r="A38" s="87" t="inlineStr">
        <is>
          <t>Остаток на конец дня:</t>
        </is>
      </c>
      <c r="B38" s="88" t="n"/>
      <c r="C38" s="89" t="n"/>
      <c r="D38" s="90">
        <f>SUM(D20,D21:D24,D19,)-SUM(D27:D37,)</f>
        <v/>
      </c>
      <c r="E38" s="87" t="inlineStr">
        <is>
          <t>Остаток на конец дня:</t>
        </is>
      </c>
      <c r="F38" s="91" t="n"/>
      <c r="G38" s="89" t="n"/>
      <c r="H38" s="92">
        <f>SUM(H19+H25-H37)</f>
        <v/>
      </c>
      <c r="I38" s="2" t="n"/>
      <c r="J38" s="2" t="n"/>
    </row>
    <row r="39">
      <c r="A39" s="93" t="n"/>
      <c r="B39" s="94" t="n"/>
      <c r="C39" s="43" t="n"/>
      <c r="D39" s="41" t="n"/>
      <c r="E39" s="41" t="n"/>
      <c r="F39" s="41" t="n"/>
      <c r="G39" s="2" t="n"/>
      <c r="H39" s="2" t="n"/>
      <c r="I39" s="2" t="n"/>
      <c r="J39" s="2" t="n"/>
    </row>
    <row r="40">
      <c r="A40" s="95" t="inlineStr">
        <is>
          <t>Расчётный счёт</t>
        </is>
      </c>
      <c r="B40" s="54" t="n"/>
      <c r="C40" s="54" t="n"/>
      <c r="D40" s="54" t="n"/>
      <c r="E40" s="54" t="n"/>
      <c r="F40" s="54" t="n"/>
      <c r="G40" s="54" t="n"/>
      <c r="H40" s="54" t="n"/>
      <c r="I40" s="2" t="n"/>
      <c r="J40" s="2" t="n"/>
    </row>
    <row r="41">
      <c r="A41" s="96" t="inlineStr">
        <is>
          <t>ВТБ</t>
        </is>
      </c>
      <c r="B41" s="279" t="inlineStr">
        <is>
          <t>ВТБ</t>
        </is>
      </c>
      <c r="C41" s="279" t="n"/>
      <c r="D41" s="47" t="n"/>
      <c r="E41" s="97" t="inlineStr">
        <is>
          <t>Альфабанк</t>
        </is>
      </c>
      <c r="F41" s="56" t="n"/>
      <c r="G41" s="56" t="n"/>
      <c r="H41" s="47" t="n"/>
      <c r="I41" s="2" t="n"/>
      <c r="J41" s="2" t="n"/>
    </row>
    <row r="42">
      <c r="A42" s="98" t="inlineStr">
        <is>
          <t>Остаток на начало дня:</t>
        </is>
      </c>
      <c r="B42" s="280" t="n"/>
      <c r="C42" s="290" t="n">
        <v>252553.6</v>
      </c>
      <c r="D42" s="56" t="n"/>
      <c r="E42" s="100" t="inlineStr">
        <is>
          <t>Остаток на начало дня:</t>
        </is>
      </c>
      <c r="F42" s="47" t="n"/>
      <c r="G42" s="101" t="n">
        <v>1890.2</v>
      </c>
      <c r="H42" s="47" t="n"/>
      <c r="I42" s="2" t="n"/>
      <c r="J42" s="2" t="n"/>
    </row>
    <row r="43">
      <c r="A43" s="102" t="inlineStr">
        <is>
          <t>Поступление</t>
        </is>
      </c>
      <c r="B43" s="47" t="n"/>
      <c r="C43" s="102" t="inlineStr">
        <is>
          <t>Расход</t>
        </is>
      </c>
      <c r="D43" s="47" t="n"/>
      <c r="E43" s="102" t="inlineStr">
        <is>
          <t>Поступление</t>
        </is>
      </c>
      <c r="F43" s="47" t="n"/>
      <c r="G43" s="102" t="inlineStr">
        <is>
          <t>Расход</t>
        </is>
      </c>
      <c r="H43" s="47" t="n"/>
      <c r="I43" s="86" t="n"/>
      <c r="J43" s="86" t="n"/>
    </row>
    <row r="44">
      <c r="A44" s="103" t="inlineStr">
        <is>
          <t>от кого</t>
        </is>
      </c>
      <c r="B44" s="103" t="inlineStr">
        <is>
          <t>сумма</t>
        </is>
      </c>
      <c r="C44" s="103" t="inlineStr">
        <is>
          <t>кому</t>
        </is>
      </c>
      <c r="D44" s="103" t="inlineStr">
        <is>
          <t>сумма</t>
        </is>
      </c>
      <c r="E44" s="103" t="inlineStr">
        <is>
          <t>от кого</t>
        </is>
      </c>
      <c r="F44" s="103" t="inlineStr">
        <is>
          <t>сумма</t>
        </is>
      </c>
      <c r="G44" s="103" t="inlineStr">
        <is>
          <t xml:space="preserve">кому </t>
        </is>
      </c>
      <c r="H44" s="103" t="inlineStr">
        <is>
          <t>сумма</t>
        </is>
      </c>
      <c r="I44" s="86" t="n"/>
      <c r="J44" s="86" t="n"/>
    </row>
    <row r="45">
      <c r="A45" s="104" t="inlineStr">
        <is>
          <t xml:space="preserve">Проценты по депозиту  </t>
        </is>
      </c>
      <c r="B45" s="281" t="n">
        <v>129.45</v>
      </c>
      <c r="C45" s="106" t="inlineStr">
        <is>
          <t xml:space="preserve">ООО Интернет решения за халаты </t>
        </is>
      </c>
      <c r="D45" s="107" t="n">
        <v>6455</v>
      </c>
      <c r="E45" s="108" t="n"/>
      <c r="F45" s="109" t="n"/>
      <c r="G45" s="110" t="n"/>
      <c r="H45" s="109" t="n"/>
      <c r="I45" s="86" t="n"/>
      <c r="J45" s="86" t="n"/>
    </row>
    <row r="46">
      <c r="A46" s="282" t="inlineStr">
        <is>
          <t xml:space="preserve">ООО Акваэлемент  за переработку </t>
        </is>
      </c>
      <c r="B46" s="281" t="n">
        <v>290000</v>
      </c>
      <c r="C46" s="112" t="inlineStr">
        <is>
          <t xml:space="preserve">ООО Офисмаг за клейкую ленту </t>
        </is>
      </c>
      <c r="D46" s="107" t="n">
        <v>15448.8</v>
      </c>
      <c r="E46" s="110" t="n"/>
      <c r="F46" s="109" t="n"/>
      <c r="G46" s="110" t="n"/>
      <c r="H46" s="109" t="n"/>
      <c r="I46" s="86" t="n"/>
      <c r="J46" s="86" t="n"/>
    </row>
    <row r="47">
      <c r="A47" s="111" t="n"/>
      <c r="B47" s="283" t="n"/>
      <c r="C47" s="113" t="inlineStr">
        <is>
          <t xml:space="preserve">ООО Интернет решения за хозтовары </t>
        </is>
      </c>
      <c r="D47" s="107" t="n">
        <v>17883</v>
      </c>
      <c r="E47" s="110" t="n"/>
      <c r="F47" s="109" t="n"/>
      <c r="G47" s="114" t="n"/>
      <c r="H47" s="109" t="n"/>
      <c r="I47" s="86" t="n"/>
      <c r="J47" s="86" t="n"/>
    </row>
    <row r="48">
      <c r="A48" s="115" t="n"/>
      <c r="B48" s="283" t="n"/>
      <c r="C48" s="113" t="inlineStr">
        <is>
          <t xml:space="preserve">ООО Крахмалпродукт за патоку </t>
        </is>
      </c>
      <c r="D48" s="107" t="n">
        <v>140800</v>
      </c>
      <c r="E48" s="108" t="n"/>
      <c r="F48" s="116" t="n"/>
      <c r="G48" s="114" t="n"/>
      <c r="H48" s="109" t="n"/>
      <c r="I48" s="86" t="n"/>
      <c r="J48" s="86" t="n"/>
    </row>
    <row r="49">
      <c r="A49" s="117" t="n"/>
      <c r="B49" s="283" t="n"/>
      <c r="C49" s="113" t="inlineStr">
        <is>
          <t xml:space="preserve">ООО Пластик  за тарелки </t>
        </is>
      </c>
      <c r="D49" s="107" t="n">
        <v>329448</v>
      </c>
      <c r="E49" s="118" t="n"/>
      <c r="F49" s="119" t="n"/>
      <c r="G49" s="120" t="n"/>
      <c r="H49" s="120" t="n"/>
      <c r="I49" s="86" t="n"/>
      <c r="J49" s="86" t="n"/>
    </row>
    <row r="50">
      <c r="A50" s="117" t="n"/>
      <c r="B50" s="283" t="n"/>
      <c r="C50" s="113" t="n"/>
      <c r="D50" s="107" t="n"/>
      <c r="E50" s="118" t="n"/>
      <c r="F50" s="119" t="n"/>
      <c r="G50" s="121" t="n"/>
      <c r="H50" s="120" t="n"/>
      <c r="I50" s="86" t="n"/>
      <c r="J50" s="86" t="n"/>
    </row>
    <row r="51">
      <c r="A51" s="122" t="n"/>
      <c r="B51" s="283" t="n"/>
      <c r="C51" s="113" t="n"/>
      <c r="D51" s="107" t="n"/>
      <c r="E51" s="118" t="n"/>
      <c r="F51" s="118" t="n"/>
      <c r="G51" s="123" t="n"/>
      <c r="H51" s="120" t="n"/>
      <c r="I51" s="86" t="n"/>
      <c r="J51" s="86" t="n"/>
    </row>
    <row r="52">
      <c r="A52" s="124" t="n"/>
      <c r="B52" s="284" t="n"/>
      <c r="C52" s="113" t="n"/>
      <c r="D52" s="107" t="n"/>
      <c r="E52" s="124" t="n"/>
      <c r="F52" s="118" t="n"/>
      <c r="G52" s="110" t="n"/>
      <c r="H52" s="120" t="n"/>
      <c r="I52" s="86" t="n"/>
      <c r="J52" s="86" t="n"/>
    </row>
    <row r="53">
      <c r="A53" s="124" t="n"/>
      <c r="B53" s="285" t="n"/>
      <c r="C53" s="110" t="n"/>
      <c r="D53" s="126" t="n"/>
      <c r="E53" s="124" t="n"/>
      <c r="F53" s="118" t="n"/>
      <c r="G53" s="110" t="n"/>
      <c r="H53" s="120" t="n"/>
      <c r="I53" s="86" t="n"/>
      <c r="J53" s="86" t="n"/>
    </row>
    <row r="54">
      <c r="A54" s="124" t="n"/>
      <c r="B54" s="285" t="n"/>
      <c r="C54" s="110" t="n"/>
      <c r="D54" s="126" t="n"/>
      <c r="E54" s="124" t="n"/>
      <c r="F54" s="118" t="n"/>
      <c r="G54" s="110" t="n"/>
      <c r="H54" s="120" t="n"/>
      <c r="I54" s="86" t="n"/>
      <c r="J54" s="86" t="n"/>
    </row>
    <row r="55">
      <c r="A55" s="124" t="n"/>
      <c r="B55" s="285" t="n"/>
      <c r="C55" s="110" t="n"/>
      <c r="D55" s="126" t="n"/>
      <c r="E55" s="124" t="n"/>
      <c r="F55" s="118" t="n"/>
      <c r="G55" s="110" t="n"/>
      <c r="H55" s="120" t="n"/>
      <c r="I55" s="86" t="n"/>
      <c r="J55" s="86" t="n"/>
    </row>
    <row r="56">
      <c r="A56" s="124" t="n"/>
      <c r="B56" s="28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7" t="n"/>
      <c r="B58" s="128">
        <f>SUM(B45:B57)+C42</f>
        <v/>
      </c>
      <c r="C58" s="129" t="n"/>
      <c r="D58" s="128">
        <f>SUM(D45:D57)</f>
        <v/>
      </c>
      <c r="E58" s="130" t="n"/>
      <c r="F58" s="130">
        <f>SUM(F45:F57)</f>
        <v/>
      </c>
      <c r="G58" s="130" t="n"/>
      <c r="H58" s="130">
        <f>SUM(H45:H57)</f>
        <v/>
      </c>
      <c r="I58" s="2" t="n"/>
      <c r="J58" s="2" t="n"/>
    </row>
    <row r="59">
      <c r="A59" s="131" t="inlineStr">
        <is>
          <t>Остаток на конец дня:</t>
        </is>
      </c>
      <c r="B59" s="132">
        <f>B58-D58</f>
        <v/>
      </c>
      <c r="C59" s="56" t="n"/>
      <c r="D59" s="47" t="n"/>
      <c r="E59" s="100" t="inlineStr">
        <is>
          <t>Остаток на конец дня:</t>
        </is>
      </c>
      <c r="F59" s="101" t="n">
        <v>1890.2</v>
      </c>
      <c r="G59" s="56" t="n"/>
      <c r="H59" s="47" t="n"/>
      <c r="I59" s="2" t="n"/>
      <c r="J59" s="2" t="n"/>
    </row>
    <row r="60">
      <c r="A60" s="133" t="inlineStr">
        <is>
          <t>ИТОГО:</t>
        </is>
      </c>
      <c r="B60" s="47" t="n"/>
      <c r="C60" s="134" t="n">
        <v>34538.45</v>
      </c>
      <c r="D60" s="56" t="n"/>
      <c r="E60" s="56" t="n"/>
      <c r="F60" s="56" t="n"/>
      <c r="G60" s="56" t="n"/>
      <c r="H60" s="47" t="n"/>
      <c r="I60" s="2" t="n"/>
      <c r="J60" s="2" t="n"/>
    </row>
    <row r="61">
      <c r="A61" s="41" t="n"/>
      <c r="B61" s="94" t="n"/>
      <c r="C61" s="43" t="n"/>
      <c r="D61" s="41" t="n"/>
      <c r="E61" s="41" t="n"/>
      <c r="F61" s="41" t="n"/>
      <c r="G61" s="41" t="n"/>
      <c r="H61" s="93" t="n"/>
      <c r="I61" s="135" t="n"/>
      <c r="J61" s="135" t="n"/>
    </row>
    <row r="62">
      <c r="A62" s="136" t="n"/>
      <c r="B62" s="137" t="inlineStr">
        <is>
          <t>Реализация по безналичному расчёту</t>
        </is>
      </c>
      <c r="D62" s="2" t="n"/>
      <c r="E62" s="41" t="n"/>
      <c r="F62" s="41" t="n"/>
      <c r="G62" s="41" t="n"/>
      <c r="H62" s="138" t="n"/>
      <c r="I62" s="2" t="n"/>
      <c r="J62" s="2" t="n"/>
    </row>
    <row r="63">
      <c r="A63" s="139" t="inlineStr">
        <is>
          <t>Контрагент</t>
        </is>
      </c>
      <c r="B63" s="140" t="inlineStr">
        <is>
          <t>поставщик</t>
        </is>
      </c>
      <c r="C63" s="141" t="inlineStr">
        <is>
          <t>наименование</t>
        </is>
      </c>
      <c r="D63" s="142" t="inlineStr">
        <is>
          <t>вес упаковки, тарелки</t>
        </is>
      </c>
      <c r="E63" s="143" t="inlineStr">
        <is>
          <t>кол.-во пакетов, коробок</t>
        </is>
      </c>
      <c r="F63" s="144" t="inlineStr">
        <is>
          <t>кол-во мест в коробке/упаковке</t>
        </is>
      </c>
      <c r="G63" s="145" t="inlineStr">
        <is>
          <t>общий вес, кг.</t>
        </is>
      </c>
      <c r="H63" s="146" t="inlineStr">
        <is>
          <t>цена пакет, тарелка</t>
        </is>
      </c>
      <c r="I63" s="147" t="inlineStr">
        <is>
          <t>сумма</t>
        </is>
      </c>
      <c r="J63" s="148" t="inlineStr">
        <is>
          <t>Комментарий</t>
        </is>
      </c>
    </row>
    <row r="64">
      <c r="A64" s="150" t="inlineStr">
        <is>
          <t>Золотой Снек</t>
        </is>
      </c>
      <c r="B64" s="151" t="inlineStr">
        <is>
          <t>Снекпром</t>
        </is>
      </c>
      <c r="C64" s="272" t="inlineStr">
        <is>
          <t>Арахис в хрустящей корочке Сыр 1 кг/10 шт</t>
        </is>
      </c>
      <c r="D64" s="155" t="n">
        <v>1</v>
      </c>
      <c r="E64" s="154" t="n">
        <v>1000</v>
      </c>
      <c r="F64" s="155" t="n">
        <v>10</v>
      </c>
      <c r="G64" s="154">
        <f>D64*E64</f>
        <v/>
      </c>
      <c r="H64" s="156" t="n">
        <v>190</v>
      </c>
      <c r="I64" s="156">
        <f>H64*E64</f>
        <v/>
      </c>
      <c r="J64" s="157" t="n"/>
    </row>
    <row r="65">
      <c r="A65" s="150" t="inlineStr">
        <is>
          <t>Золотой Снек</t>
        </is>
      </c>
      <c r="B65" s="151" t="inlineStr">
        <is>
          <t>Снекпром</t>
        </is>
      </c>
      <c r="C65" s="158" t="inlineStr">
        <is>
          <t>Арахис в хрустящей корочке Холодец с хреном 1 кг/10 шт</t>
        </is>
      </c>
      <c r="D65" s="155" t="n">
        <v>1</v>
      </c>
      <c r="E65" s="154" t="n">
        <v>1000</v>
      </c>
      <c r="F65" s="155" t="n">
        <v>10</v>
      </c>
      <c r="G65" s="154">
        <f>D65*E65</f>
        <v/>
      </c>
      <c r="H65" s="156" t="n">
        <v>190</v>
      </c>
      <c r="I65" s="156">
        <f>H65*E65</f>
        <v/>
      </c>
      <c r="J65" s="322" t="n"/>
    </row>
    <row r="66">
      <c r="A66" s="150" t="inlineStr">
        <is>
          <t>Золотой Снек</t>
        </is>
      </c>
      <c r="B66" s="151" t="inlineStr">
        <is>
          <t>Снекпром</t>
        </is>
      </c>
      <c r="C66" s="158" t="inlineStr">
        <is>
          <t>Арахис в хрустящей корочке Чили-лайм 1 кг/10 шт</t>
        </is>
      </c>
      <c r="D66" s="155" t="n">
        <v>1</v>
      </c>
      <c r="E66" s="154" t="n">
        <v>500</v>
      </c>
      <c r="F66" s="155" t="n">
        <v>10</v>
      </c>
      <c r="G66" s="154">
        <f>D66*E66</f>
        <v/>
      </c>
      <c r="H66" s="156" t="n">
        <v>190</v>
      </c>
      <c r="I66" s="156">
        <f>H66*E66</f>
        <v/>
      </c>
      <c r="J66" s="159" t="n"/>
    </row>
    <row r="67">
      <c r="A67" s="150" t="n"/>
      <c r="B67" s="151" t="n"/>
      <c r="C67" s="158" t="n"/>
      <c r="D67" s="153" t="n"/>
      <c r="E67" s="154" t="n"/>
      <c r="F67" s="155" t="n"/>
      <c r="G67" s="154" t="n"/>
      <c r="H67" s="156" t="n"/>
      <c r="I67" s="156" t="n"/>
      <c r="J67" s="159" t="n"/>
    </row>
    <row r="68">
      <c r="A68" s="150" t="n"/>
      <c r="B68" s="151" t="n"/>
      <c r="C68" s="152" t="n"/>
      <c r="D68" s="153" t="n"/>
      <c r="E68" s="154" t="n"/>
      <c r="F68" s="155" t="n"/>
      <c r="G68" s="154" t="n"/>
      <c r="H68" s="156" t="n"/>
      <c r="I68" s="156" t="n"/>
      <c r="J68" s="159" t="n"/>
    </row>
    <row r="69">
      <c r="A69" s="150" t="n"/>
      <c r="B69" s="151" t="n"/>
      <c r="C69" s="152" t="n"/>
      <c r="D69" s="153" t="n"/>
      <c r="E69" s="154" t="n"/>
      <c r="F69" s="155" t="n"/>
      <c r="G69" s="154" t="n"/>
      <c r="H69" s="156" t="n"/>
      <c r="I69" s="156" t="n"/>
      <c r="J69" s="159" t="n"/>
    </row>
    <row r="70">
      <c r="A70" s="150" t="n"/>
      <c r="B70" s="150" t="n"/>
      <c r="C70" s="160" t="n"/>
      <c r="D70" s="153" t="n"/>
      <c r="E70" s="154" t="n"/>
      <c r="F70" s="155" t="n"/>
      <c r="G70" s="154" t="n"/>
      <c r="H70" s="156" t="n"/>
      <c r="I70" s="156" t="n"/>
      <c r="J70" s="161" t="n"/>
    </row>
    <row r="71">
      <c r="A71" s="162" t="n"/>
      <c r="B71" s="163" t="n"/>
      <c r="C71" s="164" t="n"/>
      <c r="D71" s="165" t="n"/>
      <c r="E71" s="166" t="n"/>
      <c r="F71" s="167" t="n"/>
      <c r="G71" s="168" t="n"/>
      <c r="H71" s="169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62" t="n"/>
      <c r="B74" s="163" t="n"/>
      <c r="C74" s="171" t="n"/>
      <c r="D74" s="153" t="n"/>
      <c r="E74" s="172" t="n"/>
      <c r="F74" s="155" t="n"/>
      <c r="G74" s="168" t="n"/>
      <c r="H74" s="156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73" t="n"/>
      <c r="B76" s="174" t="n"/>
      <c r="C76" s="175" t="n"/>
      <c r="D76" s="176" t="n"/>
      <c r="E76" s="177" t="n"/>
      <c r="F76" s="178" t="n"/>
      <c r="G76" s="179" t="n"/>
      <c r="H76" s="180" t="n"/>
      <c r="I76" s="181" t="n"/>
      <c r="J76" s="161" t="n"/>
    </row>
    <row r="77">
      <c r="A77" s="182" t="n"/>
      <c r="B77" s="163" t="n"/>
      <c r="C77" s="183" t="n"/>
      <c r="D77" s="184" t="n"/>
      <c r="E77" s="166" t="n"/>
      <c r="F77" s="167" t="n"/>
      <c r="G77" s="185">
        <f>D77*F77</f>
        <v/>
      </c>
      <c r="H77" s="186" t="n"/>
      <c r="I77" s="186">
        <f>F77*H77*E77</f>
        <v/>
      </c>
      <c r="J77" s="187" t="n"/>
    </row>
    <row r="78">
      <c r="A78" s="182" t="n"/>
      <c r="B78" s="163" t="n"/>
      <c r="C78" s="188" t="n"/>
      <c r="D78" s="189" t="n"/>
      <c r="E78" s="190" t="n"/>
      <c r="F78" s="189" t="n"/>
      <c r="G78" s="185">
        <f>D78*F78</f>
        <v/>
      </c>
      <c r="H78" s="191" t="n"/>
      <c r="I78" s="186">
        <f>F78*H78*E78</f>
        <v/>
      </c>
      <c r="J78" s="187" t="n"/>
    </row>
    <row r="79">
      <c r="A79" s="192" t="inlineStr">
        <is>
          <t>ИТОГО:</t>
        </is>
      </c>
      <c r="B79" s="193" t="n"/>
      <c r="C79" s="194" t="n"/>
      <c r="D79" s="195" t="n"/>
      <c r="E79" s="196">
        <f>SUM(E64:E78)</f>
        <v/>
      </c>
      <c r="F79" s="197">
        <f>SUM(F64:F76)</f>
        <v/>
      </c>
      <c r="G79" s="198">
        <f>SUM(G64:G71)</f>
        <v/>
      </c>
      <c r="H79" s="199" t="n"/>
      <c r="I79" s="199">
        <f>SUM(I64:I72)</f>
        <v/>
      </c>
      <c r="J79" s="200" t="n"/>
    </row>
    <row r="80">
      <c r="A80" s="2" t="n"/>
      <c r="B80" s="94" t="n"/>
      <c r="C80" s="43" t="n"/>
      <c r="D80" s="41" t="n"/>
      <c r="E80" s="41" t="n"/>
      <c r="F80" s="41" t="n"/>
      <c r="G80" s="41" t="n"/>
      <c r="H80" s="2" t="n"/>
      <c r="I80" s="2" t="n"/>
      <c r="J80" s="2" t="n"/>
    </row>
    <row r="81">
      <c r="A81" s="201" t="inlineStr">
        <is>
          <t>реализация Всего касса+безнал:</t>
        </is>
      </c>
      <c r="B81" s="202" t="inlineStr">
        <is>
          <t>кг</t>
        </is>
      </c>
      <c r="C81" s="203" t="inlineStr">
        <is>
          <t>на сумму</t>
        </is>
      </c>
      <c r="D81" s="41" t="n"/>
      <c r="E81" s="41" t="n"/>
      <c r="F81" s="41" t="n"/>
      <c r="G81" s="41" t="n"/>
      <c r="H81" s="2" t="n"/>
      <c r="I81" s="2" t="n"/>
      <c r="J81" s="2" t="n"/>
    </row>
    <row r="82">
      <c r="A82" s="204" t="n"/>
      <c r="B82" s="205">
        <f>E12+G79</f>
        <v/>
      </c>
      <c r="C82" s="206">
        <f>I12+H79+I79</f>
        <v/>
      </c>
      <c r="D82" s="41" t="n"/>
      <c r="E82" s="41" t="n"/>
      <c r="F82" s="41" t="n"/>
      <c r="G82" s="41" t="n"/>
      <c r="H82" s="2" t="n"/>
      <c r="I82" s="2" t="n"/>
      <c r="J82" s="2" t="n"/>
    </row>
    <row r="83">
      <c r="A83" s="207" t="inlineStr">
        <is>
          <t>Услуги оказывают нам (доставка сырья и комплектующих на склад, Товара покупателям)</t>
        </is>
      </c>
      <c r="B83" s="54" t="n"/>
      <c r="C83" s="54" t="n"/>
      <c r="D83" s="54" t="n"/>
      <c r="E83" s="54" t="n"/>
      <c r="F83" s="54" t="n"/>
      <c r="G83" s="54" t="n"/>
      <c r="H83" s="54" t="n"/>
      <c r="I83" s="291" t="n"/>
      <c r="J83" s="58" t="n"/>
    </row>
    <row r="84">
      <c r="A84" s="209" t="inlineStr">
        <is>
          <t>Контрагент</t>
        </is>
      </c>
      <c r="B84" s="210" t="inlineStr">
        <is>
          <t>вид услуги</t>
        </is>
      </c>
      <c r="C84" s="211" t="inlineStr">
        <is>
          <t>Кому / От кого</t>
        </is>
      </c>
      <c r="D84" s="212" t="inlineStr">
        <is>
          <t>наименование</t>
        </is>
      </c>
      <c r="E84" s="213" t="inlineStr">
        <is>
          <t xml:space="preserve">город доставки </t>
        </is>
      </c>
      <c r="F84" s="214" t="inlineStr">
        <is>
          <t>цена</t>
        </is>
      </c>
      <c r="G84" s="213" t="inlineStr">
        <is>
          <t>сумма</t>
        </is>
      </c>
      <c r="H84" s="212" t="inlineStr">
        <is>
          <t>за тонну</t>
        </is>
      </c>
      <c r="I84" s="291" t="n"/>
      <c r="J84" s="58" t="n"/>
    </row>
    <row r="85">
      <c r="A85" s="215" t="n"/>
      <c r="B85" s="60" t="n"/>
      <c r="C85" s="63" t="n"/>
      <c r="D85" s="226" t="n"/>
      <c r="E85" s="317" t="n"/>
      <c r="F85" s="62" t="n"/>
      <c r="G85" s="218" t="n"/>
      <c r="H85" s="305" t="n"/>
      <c r="I85" s="291" t="n"/>
      <c r="J85" s="58" t="n"/>
    </row>
    <row r="86">
      <c r="A86" s="215" t="n"/>
      <c r="B86" s="60" t="n"/>
      <c r="C86" s="63" t="n"/>
      <c r="D86" s="226" t="n"/>
      <c r="E86" s="217" t="n"/>
      <c r="F86" s="62" t="n"/>
      <c r="G86" s="218" t="n"/>
      <c r="H86" s="305" t="n"/>
      <c r="I86" s="315" t="n"/>
      <c r="J86" s="58" t="n"/>
    </row>
    <row r="87">
      <c r="A87" s="220" t="n"/>
      <c r="B87" s="60" t="n"/>
      <c r="C87" s="63" t="n"/>
      <c r="D87" s="226" t="n"/>
      <c r="E87" s="274" t="n"/>
      <c r="F87" s="223" t="n"/>
      <c r="G87" s="218" t="n"/>
      <c r="H87" s="305" t="n"/>
      <c r="I87" s="2" t="n"/>
      <c r="J87" s="2" t="n"/>
    </row>
    <row r="88">
      <c r="A88" s="220" t="n"/>
      <c r="B88" s="60" t="n"/>
      <c r="C88" s="221" t="n"/>
      <c r="D88" s="222" t="n"/>
      <c r="E88" s="274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74" t="n"/>
      <c r="F89" s="223" t="n"/>
      <c r="G89" s="218" t="n"/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F90+F1208</f>
        <v/>
      </c>
      <c r="H90" s="219" t="n"/>
      <c r="I90" s="2" t="n"/>
      <c r="J90" s="2" t="n"/>
    </row>
    <row r="91">
      <c r="A91" s="220" t="n"/>
      <c r="B91" s="60" t="n"/>
      <c r="C91" s="221" t="n"/>
      <c r="D91" s="226" t="n"/>
      <c r="E91" s="227" t="n"/>
      <c r="F91" s="223" t="n"/>
      <c r="G91" s="218">
        <f>F91+F1209</f>
        <v/>
      </c>
      <c r="H91" s="219" t="n"/>
      <c r="I91" s="2" t="n"/>
      <c r="J91" s="2" t="n"/>
    </row>
    <row r="92">
      <c r="A92" s="220" t="n"/>
      <c r="B92" s="60" t="n"/>
      <c r="C92" s="221" t="n"/>
      <c r="D92" s="226" t="n"/>
      <c r="E92" s="227" t="n"/>
      <c r="F92" s="223" t="n"/>
      <c r="G92" s="218">
        <f>F92+F1210</f>
        <v/>
      </c>
      <c r="H92" s="228" t="n"/>
      <c r="I92" s="2" t="n"/>
      <c r="J92" s="2" t="n"/>
    </row>
    <row r="93">
      <c r="A93" s="229" t="inlineStr">
        <is>
          <t>ИТОГО:</t>
        </is>
      </c>
      <c r="B93" s="230" t="n"/>
      <c r="C93" s="231" t="n"/>
      <c r="D93" s="232" t="n"/>
      <c r="E93" s="233">
        <f>SUM(E85:E92)</f>
        <v/>
      </c>
      <c r="F93" s="234" t="n"/>
      <c r="G93" s="235">
        <f>SUM(G85:G92)</f>
        <v/>
      </c>
      <c r="H93" s="235" t="n"/>
      <c r="I93" s="2" t="n"/>
      <c r="J93" s="2" t="n"/>
    </row>
    <row r="94">
      <c r="A94" s="41" t="n"/>
      <c r="B94" s="94" t="n"/>
      <c r="C94" s="43" t="n"/>
      <c r="D94" s="41" t="n"/>
      <c r="E94" s="41" t="n"/>
      <c r="F94" s="41" t="n"/>
      <c r="G94" s="41" t="n"/>
      <c r="H94" s="41" t="n"/>
      <c r="I94" s="2" t="n"/>
      <c r="J94" s="2" t="n"/>
    </row>
    <row r="95">
      <c r="A95" s="236" t="inlineStr">
        <is>
          <t>Услуги оказываем мы</t>
        </is>
      </c>
      <c r="B95" s="54" t="n"/>
      <c r="C95" s="54" t="n"/>
      <c r="D95" s="54" t="n"/>
      <c r="E95" s="54" t="n"/>
      <c r="F95" s="54" t="n"/>
      <c r="G95" s="54" t="n"/>
      <c r="H95" s="54" t="n"/>
      <c r="I95" s="237" t="n"/>
      <c r="J95" s="2" t="n"/>
    </row>
    <row r="96">
      <c r="A96" s="209" t="inlineStr">
        <is>
          <t>Контрагент</t>
        </is>
      </c>
      <c r="B96" s="238" t="inlineStr">
        <is>
          <t>вид услуги</t>
        </is>
      </c>
      <c r="C96" s="239" t="inlineStr">
        <is>
          <t>наименование</t>
        </is>
      </c>
      <c r="D96" s="240" t="inlineStr">
        <is>
          <t>вес, кг, шт</t>
        </is>
      </c>
      <c r="E96" s="240" t="inlineStr">
        <is>
          <t>цена</t>
        </is>
      </c>
      <c r="F96" s="240" t="inlineStr">
        <is>
          <t>сумма</t>
        </is>
      </c>
      <c r="G96" s="213" t="inlineStr">
        <is>
          <t>№УПД</t>
        </is>
      </c>
      <c r="H96" s="213" t="n"/>
      <c r="I96" s="2" t="n"/>
      <c r="J96" s="2" t="n"/>
    </row>
    <row r="97">
      <c r="A97" s="275" t="n"/>
      <c r="B97" s="276" t="n"/>
      <c r="C97" s="243" t="n"/>
      <c r="D97" s="244" t="n"/>
      <c r="E97" s="277" t="n"/>
      <c r="F97" s="278" t="n"/>
      <c r="G97" s="247" t="n"/>
      <c r="H97" s="248" t="n"/>
      <c r="I97" s="2" t="n"/>
      <c r="J97" s="2" t="n"/>
    </row>
    <row r="98">
      <c r="A98" s="249" t="n"/>
      <c r="B98" s="250" t="n"/>
      <c r="C98" s="251" t="n"/>
      <c r="D98" s="252" t="n"/>
      <c r="E98" s="253" t="n"/>
      <c r="F98" s="254">
        <f>D98*E98</f>
        <v/>
      </c>
      <c r="G98" s="255" t="n"/>
      <c r="H98" s="256" t="n"/>
      <c r="I98" s="2" t="n"/>
      <c r="J98" s="2" t="n"/>
    </row>
    <row r="99">
      <c r="A99" s="257" t="n"/>
      <c r="B99" s="258" t="n"/>
      <c r="C99" s="257" t="n"/>
      <c r="D99" s="257" t="n"/>
      <c r="E99" s="257" t="n"/>
      <c r="F99" s="254">
        <f>D99*E99</f>
        <v/>
      </c>
      <c r="G99" s="257" t="n"/>
      <c r="H99" s="257" t="n"/>
      <c r="I99" s="2" t="n"/>
      <c r="J99" s="2" t="n"/>
    </row>
    <row r="100">
      <c r="A100" s="249" t="n"/>
      <c r="B100" s="258" t="n"/>
      <c r="C100" s="257" t="n"/>
      <c r="D100" s="259" t="n"/>
      <c r="E100" s="257" t="n"/>
      <c r="F100" s="260" t="n"/>
      <c r="G100" s="257" t="n"/>
      <c r="H100" s="257" t="n"/>
      <c r="I100" s="2" t="n"/>
      <c r="J100" s="2" t="n"/>
    </row>
    <row r="101">
      <c r="A101" s="2" t="n"/>
      <c r="B101" s="261" t="n"/>
      <c r="C101" s="2" t="n"/>
      <c r="D101" s="2" t="n"/>
      <c r="E101" s="2" t="n"/>
      <c r="F101" s="262" t="n"/>
      <c r="G101" s="2" t="n"/>
      <c r="H101" s="2" t="n"/>
      <c r="I101" s="263" t="n"/>
      <c r="J101" s="264" t="n"/>
    </row>
  </sheetData>
  <mergeCells count="6">
    <mergeCell ref="A1:J1"/>
    <mergeCell ref="A83:H83"/>
    <mergeCell ref="A95:H95"/>
    <mergeCell ref="A17:H17"/>
    <mergeCell ref="A2:J2"/>
    <mergeCell ref="A40:H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29.75" customWidth="1" min="6" max="6"/>
    <col width="9.625" customWidth="1" min="7" max="7"/>
    <col width="11.12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n"/>
      <c r="C4" s="268" t="n"/>
      <c r="D4" s="51" t="n"/>
      <c r="E4" s="17" t="n"/>
      <c r="F4" s="17" t="n"/>
      <c r="G4" s="270" t="n"/>
      <c r="H4" s="19" t="n">
        <v>800</v>
      </c>
      <c r="I4" s="19">
        <f>F4*H4</f>
        <v/>
      </c>
      <c r="J4" s="20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44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244" t="n"/>
      <c r="C7" s="268" t="n"/>
      <c r="D7" s="51" t="n"/>
      <c r="E7" s="17" t="n"/>
      <c r="F7" s="17" t="n"/>
      <c r="G7" s="270" t="n"/>
      <c r="H7" s="19" t="n"/>
      <c r="I7" s="19" t="n"/>
      <c r="J7" s="20" t="n"/>
    </row>
    <row r="8">
      <c r="A8" s="13" t="n"/>
      <c r="B8" s="244" t="n"/>
      <c r="C8" s="268" t="n"/>
      <c r="D8" s="51" t="n"/>
      <c r="E8" s="17" t="n"/>
      <c r="F8" s="17" t="n"/>
      <c r="G8" s="17" t="n"/>
      <c r="H8" s="19" t="n"/>
      <c r="I8" s="19" t="n"/>
      <c r="J8" s="20" t="n"/>
    </row>
    <row r="9">
      <c r="A9" s="13" t="n"/>
      <c r="B9" s="244" t="n"/>
      <c r="C9" s="268" t="n"/>
      <c r="D9" s="51" t="n"/>
      <c r="E9" s="17" t="n"/>
      <c r="F9" s="17" t="n"/>
      <c r="G9" s="17" t="n"/>
      <c r="H9" s="19" t="n"/>
      <c r="I9" s="19" t="n"/>
      <c r="J9" s="20" t="n"/>
    </row>
    <row r="10">
      <c r="A10" s="13" t="n"/>
      <c r="B10" s="30" t="n"/>
      <c r="C10" s="267" t="n"/>
      <c r="D10" s="271" t="n"/>
      <c r="E10" s="16" t="n"/>
      <c r="F10" s="17" t="n"/>
      <c r="G10" s="17" t="n"/>
      <c r="H10" s="27" t="n"/>
      <c r="I10" s="28" t="n"/>
      <c r="J10" s="20" t="n"/>
    </row>
    <row r="11">
      <c r="A11" s="29" t="n"/>
      <c r="B11" s="30" t="n"/>
      <c r="C11" s="21" t="n"/>
      <c r="D11" s="26" t="n"/>
      <c r="E11" s="16" t="n"/>
      <c r="F11" s="17" t="n"/>
      <c r="G11" s="17" t="n"/>
      <c r="H11" s="31" t="n"/>
      <c r="I11" s="28" t="n"/>
      <c r="J11" s="32" t="n"/>
    </row>
    <row r="12">
      <c r="A12" s="33" t="n"/>
      <c r="B12" s="34" t="n"/>
      <c r="C12" s="35" t="n"/>
      <c r="D12" s="33" t="n"/>
      <c r="E12" s="36">
        <f>SUM(E4:E11)</f>
        <v/>
      </c>
      <c r="F12" s="36">
        <f>SUM(F4:F11)</f>
        <v/>
      </c>
      <c r="G12" s="37">
        <f>SUM(G4:G11)</f>
        <v/>
      </c>
      <c r="H12" s="38" t="n"/>
      <c r="I12" s="39">
        <f>SUM(I4:I11)</f>
        <v/>
      </c>
      <c r="J12" s="40" t="n"/>
    </row>
    <row r="13">
      <c r="A13" s="41" t="n"/>
      <c r="B13" s="42" t="n"/>
      <c r="C13" s="43" t="n"/>
      <c r="D13" s="41" t="n"/>
      <c r="E13" s="41" t="n"/>
      <c r="F13" s="41" t="n"/>
      <c r="G13" s="41" t="n"/>
      <c r="H13" s="41" t="n"/>
      <c r="I13" s="2" t="n"/>
      <c r="J13" s="2" t="n"/>
    </row>
    <row r="14">
      <c r="A14" s="44" t="inlineStr">
        <is>
          <t xml:space="preserve">Поступление от </t>
        </is>
      </c>
      <c r="B14" s="45" t="inlineStr">
        <is>
          <t>сумма</t>
        </is>
      </c>
      <c r="C14" s="46" t="inlineStr">
        <is>
          <t>примечание</t>
        </is>
      </c>
      <c r="D14" s="47" t="n"/>
      <c r="E14" s="41" t="n"/>
      <c r="F14" s="41" t="n"/>
      <c r="G14" s="41" t="n"/>
      <c r="H14" s="41" t="n"/>
      <c r="I14" s="2" t="n"/>
      <c r="J14" s="2" t="n"/>
    </row>
    <row r="15">
      <c r="A15" s="48" t="n"/>
      <c r="B15" s="49" t="n"/>
      <c r="C15" s="50" t="n"/>
      <c r="D15" s="47" t="n"/>
      <c r="E15" s="41" t="n"/>
      <c r="F15" s="41" t="n"/>
      <c r="G15" s="41" t="n"/>
      <c r="H15" s="41" t="n"/>
      <c r="I15" s="2" t="n"/>
      <c r="J15" s="2" t="n"/>
    </row>
    <row r="16">
      <c r="A16" s="29" t="n"/>
      <c r="B16" s="51" t="n"/>
      <c r="C16" s="52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53" t="inlineStr">
        <is>
          <t>Касса</t>
        </is>
      </c>
      <c r="B17" s="54" t="n"/>
      <c r="C17" s="54" t="n"/>
      <c r="D17" s="54" t="n"/>
      <c r="E17" s="54" t="n"/>
      <c r="F17" s="54" t="n"/>
      <c r="G17" s="54" t="n"/>
      <c r="H17" s="54" t="n"/>
      <c r="I17" s="2" t="n"/>
      <c r="J17" s="2" t="n"/>
    </row>
    <row r="18">
      <c r="A18" s="55" t="inlineStr">
        <is>
          <t>Производство</t>
        </is>
      </c>
      <c r="B18" s="56" t="n"/>
      <c r="C18" s="56" t="n"/>
      <c r="D18" s="47" t="n"/>
      <c r="E18" s="55" t="inlineStr">
        <is>
          <t xml:space="preserve">Бухгалтерия </t>
        </is>
      </c>
      <c r="F18" s="56" t="n"/>
      <c r="G18" s="56" t="n"/>
      <c r="H18" s="47" t="n"/>
      <c r="I18" s="57" t="n"/>
      <c r="J18" s="58" t="n"/>
    </row>
    <row r="19">
      <c r="A19" s="59" t="inlineStr">
        <is>
          <t>Остаток на начало дня:</t>
        </is>
      </c>
      <c r="B19" s="60" t="n"/>
      <c r="C19" s="61" t="n"/>
      <c r="D19" s="62" t="n">
        <v>325820.45</v>
      </c>
      <c r="E19" s="59" t="inlineStr">
        <is>
          <t>Остаток на начало дня:</t>
        </is>
      </c>
      <c r="F19" s="63" t="n"/>
      <c r="G19" s="61" t="n"/>
      <c r="H19" s="64" t="n">
        <v>0</v>
      </c>
      <c r="I19" s="65" t="n"/>
      <c r="J19" s="2" t="n"/>
    </row>
    <row r="20">
      <c r="A20" s="66" t="n"/>
      <c r="B20" s="67" t="n"/>
      <c r="C20" s="68" t="n"/>
      <c r="D20" s="68" t="n"/>
      <c r="E20" s="69" t="n"/>
      <c r="F20" s="70" t="n"/>
      <c r="G20" s="71" t="n"/>
      <c r="H20" s="72">
        <f>F20*G20</f>
        <v/>
      </c>
      <c r="I20" s="2" t="n"/>
      <c r="J20" s="2" t="n"/>
    </row>
    <row r="21">
      <c r="A21" s="66" t="n"/>
      <c r="B21" s="67" t="n"/>
      <c r="C21" s="68" t="n"/>
      <c r="D21" s="68" t="n"/>
      <c r="E21" s="69" t="n"/>
      <c r="F21" s="70" t="n"/>
      <c r="G21" s="71" t="n"/>
      <c r="H21" s="72">
        <f>F21*G21</f>
        <v/>
      </c>
      <c r="I21" s="2" t="n"/>
      <c r="J21" s="2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2" t="n"/>
      <c r="J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 t="n"/>
      <c r="I23" s="2" t="n"/>
      <c r="J23" s="2" t="n"/>
    </row>
    <row r="24">
      <c r="A24" s="66" t="n"/>
      <c r="B24" s="73" t="n"/>
      <c r="C24" s="74" t="n"/>
      <c r="D24" s="75" t="n"/>
      <c r="E24" s="69" t="n"/>
      <c r="F24" s="70" t="n"/>
      <c r="G24" s="71" t="n"/>
      <c r="H24" s="72" t="n"/>
      <c r="I24" s="2" t="n"/>
      <c r="J24" s="2" t="n"/>
    </row>
    <row r="25">
      <c r="A25" s="76" t="n"/>
      <c r="B25" s="67" t="n"/>
      <c r="C25" s="68" t="n"/>
      <c r="D25" s="75" t="n"/>
      <c r="E25" s="77" t="inlineStr">
        <is>
          <t>Итого приход:</t>
        </is>
      </c>
      <c r="F25" s="78" t="n"/>
      <c r="G25" s="79" t="n"/>
      <c r="H25" s="80">
        <f>SUM(H20:H21)</f>
        <v/>
      </c>
      <c r="I25" s="2" t="n"/>
      <c r="J25" s="2" t="n"/>
    </row>
    <row r="26">
      <c r="A26" s="76" t="inlineStr">
        <is>
          <t>Расход за день:</t>
        </is>
      </c>
      <c r="B26" s="67" t="n"/>
      <c r="C26" s="79" t="n"/>
      <c r="D26" s="80" t="n"/>
      <c r="E26" s="76" t="inlineStr">
        <is>
          <t>Расход за день:</t>
        </is>
      </c>
      <c r="F26" s="78" t="n"/>
      <c r="G26" s="79" t="n"/>
      <c r="H26" s="80" t="n"/>
      <c r="I26" s="2" t="n"/>
      <c r="J26" s="2" t="n"/>
    </row>
    <row r="27">
      <c r="A27" s="81" t="inlineStr">
        <is>
          <t>розетка</t>
        </is>
      </c>
      <c r="B27" s="67" t="n"/>
      <c r="C27" s="68" t="n">
        <v>300</v>
      </c>
      <c r="D27" s="68" t="n">
        <v>300</v>
      </c>
      <c r="E27" s="76" t="n"/>
      <c r="F27" s="78" t="n"/>
      <c r="G27" s="79" t="n"/>
      <c r="H27" s="80" t="n"/>
      <c r="I27" s="2" t="n"/>
      <c r="J27" s="2" t="n"/>
    </row>
    <row r="28">
      <c r="A28" s="69" t="n"/>
      <c r="B28" s="67" t="n"/>
      <c r="C28" s="68" t="n"/>
      <c r="D28" s="68" t="n"/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n"/>
      <c r="B29" s="67" t="n"/>
      <c r="C29" s="68" t="n"/>
      <c r="D29" s="68" t="n"/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81" t="n"/>
      <c r="B30" s="67" t="n"/>
      <c r="C30" s="68" t="n"/>
      <c r="D30" s="68" t="n"/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n"/>
      <c r="B31" s="67" t="n"/>
      <c r="C31" s="68" t="n"/>
      <c r="D31" s="74" t="n"/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n"/>
      <c r="B32" s="67" t="n"/>
      <c r="C32" s="68" t="n"/>
      <c r="D32" s="74" t="n"/>
      <c r="E32" s="76" t="n"/>
      <c r="F32" s="78" t="n"/>
      <c r="G32" s="79" t="n"/>
      <c r="H32" s="72">
        <f>F32*G32</f>
        <v/>
      </c>
      <c r="I32" s="2" t="n"/>
      <c r="J32" s="2" t="n"/>
    </row>
    <row r="33">
      <c r="A33" s="69" t="n"/>
      <c r="B33" s="67" t="n"/>
      <c r="C33" s="68" t="n"/>
      <c r="D33" s="74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5" t="n"/>
      <c r="E34" s="76" t="n"/>
      <c r="F34" s="78" t="n"/>
      <c r="G34" s="79" t="n"/>
      <c r="H34" s="72">
        <f>F34*G34</f>
        <v/>
      </c>
      <c r="I34" s="313" t="n"/>
      <c r="J34" s="2" t="n"/>
    </row>
    <row r="35">
      <c r="A35" s="69" t="n"/>
      <c r="B35" s="67" t="n"/>
      <c r="C35" s="68" t="n"/>
      <c r="D35" s="75" t="n"/>
      <c r="E35" s="76" t="n"/>
      <c r="F35" s="78" t="n"/>
      <c r="G35" s="79" t="n"/>
      <c r="H35" s="72">
        <f>F35*G35</f>
        <v/>
      </c>
      <c r="I35" s="2" t="n"/>
      <c r="J35" s="2" t="n"/>
    </row>
    <row r="36">
      <c r="A36" s="69" t="n"/>
      <c r="B36" s="67" t="n"/>
      <c r="C36" s="68" t="n"/>
      <c r="D36" s="75" t="n"/>
      <c r="E36" s="76" t="n"/>
      <c r="F36" s="78" t="n"/>
      <c r="G36" s="79" t="n"/>
      <c r="H36" s="72">
        <f>F36*G36</f>
        <v/>
      </c>
      <c r="I36" s="2" t="n"/>
      <c r="J36" s="2" t="n"/>
    </row>
    <row r="37">
      <c r="A37" s="83" t="n"/>
      <c r="B37" s="67" t="n"/>
      <c r="C37" s="68" t="n"/>
      <c r="D37" s="84" t="n"/>
      <c r="E37" s="85" t="inlineStr">
        <is>
          <t>Итого расход:</t>
        </is>
      </c>
      <c r="F37" s="78" t="n"/>
      <c r="G37" s="79" t="n"/>
      <c r="H37" s="72">
        <f>F37*G37</f>
        <v/>
      </c>
      <c r="I37" s="86" t="n"/>
      <c r="J37" s="86" t="n"/>
    </row>
    <row r="38">
      <c r="A38" s="87" t="inlineStr">
        <is>
          <t>Остаток на конец дня:</t>
        </is>
      </c>
      <c r="B38" s="88" t="n"/>
      <c r="C38" s="89" t="n"/>
      <c r="D38" s="90">
        <f>SUM(D20,D21:D24,D19,)-SUM(D27:D37,)</f>
        <v/>
      </c>
      <c r="E38" s="87" t="inlineStr">
        <is>
          <t>Остаток на конец дня:</t>
        </is>
      </c>
      <c r="F38" s="91" t="n"/>
      <c r="G38" s="89" t="n"/>
      <c r="H38" s="92">
        <f>SUM(H19+H25-H37)</f>
        <v/>
      </c>
      <c r="I38" s="2" t="n"/>
      <c r="J38" s="2" t="n"/>
    </row>
    <row r="39">
      <c r="A39" s="93" t="n"/>
      <c r="B39" s="94" t="n"/>
      <c r="C39" s="43" t="n"/>
      <c r="D39" s="41" t="n"/>
      <c r="E39" s="41" t="n"/>
      <c r="F39" s="41" t="n"/>
      <c r="G39" s="2" t="n"/>
      <c r="H39" s="2" t="n"/>
      <c r="I39" s="2" t="n"/>
      <c r="J39" s="2" t="n"/>
    </row>
    <row r="40">
      <c r="A40" s="95" t="inlineStr">
        <is>
          <t>Расчётный счёт</t>
        </is>
      </c>
      <c r="B40" s="54" t="n"/>
      <c r="C40" s="54" t="n"/>
      <c r="D40" s="54" t="n"/>
      <c r="E40" s="54" t="n"/>
      <c r="F40" s="54" t="n"/>
      <c r="G40" s="54" t="n"/>
      <c r="H40" s="54" t="n"/>
      <c r="I40" s="2" t="n"/>
      <c r="J40" s="2" t="n"/>
    </row>
    <row r="41">
      <c r="A41" s="96" t="inlineStr">
        <is>
          <t>ВТБ</t>
        </is>
      </c>
      <c r="B41" s="279" t="inlineStr">
        <is>
          <t>ВТБ</t>
        </is>
      </c>
      <c r="C41" s="279" t="n"/>
      <c r="D41" s="47" t="n"/>
      <c r="E41" s="97" t="inlineStr">
        <is>
          <t>Альфабанк</t>
        </is>
      </c>
      <c r="F41" s="56" t="n"/>
      <c r="G41" s="56" t="n"/>
      <c r="H41" s="47" t="n"/>
      <c r="I41" s="2" t="n"/>
      <c r="J41" s="2" t="n"/>
    </row>
    <row r="42">
      <c r="A42" s="98" t="inlineStr">
        <is>
          <t>Остаток на начало дня:</t>
        </is>
      </c>
      <c r="B42" s="280" t="n"/>
      <c r="C42" s="290" t="n">
        <v>32648.25</v>
      </c>
      <c r="D42" s="56" t="n"/>
      <c r="E42" s="100" t="inlineStr">
        <is>
          <t>Остаток на начало дня:</t>
        </is>
      </c>
      <c r="F42" s="47" t="n"/>
      <c r="G42" s="101" t="n">
        <v>1890.2</v>
      </c>
      <c r="H42" s="47" t="n"/>
      <c r="I42" s="2" t="n"/>
      <c r="J42" s="2" t="n"/>
    </row>
    <row r="43">
      <c r="A43" s="102" t="inlineStr">
        <is>
          <t>Поступление</t>
        </is>
      </c>
      <c r="B43" s="47" t="n"/>
      <c r="C43" s="102" t="inlineStr">
        <is>
          <t>Расход</t>
        </is>
      </c>
      <c r="D43" s="47" t="n"/>
      <c r="E43" s="102" t="inlineStr">
        <is>
          <t>Поступление</t>
        </is>
      </c>
      <c r="F43" s="47" t="n"/>
      <c r="G43" s="102" t="inlineStr">
        <is>
          <t>Расход</t>
        </is>
      </c>
      <c r="H43" s="47" t="n"/>
      <c r="I43" s="86" t="n"/>
      <c r="J43" s="86" t="n"/>
    </row>
    <row r="44">
      <c r="A44" s="103" t="inlineStr">
        <is>
          <t>от кого</t>
        </is>
      </c>
      <c r="B44" s="103" t="inlineStr">
        <is>
          <t>сумма</t>
        </is>
      </c>
      <c r="C44" s="103" t="inlineStr">
        <is>
          <t>кому</t>
        </is>
      </c>
      <c r="D44" s="103" t="inlineStr">
        <is>
          <t>сумма</t>
        </is>
      </c>
      <c r="E44" s="103" t="inlineStr">
        <is>
          <t>от кого</t>
        </is>
      </c>
      <c r="F44" s="103" t="inlineStr">
        <is>
          <t>сумма</t>
        </is>
      </c>
      <c r="G44" s="103" t="inlineStr">
        <is>
          <t xml:space="preserve">кому </t>
        </is>
      </c>
      <c r="H44" s="103" t="inlineStr">
        <is>
          <t>сумма</t>
        </is>
      </c>
      <c r="I44" s="86" t="n"/>
      <c r="J44" s="86" t="n"/>
    </row>
    <row r="45">
      <c r="A45" s="104" t="n"/>
      <c r="B45" s="281" t="n"/>
      <c r="C45" s="106" t="n"/>
      <c r="D45" s="107" t="n"/>
      <c r="E45" s="108" t="n"/>
      <c r="F45" s="109" t="n"/>
      <c r="G45" s="110" t="n"/>
      <c r="H45" s="109" t="n"/>
      <c r="I45" s="86" t="n"/>
      <c r="J45" s="86" t="n"/>
    </row>
    <row r="46">
      <c r="A46" s="282" t="n"/>
      <c r="B46" s="281" t="n"/>
      <c r="C46" s="112" t="n"/>
      <c r="D46" s="107" t="n"/>
      <c r="E46" s="110" t="n"/>
      <c r="F46" s="109" t="n"/>
      <c r="G46" s="110" t="n"/>
      <c r="H46" s="109" t="n"/>
      <c r="I46" s="86" t="n"/>
      <c r="J46" s="86" t="n"/>
    </row>
    <row r="47">
      <c r="A47" s="111" t="n"/>
      <c r="B47" s="283" t="n"/>
      <c r="C47" s="113" t="n"/>
      <c r="D47" s="107" t="n"/>
      <c r="E47" s="110" t="n"/>
      <c r="F47" s="109" t="n"/>
      <c r="G47" s="114" t="n"/>
      <c r="H47" s="109" t="n"/>
      <c r="I47" s="86" t="n"/>
      <c r="J47" s="86" t="n"/>
    </row>
    <row r="48">
      <c r="A48" s="115" t="n"/>
      <c r="B48" s="283" t="n"/>
      <c r="C48" s="113" t="n"/>
      <c r="D48" s="107" t="n"/>
      <c r="E48" s="108" t="n"/>
      <c r="F48" s="116" t="n"/>
      <c r="G48" s="114" t="n"/>
      <c r="H48" s="109" t="n"/>
      <c r="I48" s="86" t="n"/>
      <c r="J48" s="86" t="n"/>
    </row>
    <row r="49">
      <c r="A49" s="117" t="n"/>
      <c r="B49" s="283" t="n"/>
      <c r="C49" s="113" t="n"/>
      <c r="D49" s="107" t="n"/>
      <c r="E49" s="118" t="n"/>
      <c r="F49" s="119" t="n"/>
      <c r="G49" s="120" t="n"/>
      <c r="H49" s="120" t="n"/>
      <c r="I49" s="86" t="n"/>
      <c r="J49" s="86" t="n"/>
    </row>
    <row r="50">
      <c r="A50" s="117" t="n"/>
      <c r="B50" s="283" t="n"/>
      <c r="C50" s="113" t="n"/>
      <c r="D50" s="107" t="n"/>
      <c r="E50" s="118" t="n"/>
      <c r="F50" s="119" t="n"/>
      <c r="G50" s="121" t="n"/>
      <c r="H50" s="120" t="n"/>
      <c r="I50" s="86" t="n"/>
      <c r="J50" s="86" t="n"/>
    </row>
    <row r="51">
      <c r="A51" s="122" t="n"/>
      <c r="B51" s="283" t="n"/>
      <c r="C51" s="113" t="n"/>
      <c r="D51" s="107" t="n"/>
      <c r="E51" s="118" t="n"/>
      <c r="F51" s="118" t="n"/>
      <c r="G51" s="123" t="n"/>
      <c r="H51" s="120" t="n"/>
      <c r="I51" s="86" t="n"/>
      <c r="J51" s="86" t="n"/>
    </row>
    <row r="52">
      <c r="A52" s="124" t="n"/>
      <c r="B52" s="284" t="n"/>
      <c r="C52" s="113" t="n"/>
      <c r="D52" s="107" t="n"/>
      <c r="E52" s="124" t="n"/>
      <c r="F52" s="118" t="n"/>
      <c r="G52" s="110" t="n"/>
      <c r="H52" s="120" t="n"/>
      <c r="I52" s="86" t="n"/>
      <c r="J52" s="86" t="n"/>
    </row>
    <row r="53">
      <c r="A53" s="124" t="n"/>
      <c r="B53" s="285" t="n"/>
      <c r="C53" s="110" t="n"/>
      <c r="D53" s="126" t="n"/>
      <c r="E53" s="124" t="n"/>
      <c r="F53" s="118" t="n"/>
      <c r="G53" s="110" t="n"/>
      <c r="H53" s="120" t="n"/>
      <c r="I53" s="86" t="n"/>
      <c r="J53" s="86" t="n"/>
    </row>
    <row r="54">
      <c r="A54" s="124" t="n"/>
      <c r="B54" s="285" t="n"/>
      <c r="C54" s="110" t="n"/>
      <c r="D54" s="126" t="n"/>
      <c r="E54" s="124" t="n"/>
      <c r="F54" s="118" t="n"/>
      <c r="G54" s="110" t="n"/>
      <c r="H54" s="120" t="n"/>
      <c r="I54" s="86" t="n"/>
      <c r="J54" s="86" t="n"/>
    </row>
    <row r="55">
      <c r="A55" s="124" t="n"/>
      <c r="B55" s="285" t="n"/>
      <c r="C55" s="110" t="n"/>
      <c r="D55" s="126" t="n"/>
      <c r="E55" s="124" t="n"/>
      <c r="F55" s="118" t="n"/>
      <c r="G55" s="110" t="n"/>
      <c r="H55" s="120" t="n"/>
      <c r="I55" s="86" t="n"/>
      <c r="J55" s="86" t="n"/>
    </row>
    <row r="56">
      <c r="A56" s="124" t="n"/>
      <c r="B56" s="285" t="n"/>
      <c r="C56" s="110" t="n"/>
      <c r="D56" s="126" t="n"/>
      <c r="E56" s="124" t="n"/>
      <c r="F56" s="118" t="n"/>
      <c r="G56" s="110" t="n"/>
      <c r="H56" s="120" t="n"/>
      <c r="I56" s="86" t="n"/>
      <c r="J56" s="86" t="n"/>
    </row>
    <row r="57">
      <c r="A57" s="124" t="n"/>
      <c r="B57" s="125" t="n"/>
      <c r="C57" s="110" t="n"/>
      <c r="D57" s="126" t="n"/>
      <c r="E57" s="124" t="n"/>
      <c r="F57" s="118" t="n"/>
      <c r="G57" s="110" t="n"/>
      <c r="H57" s="120" t="n"/>
      <c r="I57" s="86" t="n"/>
      <c r="J57" s="86" t="n"/>
    </row>
    <row r="58">
      <c r="A58" s="127" t="n"/>
      <c r="B58" s="128">
        <f>SUM(B45:B57)+C42</f>
        <v/>
      </c>
      <c r="C58" s="129" t="n"/>
      <c r="D58" s="128">
        <f>SUM(D45:D57)</f>
        <v/>
      </c>
      <c r="E58" s="130" t="n"/>
      <c r="F58" s="130">
        <f>SUM(F45:F57)</f>
        <v/>
      </c>
      <c r="G58" s="130" t="n"/>
      <c r="H58" s="130">
        <f>SUM(H45:H57)</f>
        <v/>
      </c>
      <c r="I58" s="2" t="n"/>
      <c r="J58" s="2" t="n"/>
    </row>
    <row r="59">
      <c r="A59" s="131" t="inlineStr">
        <is>
          <t>Остаток на конец дня:</t>
        </is>
      </c>
      <c r="B59" s="132">
        <f>B58-D58</f>
        <v/>
      </c>
      <c r="C59" s="56" t="n"/>
      <c r="D59" s="47" t="n"/>
      <c r="E59" s="100" t="inlineStr">
        <is>
          <t>Остаток на конец дня:</t>
        </is>
      </c>
      <c r="F59" s="101" t="n">
        <v>1890.2</v>
      </c>
      <c r="G59" s="56" t="n"/>
      <c r="H59" s="47" t="n"/>
      <c r="I59" s="2" t="n"/>
      <c r="J59" s="2" t="n"/>
    </row>
    <row r="60">
      <c r="A60" s="133" t="inlineStr">
        <is>
          <t>ИТОГО:</t>
        </is>
      </c>
      <c r="B60" s="47" t="n"/>
      <c r="C60" s="134" t="n">
        <v>34538.45</v>
      </c>
      <c r="D60" s="56" t="n"/>
      <c r="E60" s="56" t="n"/>
      <c r="F60" s="56" t="n"/>
      <c r="G60" s="56" t="n"/>
      <c r="H60" s="47" t="n"/>
      <c r="I60" s="2" t="n"/>
      <c r="J60" s="2" t="n"/>
    </row>
    <row r="61">
      <c r="A61" s="41" t="n"/>
      <c r="B61" s="94" t="n"/>
      <c r="C61" s="43" t="n"/>
      <c r="D61" s="41" t="n"/>
      <c r="E61" s="41" t="n"/>
      <c r="F61" s="41" t="n"/>
      <c r="G61" s="41" t="n"/>
      <c r="H61" s="93" t="n"/>
      <c r="I61" s="135" t="n"/>
      <c r="J61" s="135" t="n"/>
    </row>
    <row r="62">
      <c r="A62" s="136" t="n"/>
      <c r="B62" s="137" t="inlineStr">
        <is>
          <t>Реализация по безналичному расчёту</t>
        </is>
      </c>
      <c r="D62" s="2" t="n"/>
      <c r="E62" s="41" t="n"/>
      <c r="F62" s="41" t="n"/>
      <c r="G62" s="41" t="n"/>
      <c r="H62" s="138" t="n"/>
      <c r="I62" s="2" t="n"/>
      <c r="J62" s="2" t="n"/>
    </row>
    <row r="63">
      <c r="A63" s="139" t="inlineStr">
        <is>
          <t>Контрагент</t>
        </is>
      </c>
      <c r="B63" s="140" t="inlineStr">
        <is>
          <t>поставщик</t>
        </is>
      </c>
      <c r="C63" s="141" t="inlineStr">
        <is>
          <t>наименование</t>
        </is>
      </c>
      <c r="D63" s="142" t="inlineStr">
        <is>
          <t>вес упаковки, тарелки</t>
        </is>
      </c>
      <c r="E63" s="143" t="inlineStr">
        <is>
          <t>кол.-во пакетов, коробок</t>
        </is>
      </c>
      <c r="F63" s="144" t="inlineStr">
        <is>
          <t>кол-во мест в коробке/упаковке</t>
        </is>
      </c>
      <c r="G63" s="145" t="inlineStr">
        <is>
          <t>общий вес, кг.</t>
        </is>
      </c>
      <c r="H63" s="146" t="inlineStr">
        <is>
          <t>цена пакет, тарелка</t>
        </is>
      </c>
      <c r="I63" s="147" t="inlineStr">
        <is>
          <t>сумма</t>
        </is>
      </c>
      <c r="J63" s="148" t="inlineStr">
        <is>
          <t>Комментарий</t>
        </is>
      </c>
    </row>
    <row r="64">
      <c r="A64" s="323" t="inlineStr">
        <is>
          <t>ИП Лысенко</t>
        </is>
      </c>
      <c r="B64" s="324" t="inlineStr">
        <is>
          <t>Снекпром</t>
        </is>
      </c>
      <c r="C64" s="325" t="inlineStr">
        <is>
          <t>Ассорти арахиса жареного со специями, тарелка 200 г</t>
        </is>
      </c>
      <c r="D64" s="326" t="n">
        <v>0.2</v>
      </c>
      <c r="E64" s="327" t="n">
        <v>21</v>
      </c>
      <c r="F64" s="326" t="n">
        <v>18</v>
      </c>
      <c r="G64" s="327">
        <f>F64*E64*D64</f>
        <v/>
      </c>
      <c r="H64" s="328" t="n">
        <v>87.90000000000001</v>
      </c>
      <c r="I64" s="328">
        <f>H64*F64*E64</f>
        <v/>
      </c>
      <c r="J64" s="157" t="n"/>
    </row>
    <row r="65">
      <c r="A65" s="323" t="n"/>
      <c r="B65" s="324" t="n"/>
      <c r="C65" s="329" t="inlineStr">
        <is>
          <t>Арахис в хрустящей корочке "Квадромикс", тарелка 200 г</t>
        </is>
      </c>
      <c r="D65" s="326" t="n">
        <v>0.2</v>
      </c>
      <c r="E65" s="327" t="n">
        <v>21</v>
      </c>
      <c r="F65" s="326" t="n">
        <v>18</v>
      </c>
      <c r="G65" s="327">
        <f>F65*E65*D65</f>
        <v/>
      </c>
      <c r="H65" s="328" t="n">
        <v>75</v>
      </c>
      <c r="I65" s="328">
        <f>H65*F65*E65</f>
        <v/>
      </c>
      <c r="J65" s="322" t="n"/>
    </row>
    <row r="66">
      <c r="A66" s="150" t="n"/>
      <c r="B66" s="151" t="n"/>
      <c r="C66" s="158" t="n"/>
      <c r="D66" s="155" t="n"/>
      <c r="E66" s="154" t="n"/>
      <c r="F66" s="155" t="n"/>
      <c r="G66" s="154" t="n"/>
      <c r="H66" s="156" t="n"/>
      <c r="I66" s="156" t="n"/>
      <c r="J66" s="159" t="n"/>
    </row>
    <row r="67">
      <c r="A67" s="150" t="n"/>
      <c r="B67" s="151" t="n"/>
      <c r="C67" s="158" t="n"/>
      <c r="D67" s="153" t="n"/>
      <c r="E67" s="154" t="n"/>
      <c r="F67" s="155" t="n"/>
      <c r="G67" s="154" t="n"/>
      <c r="H67" s="156" t="n"/>
      <c r="I67" s="156" t="n"/>
      <c r="J67" s="159" t="n"/>
    </row>
    <row r="68">
      <c r="A68" s="150" t="n"/>
      <c r="B68" s="151" t="n"/>
      <c r="C68" s="152" t="n"/>
      <c r="D68" s="153" t="n"/>
      <c r="E68" s="154" t="n"/>
      <c r="F68" s="155" t="n"/>
      <c r="G68" s="154" t="n"/>
      <c r="H68" s="156" t="n"/>
      <c r="I68" s="156" t="n"/>
      <c r="J68" s="159" t="n"/>
    </row>
    <row r="69">
      <c r="A69" s="150" t="n"/>
      <c r="B69" s="151" t="n"/>
      <c r="C69" s="152" t="n"/>
      <c r="D69" s="153" t="n"/>
      <c r="E69" s="154" t="n"/>
      <c r="F69" s="155" t="n"/>
      <c r="G69" s="154" t="n"/>
      <c r="H69" s="156" t="n"/>
      <c r="I69" s="156" t="n"/>
      <c r="J69" s="159" t="n"/>
    </row>
    <row r="70">
      <c r="A70" s="150" t="n"/>
      <c r="B70" s="150" t="n"/>
      <c r="C70" s="160" t="n"/>
      <c r="D70" s="153" t="n"/>
      <c r="E70" s="154" t="n"/>
      <c r="F70" s="155" t="n"/>
      <c r="G70" s="154" t="n"/>
      <c r="H70" s="156" t="n"/>
      <c r="I70" s="156" t="n"/>
      <c r="J70" s="161" t="n"/>
    </row>
    <row r="71">
      <c r="A71" s="162" t="n"/>
      <c r="B71" s="163" t="n"/>
      <c r="C71" s="164" t="n"/>
      <c r="D71" s="165" t="n"/>
      <c r="E71" s="166" t="n"/>
      <c r="F71" s="167" t="n"/>
      <c r="G71" s="168" t="n"/>
      <c r="H71" s="169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62" t="n"/>
      <c r="B74" s="163" t="n"/>
      <c r="C74" s="171" t="n"/>
      <c r="D74" s="153" t="n"/>
      <c r="E74" s="172" t="n"/>
      <c r="F74" s="155" t="n"/>
      <c r="G74" s="168" t="n"/>
      <c r="H74" s="156" t="n"/>
      <c r="I74" s="170" t="n"/>
      <c r="J74" s="161" t="n"/>
    </row>
    <row r="75">
      <c r="A75" s="162" t="n"/>
      <c r="B75" s="163" t="n"/>
      <c r="C75" s="171" t="n"/>
      <c r="D75" s="153" t="n"/>
      <c r="E75" s="172" t="n"/>
      <c r="F75" s="155" t="n"/>
      <c r="G75" s="168" t="n"/>
      <c r="H75" s="156" t="n"/>
      <c r="I75" s="170" t="n"/>
      <c r="J75" s="161" t="n"/>
    </row>
    <row r="76">
      <c r="A76" s="173" t="n"/>
      <c r="B76" s="174" t="n"/>
      <c r="C76" s="175" t="n"/>
      <c r="D76" s="176" t="n"/>
      <c r="E76" s="177" t="n"/>
      <c r="F76" s="178" t="n"/>
      <c r="G76" s="179" t="n"/>
      <c r="H76" s="180" t="n"/>
      <c r="I76" s="181" t="n"/>
      <c r="J76" s="161" t="n"/>
    </row>
    <row r="77">
      <c r="A77" s="182" t="n"/>
      <c r="B77" s="163" t="n"/>
      <c r="C77" s="183" t="n"/>
      <c r="D77" s="184" t="n"/>
      <c r="E77" s="166" t="n"/>
      <c r="F77" s="167" t="n"/>
      <c r="G77" s="185">
        <f>D77*F77</f>
        <v/>
      </c>
      <c r="H77" s="186" t="n"/>
      <c r="I77" s="186">
        <f>F77*H77*E77</f>
        <v/>
      </c>
      <c r="J77" s="187" t="n"/>
    </row>
    <row r="78">
      <c r="A78" s="182" t="n"/>
      <c r="B78" s="163" t="n"/>
      <c r="C78" s="188" t="n"/>
      <c r="D78" s="189" t="n"/>
      <c r="E78" s="190" t="n"/>
      <c r="F78" s="189" t="n"/>
      <c r="G78" s="185">
        <f>D78*F78</f>
        <v/>
      </c>
      <c r="H78" s="191" t="n"/>
      <c r="I78" s="186">
        <f>F78*H78*E78</f>
        <v/>
      </c>
      <c r="J78" s="187" t="n"/>
    </row>
    <row r="79">
      <c r="A79" s="192" t="inlineStr">
        <is>
          <t>ИТОГО:</t>
        </is>
      </c>
      <c r="B79" s="193" t="n"/>
      <c r="C79" s="194" t="n"/>
      <c r="D79" s="195" t="n"/>
      <c r="E79" s="196">
        <f>SUM(E64:E78)</f>
        <v/>
      </c>
      <c r="F79" s="197">
        <f>SUM(F64:F76)</f>
        <v/>
      </c>
      <c r="G79" s="198">
        <f>SUM(G64:G71)</f>
        <v/>
      </c>
      <c r="H79" s="199" t="n"/>
      <c r="I79" s="199">
        <f>SUM(I64:I72)</f>
        <v/>
      </c>
      <c r="J79" s="200" t="n"/>
    </row>
    <row r="80">
      <c r="A80" s="2" t="n"/>
      <c r="B80" s="94" t="n"/>
      <c r="C80" s="43" t="n"/>
      <c r="D80" s="41" t="n"/>
      <c r="E80" s="41" t="n"/>
      <c r="F80" s="41" t="n"/>
      <c r="G80" s="41" t="n"/>
      <c r="H80" s="2" t="n"/>
      <c r="I80" s="2" t="n"/>
      <c r="J80" s="2" t="n"/>
    </row>
    <row r="81">
      <c r="A81" s="201" t="inlineStr">
        <is>
          <t>реализация Всего касса+безнал:</t>
        </is>
      </c>
      <c r="B81" s="202" t="inlineStr">
        <is>
          <t>кг</t>
        </is>
      </c>
      <c r="C81" s="203" t="inlineStr">
        <is>
          <t>на сумму</t>
        </is>
      </c>
      <c r="D81" s="41" t="n"/>
      <c r="E81" s="41" t="n"/>
      <c r="F81" s="41" t="n"/>
      <c r="G81" s="41" t="n"/>
      <c r="H81" s="2" t="n"/>
      <c r="I81" s="2" t="n"/>
      <c r="J81" s="2" t="n"/>
    </row>
    <row r="82">
      <c r="A82" s="204" t="n"/>
      <c r="B82" s="205">
        <f>E12+G79</f>
        <v/>
      </c>
      <c r="C82" s="206">
        <f>I12+H79+I79</f>
        <v/>
      </c>
      <c r="D82" s="41" t="n"/>
      <c r="E82" s="41" t="n"/>
      <c r="F82" s="41" t="n"/>
      <c r="G82" s="41" t="n"/>
      <c r="H82" s="2" t="n"/>
      <c r="I82" s="2" t="n"/>
      <c r="J82" s="2" t="n"/>
    </row>
    <row r="83">
      <c r="A83" s="207" t="inlineStr">
        <is>
          <t>Услуги оказывают нам (доставка сырья и комплектующих на склад, Товара покупателям)</t>
        </is>
      </c>
      <c r="B83" s="54" t="n"/>
      <c r="C83" s="54" t="n"/>
      <c r="D83" s="54" t="n"/>
      <c r="E83" s="54" t="n"/>
      <c r="F83" s="54" t="n"/>
      <c r="G83" s="54" t="n"/>
      <c r="H83" s="54" t="n"/>
      <c r="I83" s="291" t="n"/>
      <c r="J83" s="58" t="n"/>
    </row>
    <row r="84">
      <c r="A84" s="209" t="inlineStr">
        <is>
          <t>Контрагент</t>
        </is>
      </c>
      <c r="B84" s="210" t="inlineStr">
        <is>
          <t>вид услуги</t>
        </is>
      </c>
      <c r="C84" s="211" t="inlineStr">
        <is>
          <t>Кому / От кого</t>
        </is>
      </c>
      <c r="D84" s="212" t="inlineStr">
        <is>
          <t>наименование</t>
        </is>
      </c>
      <c r="E84" s="213" t="inlineStr">
        <is>
          <t xml:space="preserve">город доставки </t>
        </is>
      </c>
      <c r="F84" s="214" t="inlineStr">
        <is>
          <t>цена</t>
        </is>
      </c>
      <c r="G84" s="213" t="inlineStr">
        <is>
          <t>сумма</t>
        </is>
      </c>
      <c r="H84" s="212" t="inlineStr">
        <is>
          <t>за тонну</t>
        </is>
      </c>
      <c r="I84" s="291" t="n"/>
      <c r="J84" s="58" t="n"/>
    </row>
    <row r="85">
      <c r="A85" s="215" t="n"/>
      <c r="B85" s="60" t="n"/>
      <c r="C85" s="63" t="n"/>
      <c r="D85" s="226" t="n"/>
      <c r="E85" s="317" t="n"/>
      <c r="F85" s="62" t="n"/>
      <c r="G85" s="218" t="n"/>
      <c r="H85" s="305" t="n"/>
      <c r="I85" s="291" t="n"/>
      <c r="J85" s="58" t="n"/>
    </row>
    <row r="86">
      <c r="A86" s="215" t="n"/>
      <c r="B86" s="60" t="n"/>
      <c r="C86" s="63" t="n"/>
      <c r="D86" s="226" t="n"/>
      <c r="E86" s="217" t="n"/>
      <c r="F86" s="62" t="n"/>
      <c r="G86" s="218" t="n"/>
      <c r="H86" s="305" t="n"/>
      <c r="I86" s="315" t="n"/>
      <c r="J86" s="58" t="n"/>
    </row>
    <row r="87">
      <c r="A87" s="220" t="n"/>
      <c r="B87" s="60" t="n"/>
      <c r="C87" s="63" t="n"/>
      <c r="D87" s="226" t="n"/>
      <c r="E87" s="274" t="n"/>
      <c r="F87" s="223" t="n"/>
      <c r="G87" s="218" t="n"/>
      <c r="H87" s="305" t="n"/>
      <c r="I87" s="2" t="n"/>
      <c r="J87" s="2" t="n"/>
    </row>
    <row r="88">
      <c r="A88" s="220" t="n"/>
      <c r="B88" s="60" t="n"/>
      <c r="C88" s="221" t="n"/>
      <c r="D88" s="222" t="n"/>
      <c r="E88" s="274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74" t="n"/>
      <c r="F89" s="223" t="n"/>
      <c r="G89" s="218" t="n"/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F90+F1208</f>
        <v/>
      </c>
      <c r="H90" s="219" t="n"/>
      <c r="I90" s="2" t="n"/>
      <c r="J90" s="2" t="n"/>
    </row>
    <row r="91">
      <c r="A91" s="220" t="n"/>
      <c r="B91" s="60" t="n"/>
      <c r="C91" s="221" t="n"/>
      <c r="D91" s="226" t="n"/>
      <c r="E91" s="227" t="n"/>
      <c r="F91" s="223" t="n"/>
      <c r="G91" s="218">
        <f>F91+F1209</f>
        <v/>
      </c>
      <c r="H91" s="219" t="n"/>
      <c r="I91" s="2" t="n"/>
      <c r="J91" s="2" t="n"/>
    </row>
    <row r="92">
      <c r="A92" s="220" t="n"/>
      <c r="B92" s="60" t="n"/>
      <c r="C92" s="221" t="n"/>
      <c r="D92" s="226" t="n"/>
      <c r="E92" s="227" t="n"/>
      <c r="F92" s="223" t="n"/>
      <c r="G92" s="218">
        <f>F92+F1210</f>
        <v/>
      </c>
      <c r="H92" s="228" t="n"/>
      <c r="I92" s="2" t="n"/>
      <c r="J92" s="2" t="n"/>
    </row>
    <row r="93">
      <c r="A93" s="229" t="inlineStr">
        <is>
          <t>ИТОГО:</t>
        </is>
      </c>
      <c r="B93" s="230" t="n"/>
      <c r="C93" s="231" t="n"/>
      <c r="D93" s="232" t="n"/>
      <c r="E93" s="233">
        <f>SUM(E85:E92)</f>
        <v/>
      </c>
      <c r="F93" s="234" t="n"/>
      <c r="G93" s="235">
        <f>SUM(G85:G92)</f>
        <v/>
      </c>
      <c r="H93" s="235" t="n"/>
      <c r="I93" s="2" t="n"/>
      <c r="J93" s="2" t="n"/>
    </row>
    <row r="94">
      <c r="A94" s="41" t="n"/>
      <c r="B94" s="94" t="n"/>
      <c r="C94" s="43" t="n"/>
      <c r="D94" s="41" t="n"/>
      <c r="E94" s="41" t="n"/>
      <c r="F94" s="41" t="n"/>
      <c r="G94" s="41" t="n"/>
      <c r="H94" s="41" t="n"/>
      <c r="I94" s="2" t="n"/>
      <c r="J94" s="2" t="n"/>
    </row>
    <row r="95">
      <c r="A95" s="236" t="inlineStr">
        <is>
          <t>Услуги оказываем мы</t>
        </is>
      </c>
      <c r="B95" s="54" t="n"/>
      <c r="C95" s="54" t="n"/>
      <c r="D95" s="54" t="n"/>
      <c r="E95" s="54" t="n"/>
      <c r="F95" s="54" t="n"/>
      <c r="G95" s="54" t="n"/>
      <c r="H95" s="54" t="n"/>
      <c r="I95" s="237" t="n"/>
      <c r="J95" s="2" t="n"/>
    </row>
    <row r="96">
      <c r="A96" s="209" t="inlineStr">
        <is>
          <t>Контрагент</t>
        </is>
      </c>
      <c r="B96" s="238" t="inlineStr">
        <is>
          <t>вид услуги</t>
        </is>
      </c>
      <c r="C96" s="239" t="inlineStr">
        <is>
          <t>наименование</t>
        </is>
      </c>
      <c r="D96" s="240" t="inlineStr">
        <is>
          <t>вес, кг, шт</t>
        </is>
      </c>
      <c r="E96" s="240" t="inlineStr">
        <is>
          <t>цена</t>
        </is>
      </c>
      <c r="F96" s="240" t="inlineStr">
        <is>
          <t>сумма</t>
        </is>
      </c>
      <c r="G96" s="213" t="inlineStr">
        <is>
          <t>№УПД</t>
        </is>
      </c>
      <c r="H96" s="213" t="n"/>
      <c r="I96" s="2" t="n"/>
      <c r="J96" s="2" t="n"/>
    </row>
    <row r="97">
      <c r="A97" s="275" t="n"/>
      <c r="B97" s="276" t="n"/>
      <c r="C97" s="243" t="n"/>
      <c r="D97" s="244" t="n"/>
      <c r="E97" s="277" t="n"/>
      <c r="F97" s="278" t="n"/>
      <c r="G97" s="247" t="n"/>
      <c r="H97" s="248" t="n"/>
      <c r="I97" s="2" t="n"/>
      <c r="J97" s="2" t="n"/>
    </row>
    <row r="98">
      <c r="A98" s="249" t="n"/>
      <c r="B98" s="250" t="n"/>
      <c r="C98" s="251" t="n"/>
      <c r="D98" s="252" t="n"/>
      <c r="E98" s="253" t="n"/>
      <c r="F98" s="254">
        <f>D98*E98</f>
        <v/>
      </c>
      <c r="G98" s="255" t="n"/>
      <c r="H98" s="256" t="n"/>
      <c r="I98" s="2" t="n"/>
      <c r="J98" s="2" t="n"/>
    </row>
    <row r="99">
      <c r="A99" s="257" t="n"/>
      <c r="B99" s="258" t="n"/>
      <c r="C99" s="257" t="n"/>
      <c r="D99" s="257" t="n"/>
      <c r="E99" s="257" t="n"/>
      <c r="F99" s="254">
        <f>D99*E99</f>
        <v/>
      </c>
      <c r="G99" s="257" t="n"/>
      <c r="H99" s="257" t="n"/>
      <c r="I99" s="2" t="n"/>
      <c r="J99" s="2" t="n"/>
    </row>
    <row r="100">
      <c r="A100" s="249" t="n"/>
      <c r="B100" s="258" t="n"/>
      <c r="C100" s="257" t="n"/>
      <c r="D100" s="259" t="n"/>
      <c r="E100" s="257" t="n"/>
      <c r="F100" s="260" t="n"/>
      <c r="G100" s="257" t="n"/>
      <c r="H100" s="257" t="n"/>
      <c r="I100" s="2" t="n"/>
      <c r="J100" s="2" t="n"/>
    </row>
    <row r="101">
      <c r="A101" s="2" t="n"/>
      <c r="B101" s="261" t="n"/>
      <c r="C101" s="2" t="n"/>
      <c r="D101" s="2" t="n"/>
      <c r="E101" s="2" t="n"/>
      <c r="F101" s="262" t="n"/>
      <c r="G101" s="2" t="n"/>
      <c r="H101" s="2" t="n"/>
      <c r="I101" s="263" t="n"/>
      <c r="J101" s="264" t="n"/>
    </row>
  </sheetData>
  <mergeCells count="6">
    <mergeCell ref="A1:J1"/>
    <mergeCell ref="A83:H83"/>
    <mergeCell ref="A95:H95"/>
    <mergeCell ref="A17:H17"/>
    <mergeCell ref="A2:J2"/>
    <mergeCell ref="A40:H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29.75" customWidth="1" min="6" max="6"/>
    <col width="9.625" customWidth="1" min="7" max="7"/>
    <col width="11.12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ИП1</t>
        </is>
      </c>
      <c r="B4" s="267" t="inlineStr">
        <is>
          <t>Снекпром</t>
        </is>
      </c>
      <c r="C4" s="268" t="inlineStr">
        <is>
          <t>квадромикс 200 гр</t>
        </is>
      </c>
      <c r="D4" s="269" t="n">
        <v>0.2</v>
      </c>
      <c r="E4" s="17" t="n">
        <v>2</v>
      </c>
      <c r="F4" s="17" t="n"/>
      <c r="G4" s="270">
        <f>E4*D4</f>
        <v/>
      </c>
      <c r="H4" s="19" t="n">
        <v>75</v>
      </c>
      <c r="I4" s="19">
        <f>H4*E4</f>
        <v/>
      </c>
      <c r="J4" s="20" t="n"/>
    </row>
    <row r="5">
      <c r="A5" s="13" t="n"/>
      <c r="B5" s="267" t="n"/>
      <c r="C5" s="268" t="inlineStr">
        <is>
          <t>арахис ассорти 200 гр</t>
        </is>
      </c>
      <c r="D5" s="269" t="n">
        <v>0.2</v>
      </c>
      <c r="E5" s="17" t="n">
        <v>2</v>
      </c>
      <c r="F5" s="17" t="n"/>
      <c r="G5" s="270">
        <f>E5*D5</f>
        <v/>
      </c>
      <c r="H5" s="19" t="n">
        <v>85</v>
      </c>
      <c r="I5" s="19">
        <f>H5*E5</f>
        <v/>
      </c>
      <c r="J5" s="20" t="n"/>
    </row>
    <row r="6">
      <c r="A6" s="13" t="n"/>
      <c r="B6" s="244" t="n"/>
      <c r="C6" s="268" t="inlineStr">
        <is>
          <t>васаби 110 гр</t>
        </is>
      </c>
      <c r="D6" s="269" t="n">
        <v>0.11</v>
      </c>
      <c r="E6" s="17" t="n">
        <v>2</v>
      </c>
      <c r="F6" s="17" t="n"/>
      <c r="G6" s="270">
        <f>E6*D6</f>
        <v/>
      </c>
      <c r="H6" s="19" t="n">
        <v>35</v>
      </c>
      <c r="I6" s="19">
        <f>H6*E6</f>
        <v/>
      </c>
      <c r="J6" s="20" t="n"/>
    </row>
    <row r="7">
      <c r="A7" s="13" t="n"/>
      <c r="B7" s="244" t="n"/>
      <c r="C7" s="268" t="inlineStr">
        <is>
          <t>сметана зелень 110 гр</t>
        </is>
      </c>
      <c r="D7" s="269" t="n">
        <v>0.11</v>
      </c>
      <c r="E7" s="17" t="n">
        <v>2</v>
      </c>
      <c r="F7" s="17" t="n"/>
      <c r="G7" s="270">
        <f>E7*D7</f>
        <v/>
      </c>
      <c r="H7" s="19" t="n">
        <v>35</v>
      </c>
      <c r="I7" s="19">
        <f>H7*E7</f>
        <v/>
      </c>
      <c r="J7" s="20" t="n"/>
    </row>
    <row r="8">
      <c r="A8" s="13" t="n"/>
      <c r="B8" s="244" t="n"/>
      <c r="C8" s="268" t="inlineStr">
        <is>
          <t>барбекю 110 гр</t>
        </is>
      </c>
      <c r="D8" s="269" t="n">
        <v>0.11</v>
      </c>
      <c r="E8" s="17" t="n">
        <v>2</v>
      </c>
      <c r="F8" s="17" t="n"/>
      <c r="G8" s="270">
        <f>E8*D8</f>
        <v/>
      </c>
      <c r="H8" s="19" t="n">
        <v>35</v>
      </c>
      <c r="I8" s="19">
        <f>H8*E8</f>
        <v/>
      </c>
      <c r="J8" s="20" t="n"/>
    </row>
    <row r="9">
      <c r="A9" s="13" t="n"/>
      <c r="B9" s="244" t="n"/>
      <c r="C9" s="268" t="inlineStr">
        <is>
          <t>сыр лук 110 гр</t>
        </is>
      </c>
      <c r="D9" s="269" t="n">
        <v>0.11</v>
      </c>
      <c r="E9" s="17" t="n">
        <v>2</v>
      </c>
      <c r="F9" s="17" t="n"/>
      <c r="G9" s="270">
        <f>E9*D9</f>
        <v/>
      </c>
      <c r="H9" s="19" t="n">
        <v>35</v>
      </c>
      <c r="I9" s="19">
        <f>H9*E9</f>
        <v/>
      </c>
      <c r="J9" s="20" t="n"/>
    </row>
    <row r="10">
      <c r="A10" s="13" t="inlineStr">
        <is>
          <t>ИП1</t>
        </is>
      </c>
      <c r="B10" s="267" t="inlineStr">
        <is>
          <t>Снекпром</t>
        </is>
      </c>
      <c r="C10" s="267" t="inlineStr">
        <is>
          <t>Smakky</t>
        </is>
      </c>
      <c r="D10" s="269" t="n">
        <v>0.2</v>
      </c>
      <c r="E10" s="17" t="n">
        <v>2</v>
      </c>
      <c r="F10" s="17" t="n"/>
      <c r="G10" s="270">
        <f>E10*D10</f>
        <v/>
      </c>
      <c r="H10" s="19" t="n">
        <v>75</v>
      </c>
      <c r="I10" s="19">
        <f>H10*E10</f>
        <v/>
      </c>
      <c r="J10" s="20" t="n"/>
    </row>
    <row r="11">
      <c r="A11" s="13" t="n"/>
      <c r="B11" s="30" t="n"/>
      <c r="C11" s="267" t="inlineStr">
        <is>
          <t>Smakky</t>
        </is>
      </c>
      <c r="D11" s="269" t="n">
        <v>0.2</v>
      </c>
      <c r="E11" s="17" t="n">
        <v>2</v>
      </c>
      <c r="F11" s="17" t="n"/>
      <c r="G11" s="270">
        <f>E11*D11</f>
        <v/>
      </c>
      <c r="H11" s="19" t="n">
        <v>75</v>
      </c>
      <c r="I11" s="19">
        <f>H11*E11</f>
        <v/>
      </c>
      <c r="J11" s="20" t="n"/>
    </row>
    <row r="12">
      <c r="A12" s="13" t="n"/>
      <c r="B12" s="30" t="n"/>
      <c r="C12" s="268" t="inlineStr">
        <is>
          <t>квадромикс 200 гр</t>
        </is>
      </c>
      <c r="D12" s="269" t="n">
        <v>0.2</v>
      </c>
      <c r="E12" s="17" t="n">
        <v>2</v>
      </c>
      <c r="F12" s="17" t="n"/>
      <c r="G12" s="270">
        <f>E12*D12</f>
        <v/>
      </c>
      <c r="H12" s="19" t="n">
        <v>75</v>
      </c>
      <c r="I12" s="19">
        <f>H12*E12</f>
        <v/>
      </c>
      <c r="J12" s="20" t="n"/>
    </row>
    <row r="13">
      <c r="A13" s="13" t="n"/>
      <c r="B13" s="30" t="n"/>
      <c r="C13" s="268" t="inlineStr">
        <is>
          <t>арахис ассорти 200 гр</t>
        </is>
      </c>
      <c r="D13" s="269" t="n">
        <v>0.2</v>
      </c>
      <c r="E13" s="17" t="n">
        <v>2</v>
      </c>
      <c r="F13" s="17" t="n"/>
      <c r="G13" s="270">
        <f>E13*D13</f>
        <v/>
      </c>
      <c r="H13" s="19" t="n">
        <v>85</v>
      </c>
      <c r="I13" s="19">
        <f>H13*E13</f>
        <v/>
      </c>
      <c r="J13" s="20" t="n"/>
    </row>
    <row r="14">
      <c r="A14" s="13" t="n"/>
      <c r="B14" s="30" t="n"/>
      <c r="C14" s="268" t="inlineStr">
        <is>
          <t>васаби 110 гр</t>
        </is>
      </c>
      <c r="D14" s="269" t="n">
        <v>0.11</v>
      </c>
      <c r="E14" s="17" t="n">
        <v>1</v>
      </c>
      <c r="F14" s="17" t="n"/>
      <c r="G14" s="270">
        <f>E14*D14</f>
        <v/>
      </c>
      <c r="H14" s="19" t="n">
        <v>35</v>
      </c>
      <c r="I14" s="19">
        <f>H14*E14</f>
        <v/>
      </c>
      <c r="J14" s="20" t="n"/>
    </row>
    <row r="15">
      <c r="A15" s="13" t="n"/>
      <c r="B15" s="30" t="n"/>
      <c r="C15" s="268" t="inlineStr">
        <is>
          <t>сметана зелень 110 гр</t>
        </is>
      </c>
      <c r="D15" s="269" t="n">
        <v>0.11</v>
      </c>
      <c r="E15" s="17" t="n">
        <v>1</v>
      </c>
      <c r="F15" s="17" t="n"/>
      <c r="G15" s="270">
        <f>E15*D15</f>
        <v/>
      </c>
      <c r="H15" s="19" t="n">
        <v>35</v>
      </c>
      <c r="I15" s="19">
        <f>H15*E15</f>
        <v/>
      </c>
      <c r="J15" s="20" t="n"/>
    </row>
    <row r="16">
      <c r="A16" s="13" t="n"/>
      <c r="B16" s="30" t="n"/>
      <c r="C16" s="268" t="inlineStr">
        <is>
          <t>барбекю 110 гр</t>
        </is>
      </c>
      <c r="D16" s="269" t="n">
        <v>0.11</v>
      </c>
      <c r="E16" s="17" t="n">
        <v>1</v>
      </c>
      <c r="F16" s="17" t="n"/>
      <c r="G16" s="270">
        <f>E16*D16</f>
        <v/>
      </c>
      <c r="H16" s="19" t="n">
        <v>35</v>
      </c>
      <c r="I16" s="19">
        <f>H16*E16</f>
        <v/>
      </c>
      <c r="J16" s="20" t="n"/>
    </row>
    <row r="17">
      <c r="A17" s="13" t="n"/>
      <c r="B17" s="30" t="n"/>
      <c r="C17" s="268" t="inlineStr">
        <is>
          <t>сыр лук 110 гр</t>
        </is>
      </c>
      <c r="D17" s="269" t="n">
        <v>0.11</v>
      </c>
      <c r="E17" s="17" t="n">
        <v>1</v>
      </c>
      <c r="F17" s="17" t="n"/>
      <c r="G17" s="270">
        <f>E17*D17</f>
        <v/>
      </c>
      <c r="H17" s="19" t="n">
        <v>35</v>
      </c>
      <c r="I17" s="19">
        <f>H17*E17</f>
        <v/>
      </c>
      <c r="J17" s="20" t="n"/>
    </row>
    <row r="18">
      <c r="A18" s="13" t="inlineStr">
        <is>
          <t>ИП1</t>
        </is>
      </c>
      <c r="B18" s="267" t="inlineStr">
        <is>
          <t>Снекпром</t>
        </is>
      </c>
      <c r="C18" s="268" t="inlineStr">
        <is>
          <t>квадромикс 200 гр</t>
        </is>
      </c>
      <c r="D18" s="269" t="n">
        <v>0.2</v>
      </c>
      <c r="E18" s="16" t="n">
        <v>5</v>
      </c>
      <c r="F18" s="17" t="n"/>
      <c r="G18" s="270">
        <f>E18*D18</f>
        <v/>
      </c>
      <c r="H18" s="19" t="n">
        <v>75</v>
      </c>
      <c r="I18" s="19">
        <f>H18*E18</f>
        <v/>
      </c>
      <c r="J18" s="20" t="n"/>
    </row>
    <row r="19">
      <c r="A19" s="13" t="n"/>
      <c r="B19" s="30" t="n"/>
      <c r="C19" s="268" t="inlineStr">
        <is>
          <t>арахис ассорти 200 гр</t>
        </is>
      </c>
      <c r="D19" s="269" t="n">
        <v>0.2</v>
      </c>
      <c r="E19" s="16" t="n">
        <v>5</v>
      </c>
      <c r="F19" s="17" t="n"/>
      <c r="G19" s="270">
        <f>E19*D19</f>
        <v/>
      </c>
      <c r="H19" s="19" t="n">
        <v>85</v>
      </c>
      <c r="I19" s="19">
        <f>H19*E19</f>
        <v/>
      </c>
      <c r="J19" s="20" t="n"/>
    </row>
    <row r="20">
      <c r="A20" s="13" t="n"/>
      <c r="B20" s="30" t="n"/>
      <c r="C20" s="268" t="inlineStr">
        <is>
          <t>васаби 110 гр</t>
        </is>
      </c>
      <c r="D20" s="269" t="n">
        <v>0.11</v>
      </c>
      <c r="E20" s="16" t="n">
        <v>5</v>
      </c>
      <c r="F20" s="17" t="n"/>
      <c r="G20" s="270">
        <f>E20*D20</f>
        <v/>
      </c>
      <c r="H20" s="19" t="n">
        <v>35</v>
      </c>
      <c r="I20" s="19">
        <f>H20*E20</f>
        <v/>
      </c>
      <c r="J20" s="20" t="n"/>
    </row>
    <row r="21">
      <c r="A21" s="13" t="n"/>
      <c r="B21" s="30" t="n"/>
      <c r="C21" s="268" t="inlineStr">
        <is>
          <t>сметана зелень 110 гр</t>
        </is>
      </c>
      <c r="D21" s="269" t="n">
        <v>0.11</v>
      </c>
      <c r="E21" s="16" t="n">
        <v>5</v>
      </c>
      <c r="F21" s="17" t="n"/>
      <c r="G21" s="270">
        <f>E21*D21</f>
        <v/>
      </c>
      <c r="H21" s="19" t="n">
        <v>35</v>
      </c>
      <c r="I21" s="19">
        <f>H21*E21</f>
        <v/>
      </c>
      <c r="J21" s="20" t="n"/>
    </row>
    <row r="22">
      <c r="A22" s="13" t="n"/>
      <c r="B22" s="30" t="n"/>
      <c r="C22" s="268" t="inlineStr">
        <is>
          <t>барбекю 110 гр</t>
        </is>
      </c>
      <c r="D22" s="269" t="n">
        <v>0.11</v>
      </c>
      <c r="E22" s="16" t="n">
        <v>5</v>
      </c>
      <c r="F22" s="17" t="n"/>
      <c r="G22" s="270">
        <f>E22*D22</f>
        <v/>
      </c>
      <c r="H22" s="19" t="n">
        <v>35</v>
      </c>
      <c r="I22" s="19">
        <f>H22*E22</f>
        <v/>
      </c>
      <c r="J22" s="20" t="n"/>
    </row>
    <row r="23">
      <c r="A23" s="13" t="n"/>
      <c r="B23" s="30" t="n"/>
      <c r="C23" s="268" t="inlineStr">
        <is>
          <t>сыр лук 110 гр</t>
        </is>
      </c>
      <c r="D23" s="269" t="n">
        <v>0.11</v>
      </c>
      <c r="E23" s="16" t="n">
        <v>5</v>
      </c>
      <c r="F23" s="17" t="n"/>
      <c r="G23" s="270">
        <f>E23*D23</f>
        <v/>
      </c>
      <c r="H23" s="19" t="n">
        <v>35</v>
      </c>
      <c r="I23" s="19">
        <f>H23*E23</f>
        <v/>
      </c>
      <c r="J23" s="20" t="n"/>
    </row>
    <row r="24">
      <c r="A24" s="13" t="n"/>
      <c r="B24" s="30" t="n"/>
      <c r="C24" s="21" t="n"/>
      <c r="D24" s="26" t="n"/>
      <c r="E24" s="16" t="n"/>
      <c r="F24" s="17" t="n"/>
      <c r="G24" s="270" t="n"/>
      <c r="H24" s="19" t="n"/>
      <c r="I24" s="19" t="n"/>
      <c r="J24" s="20" t="n"/>
    </row>
    <row r="25">
      <c r="A25" s="13" t="n"/>
      <c r="B25" s="30" t="n"/>
      <c r="C25" s="21" t="n"/>
      <c r="D25" s="26" t="n"/>
      <c r="E25" s="16" t="n"/>
      <c r="F25" s="17" t="n"/>
      <c r="G25" s="270" t="n"/>
      <c r="H25" s="19" t="n"/>
      <c r="I25" s="19" t="n"/>
      <c r="J25" s="20" t="n"/>
    </row>
    <row r="26">
      <c r="A26" s="29" t="n"/>
      <c r="B26" s="30" t="n"/>
      <c r="C26" s="21" t="n"/>
      <c r="D26" s="26" t="n"/>
      <c r="E26" s="16" t="n"/>
      <c r="F26" s="17" t="n"/>
      <c r="G26" s="270" t="n"/>
      <c r="H26" s="19" t="n"/>
      <c r="I26" s="19" t="n"/>
      <c r="J26" s="32" t="n"/>
    </row>
    <row r="27">
      <c r="A27" s="33" t="n"/>
      <c r="B27" s="34" t="n"/>
      <c r="C27" s="35" t="n"/>
      <c r="D27" s="33" t="n"/>
      <c r="E27" s="36">
        <f>SUM(E4:E26)</f>
        <v/>
      </c>
      <c r="F27" s="36">
        <f>SUM(F4:F26)</f>
        <v/>
      </c>
      <c r="G27" s="37">
        <f>SUM(G4:G26)</f>
        <v/>
      </c>
      <c r="H27" s="38" t="n"/>
      <c r="I27" s="39">
        <f>SUM(I4:I26)</f>
        <v/>
      </c>
      <c r="J27" s="40" t="n"/>
    </row>
    <row r="28">
      <c r="A28" s="41" t="n"/>
      <c r="B28" s="42" t="n"/>
      <c r="C28" s="43" t="n"/>
      <c r="D28" s="41" t="n"/>
      <c r="E28" s="41" t="n"/>
      <c r="F28" s="41" t="n"/>
      <c r="G28" s="41" t="n"/>
      <c r="H28" s="41" t="n"/>
      <c r="I28" s="2" t="n"/>
      <c r="J28" s="2" t="n"/>
    </row>
    <row r="29">
      <c r="A29" s="44" t="inlineStr">
        <is>
          <t xml:space="preserve">Поступление от </t>
        </is>
      </c>
      <c r="B29" s="45" t="inlineStr">
        <is>
          <t>сумма</t>
        </is>
      </c>
      <c r="C29" s="46" t="inlineStr">
        <is>
          <t>примечание</t>
        </is>
      </c>
      <c r="D29" s="47" t="n"/>
      <c r="E29" s="41" t="n"/>
      <c r="F29" s="41" t="n"/>
      <c r="G29" s="41" t="n"/>
      <c r="H29" s="41" t="n"/>
      <c r="I29" s="2" t="n"/>
      <c r="J29" s="2" t="n"/>
    </row>
    <row r="30">
      <c r="A30" s="48" t="n"/>
      <c r="B30" s="49" t="n"/>
      <c r="C30" s="50" t="n"/>
      <c r="D30" s="47" t="n"/>
      <c r="E30" s="41" t="n"/>
      <c r="F30" s="41" t="n"/>
      <c r="G30" s="41" t="n"/>
      <c r="H30" s="41" t="n"/>
      <c r="I30" s="2" t="n"/>
      <c r="J30" s="2" t="n"/>
    </row>
    <row r="31">
      <c r="A31" s="29" t="n"/>
      <c r="B31" s="51" t="n"/>
      <c r="C31" s="52" t="n"/>
      <c r="D31" s="47" t="n"/>
      <c r="E31" s="41" t="n"/>
      <c r="F31" s="41" t="n"/>
      <c r="G31" s="41" t="n"/>
      <c r="H31" s="41" t="n"/>
      <c r="I31" s="2" t="n"/>
      <c r="J31" s="2" t="n"/>
    </row>
    <row r="32">
      <c r="A32" s="53" t="inlineStr">
        <is>
          <t>Касса</t>
        </is>
      </c>
      <c r="B32" s="54" t="n"/>
      <c r="C32" s="54" t="n"/>
      <c r="D32" s="54" t="n"/>
      <c r="E32" s="54" t="n"/>
      <c r="F32" s="54" t="n"/>
      <c r="G32" s="54" t="n"/>
      <c r="H32" s="54" t="n"/>
      <c r="I32" s="2" t="n"/>
      <c r="J32" s="2" t="n"/>
    </row>
    <row r="33">
      <c r="A33" s="55" t="inlineStr">
        <is>
          <t>Производство</t>
        </is>
      </c>
      <c r="B33" s="56" t="n"/>
      <c r="C33" s="56" t="n"/>
      <c r="D33" s="47" t="n"/>
      <c r="E33" s="55" t="inlineStr">
        <is>
          <t xml:space="preserve">Бухгалтерия </t>
        </is>
      </c>
      <c r="F33" s="56" t="n"/>
      <c r="G33" s="56" t="n"/>
      <c r="H33" s="47" t="n"/>
      <c r="I33" s="57" t="n"/>
      <c r="J33" s="58" t="n"/>
    </row>
    <row r="34">
      <c r="A34" s="59" t="inlineStr">
        <is>
          <t>Остаток на начало дня:</t>
        </is>
      </c>
      <c r="B34" s="60" t="n"/>
      <c r="C34" s="61" t="n"/>
      <c r="D34" s="62" t="n">
        <v>325520.45</v>
      </c>
      <c r="E34" s="59" t="inlineStr">
        <is>
          <t>Остаток на начало дня:</t>
        </is>
      </c>
      <c r="F34" s="63" t="n"/>
      <c r="G34" s="61" t="n"/>
      <c r="H34" s="64" t="n">
        <v>0</v>
      </c>
      <c r="I34" s="65" t="n"/>
      <c r="J34" s="2" t="n"/>
    </row>
    <row r="35">
      <c r="A35" s="66" t="inlineStr">
        <is>
          <t>поступление ч/л ИП1</t>
        </is>
      </c>
      <c r="B35" s="67" t="n"/>
      <c r="C35" s="68" t="n">
        <v>3100</v>
      </c>
      <c r="D35" s="68" t="n">
        <v>3100</v>
      </c>
      <c r="E35" s="69" t="n"/>
      <c r="F35" s="70" t="n"/>
      <c r="G35" s="71" t="n"/>
      <c r="H35" s="72">
        <f>F35*G35</f>
        <v/>
      </c>
      <c r="I35" s="289" t="inlineStr">
        <is>
          <t>240 переплатил</t>
        </is>
      </c>
      <c r="J35" s="289" t="n"/>
    </row>
    <row r="36">
      <c r="A36" s="66" t="n"/>
      <c r="B36" s="67" t="n"/>
      <c r="C36" s="68" t="n"/>
      <c r="D36" s="68" t="n"/>
      <c r="E36" s="69" t="n"/>
      <c r="F36" s="70" t="n"/>
      <c r="G36" s="71" t="n"/>
      <c r="H36" s="72">
        <f>F36*G36</f>
        <v/>
      </c>
      <c r="I36" s="2" t="n"/>
      <c r="J36" s="2" t="n"/>
    </row>
    <row r="37">
      <c r="A37" s="66" t="n"/>
      <c r="B37" s="67" t="n"/>
      <c r="C37" s="68" t="n"/>
      <c r="D37" s="68" t="n"/>
      <c r="E37" s="69" t="n"/>
      <c r="F37" s="70" t="n"/>
      <c r="G37" s="71" t="n"/>
      <c r="H37" s="72" t="n"/>
      <c r="I37" s="2" t="n"/>
      <c r="J37" s="2" t="n"/>
    </row>
    <row r="38">
      <c r="A38" s="66" t="n"/>
      <c r="B38" s="67" t="n"/>
      <c r="C38" s="68" t="n"/>
      <c r="D38" s="68" t="n"/>
      <c r="E38" s="69" t="n"/>
      <c r="F38" s="70" t="n"/>
      <c r="G38" s="71" t="n"/>
      <c r="H38" s="72" t="n"/>
      <c r="I38" s="2" t="n"/>
      <c r="J38" s="2" t="n"/>
    </row>
    <row r="39">
      <c r="A39" s="66" t="n"/>
      <c r="B39" s="73" t="n"/>
      <c r="C39" s="74" t="n"/>
      <c r="D39" s="75" t="n"/>
      <c r="E39" s="69" t="n"/>
      <c r="F39" s="70" t="n"/>
      <c r="G39" s="71" t="n"/>
      <c r="H39" s="72" t="n"/>
      <c r="I39" s="2" t="n"/>
      <c r="J39" s="2" t="n"/>
    </row>
    <row r="40">
      <c r="A40" s="76" t="n"/>
      <c r="B40" s="67" t="n"/>
      <c r="C40" s="68" t="n"/>
      <c r="D40" s="75" t="n"/>
      <c r="E40" s="77" t="inlineStr">
        <is>
          <t>Итого приход:</t>
        </is>
      </c>
      <c r="F40" s="78" t="n"/>
      <c r="G40" s="79" t="n"/>
      <c r="H40" s="80">
        <f>SUM(H35:H36)</f>
        <v/>
      </c>
      <c r="I40" s="2" t="n"/>
      <c r="J40" s="2" t="n"/>
    </row>
    <row r="41">
      <c r="A41" s="76" t="inlineStr">
        <is>
          <t>Расход за день:</t>
        </is>
      </c>
      <c r="B41" s="67" t="n"/>
      <c r="C41" s="79" t="n"/>
      <c r="D41" s="80" t="n"/>
      <c r="E41" s="76" t="inlineStr">
        <is>
          <t>Расход за день:</t>
        </is>
      </c>
      <c r="F41" s="78" t="n"/>
      <c r="G41" s="79" t="n"/>
      <c r="H41" s="80" t="n"/>
      <c r="I41" s="2" t="n"/>
      <c r="J41" s="2" t="n"/>
    </row>
    <row r="42">
      <c r="A42" s="81" t="inlineStr">
        <is>
          <t>уборка</t>
        </is>
      </c>
      <c r="B42" s="67" t="n"/>
      <c r="C42" s="68" t="n">
        <v>4000</v>
      </c>
      <c r="D42" s="68" t="n">
        <v>4000</v>
      </c>
      <c r="E42" s="76" t="n"/>
      <c r="F42" s="78" t="n"/>
      <c r="G42" s="79" t="n"/>
      <c r="H42" s="80" t="n"/>
      <c r="I42" s="2" t="n"/>
      <c r="J42" s="2" t="n"/>
    </row>
    <row r="43">
      <c r="A43" s="81" t="inlineStr">
        <is>
          <t>монтаж фасовки (Евгений Третьяков)</t>
        </is>
      </c>
      <c r="B43" s="67" t="n"/>
      <c r="C43" s="68" t="n">
        <v>10000</v>
      </c>
      <c r="D43" s="68" t="n">
        <v>10000</v>
      </c>
      <c r="E43" s="76" t="n"/>
      <c r="F43" s="78" t="n"/>
      <c r="G43" s="79" t="n"/>
      <c r="H43" s="72">
        <f>F43*G43</f>
        <v/>
      </c>
      <c r="I43" s="2" t="n"/>
      <c r="J43" s="2" t="n"/>
    </row>
    <row r="44">
      <c r="A44" s="69" t="inlineStr">
        <is>
          <t>расходники на фасовку</t>
        </is>
      </c>
      <c r="B44" s="67" t="n"/>
      <c r="C44" s="68" t="n"/>
      <c r="D44" s="68" t="n"/>
      <c r="E44" s="76" t="n"/>
      <c r="F44" s="78" t="n"/>
      <c r="G44" s="79" t="n"/>
      <c r="H44" s="72">
        <f>F44*G44</f>
        <v/>
      </c>
      <c r="I44" s="2" t="n"/>
      <c r="J44" s="2" t="n"/>
    </row>
    <row r="45">
      <c r="A45" s="81" t="n"/>
      <c r="B45" s="67" t="n"/>
      <c r="C45" s="68" t="n"/>
      <c r="D45" s="68" t="n"/>
      <c r="E45" s="76" t="n"/>
      <c r="F45" s="78" t="n"/>
      <c r="G45" s="79" t="n"/>
      <c r="H45" s="72">
        <f>F45*G45</f>
        <v/>
      </c>
      <c r="I45" s="2" t="n"/>
      <c r="J45" s="2" t="n"/>
    </row>
    <row r="46">
      <c r="A46" s="69" t="n"/>
      <c r="B46" s="67" t="n"/>
      <c r="C46" s="68" t="n"/>
      <c r="D46" s="74" t="n"/>
      <c r="E46" s="76" t="n"/>
      <c r="F46" s="78" t="n"/>
      <c r="G46" s="79" t="n"/>
      <c r="H46" s="72">
        <f>F46*G46</f>
        <v/>
      </c>
      <c r="I46" s="2" t="n"/>
      <c r="J46" s="2" t="n"/>
    </row>
    <row r="47">
      <c r="A47" s="69" t="n"/>
      <c r="B47" s="67" t="n"/>
      <c r="C47" s="68" t="n"/>
      <c r="D47" s="74" t="n"/>
      <c r="E47" s="76" t="n"/>
      <c r="F47" s="78" t="n"/>
      <c r="G47" s="79" t="n"/>
      <c r="H47" s="72">
        <f>F47*G47</f>
        <v/>
      </c>
      <c r="I47" s="2" t="n"/>
      <c r="J47" s="2" t="n"/>
    </row>
    <row r="48">
      <c r="A48" s="69" t="n"/>
      <c r="B48" s="67" t="n"/>
      <c r="C48" s="68" t="n"/>
      <c r="D48" s="74" t="n"/>
      <c r="E48" s="76" t="n"/>
      <c r="F48" s="78" t="n"/>
      <c r="G48" s="79" t="n"/>
      <c r="H48" s="72">
        <f>F48*G48</f>
        <v/>
      </c>
      <c r="I48" s="2" t="n"/>
      <c r="J48" s="2" t="n"/>
    </row>
    <row r="49">
      <c r="A49" s="69" t="n"/>
      <c r="B49" s="67" t="n"/>
      <c r="C49" s="68" t="n"/>
      <c r="D49" s="75" t="n"/>
      <c r="E49" s="76" t="n"/>
      <c r="F49" s="78" t="n"/>
      <c r="G49" s="79" t="n"/>
      <c r="H49" s="72">
        <f>F49*G49</f>
        <v/>
      </c>
      <c r="I49" s="313" t="n"/>
      <c r="J49" s="2" t="n"/>
    </row>
    <row r="50">
      <c r="A50" s="69" t="n"/>
      <c r="B50" s="67" t="n"/>
      <c r="C50" s="68" t="n"/>
      <c r="D50" s="75" t="n"/>
      <c r="E50" s="76" t="n"/>
      <c r="F50" s="78" t="n"/>
      <c r="G50" s="79" t="n"/>
      <c r="H50" s="72">
        <f>F50*G50</f>
        <v/>
      </c>
      <c r="I50" s="2" t="n"/>
      <c r="J50" s="2" t="n"/>
    </row>
    <row r="51">
      <c r="A51" s="69" t="n"/>
      <c r="B51" s="67" t="n"/>
      <c r="C51" s="68" t="n"/>
      <c r="D51" s="75" t="n"/>
      <c r="E51" s="76" t="n"/>
      <c r="F51" s="78" t="n"/>
      <c r="G51" s="79" t="n"/>
      <c r="H51" s="72">
        <f>F51*G51</f>
        <v/>
      </c>
      <c r="I51" s="2" t="n"/>
      <c r="J51" s="2" t="n"/>
    </row>
    <row r="52">
      <c r="A52" s="83" t="n"/>
      <c r="B52" s="67" t="n"/>
      <c r="C52" s="68" t="n"/>
      <c r="D52" s="84" t="n"/>
      <c r="E52" s="85" t="inlineStr">
        <is>
          <t>Итого расход:</t>
        </is>
      </c>
      <c r="F52" s="78" t="n"/>
      <c r="G52" s="79" t="n"/>
      <c r="H52" s="72">
        <f>F52*G52</f>
        <v/>
      </c>
      <c r="I52" s="86" t="n"/>
      <c r="J52" s="86" t="n"/>
    </row>
    <row r="53">
      <c r="A53" s="87" t="inlineStr">
        <is>
          <t>Остаток на конец дня:</t>
        </is>
      </c>
      <c r="B53" s="88" t="n"/>
      <c r="C53" s="89" t="n"/>
      <c r="D53" s="90">
        <f>SUM(D35,D36:D39,D34,)-SUM(D42:D52,)</f>
        <v/>
      </c>
      <c r="E53" s="87" t="inlineStr">
        <is>
          <t>Остаток на конец дня:</t>
        </is>
      </c>
      <c r="F53" s="91" t="n"/>
      <c r="G53" s="89" t="n"/>
      <c r="H53" s="92">
        <f>SUM(H34+H40-H52)</f>
        <v/>
      </c>
      <c r="I53" s="2" t="n"/>
      <c r="J53" s="2" t="n"/>
    </row>
    <row r="54">
      <c r="A54" s="93" t="n"/>
      <c r="B54" s="94" t="n"/>
      <c r="C54" s="43" t="n"/>
      <c r="D54" s="41" t="n"/>
      <c r="E54" s="41" t="n"/>
      <c r="F54" s="41" t="n"/>
      <c r="G54" s="2" t="n"/>
      <c r="H54" s="2" t="n"/>
      <c r="I54" s="2" t="n"/>
      <c r="J54" s="2" t="n"/>
    </row>
    <row r="55">
      <c r="A55" s="95" t="inlineStr">
        <is>
          <t>Расчётный счёт</t>
        </is>
      </c>
      <c r="B55" s="54" t="n"/>
      <c r="C55" s="54" t="n"/>
      <c r="D55" s="54" t="n"/>
      <c r="E55" s="54" t="n"/>
      <c r="F55" s="54" t="n"/>
      <c r="G55" s="54" t="n"/>
      <c r="H55" s="54" t="n"/>
      <c r="I55" s="2" t="n"/>
      <c r="J55" s="2" t="n"/>
    </row>
    <row r="56">
      <c r="A56" s="96" t="inlineStr">
        <is>
          <t>ВТБ</t>
        </is>
      </c>
      <c r="B56" s="279" t="inlineStr">
        <is>
          <t>ВТБ</t>
        </is>
      </c>
      <c r="C56" s="279" t="n"/>
      <c r="D56" s="47" t="n"/>
      <c r="E56" s="97" t="inlineStr">
        <is>
          <t>Альфабанк</t>
        </is>
      </c>
      <c r="F56" s="56" t="n"/>
      <c r="G56" s="56" t="n"/>
      <c r="H56" s="47" t="n"/>
      <c r="I56" s="2" t="n"/>
      <c r="J56" s="2" t="n"/>
    </row>
    <row r="57">
      <c r="A57" s="98" t="inlineStr">
        <is>
          <t>Остаток на начало дня:</t>
        </is>
      </c>
      <c r="B57" s="280" t="n"/>
      <c r="C57" s="290" t="n">
        <v>32648.25</v>
      </c>
      <c r="D57" s="56" t="n"/>
      <c r="E57" s="100" t="inlineStr">
        <is>
          <t>Остаток на начало дня:</t>
        </is>
      </c>
      <c r="F57" s="47" t="n"/>
      <c r="G57" s="101" t="n">
        <v>1890.2</v>
      </c>
      <c r="H57" s="47" t="n"/>
      <c r="I57" s="2" t="n"/>
      <c r="J57" s="2" t="n"/>
    </row>
    <row r="58">
      <c r="A58" s="102" t="inlineStr">
        <is>
          <t>Поступление</t>
        </is>
      </c>
      <c r="B58" s="47" t="n"/>
      <c r="C58" s="102" t="inlineStr">
        <is>
          <t>Расход</t>
        </is>
      </c>
      <c r="D58" s="47" t="n"/>
      <c r="E58" s="102" t="inlineStr">
        <is>
          <t>Поступление</t>
        </is>
      </c>
      <c r="F58" s="47" t="n"/>
      <c r="G58" s="102" t="inlineStr">
        <is>
          <t>Расход</t>
        </is>
      </c>
      <c r="H58" s="47" t="n"/>
      <c r="I58" s="86" t="n"/>
      <c r="J58" s="86" t="n"/>
    </row>
    <row r="59">
      <c r="A59" s="103" t="inlineStr">
        <is>
          <t>от кого</t>
        </is>
      </c>
      <c r="B59" s="103" t="inlineStr">
        <is>
          <t>сумма</t>
        </is>
      </c>
      <c r="C59" s="103" t="inlineStr">
        <is>
          <t>кому</t>
        </is>
      </c>
      <c r="D59" s="103" t="inlineStr">
        <is>
          <t>сумма</t>
        </is>
      </c>
      <c r="E59" s="103" t="inlineStr">
        <is>
          <t>от кого</t>
        </is>
      </c>
      <c r="F59" s="103" t="inlineStr">
        <is>
          <t>сумма</t>
        </is>
      </c>
      <c r="G59" s="103" t="inlineStr">
        <is>
          <t xml:space="preserve">кому </t>
        </is>
      </c>
      <c r="H59" s="103" t="inlineStr">
        <is>
          <t>сумма</t>
        </is>
      </c>
      <c r="I59" s="86" t="n"/>
      <c r="J59" s="86" t="n"/>
    </row>
    <row r="60">
      <c r="A60" s="104" t="inlineStr">
        <is>
          <t xml:space="preserve">Возврат Интернет решения </t>
        </is>
      </c>
      <c r="B60" s="281" t="n">
        <v>7094</v>
      </c>
      <c r="C60" s="106" t="inlineStr">
        <is>
          <t xml:space="preserve">комиссия банка </t>
        </is>
      </c>
      <c r="D60" s="107" t="n">
        <v>250</v>
      </c>
      <c r="E60" s="108" t="inlineStr">
        <is>
          <t xml:space="preserve">Финансирование по факторингу </t>
        </is>
      </c>
      <c r="F60" s="109" t="n">
        <v>705600</v>
      </c>
      <c r="G60" s="110" t="inlineStr">
        <is>
          <t xml:space="preserve">Перевод в ВТБ </t>
        </is>
      </c>
      <c r="H60" s="109" t="n">
        <v>705600</v>
      </c>
      <c r="I60" s="86" t="n"/>
      <c r="J60" s="86" t="n"/>
    </row>
    <row r="61">
      <c r="A61" s="282" t="inlineStr">
        <is>
          <t xml:space="preserve">ООО Золотой снек за арахис </t>
        </is>
      </c>
      <c r="B61" s="281" t="n">
        <v>100000</v>
      </c>
      <c r="C61" s="112" t="inlineStr">
        <is>
          <t xml:space="preserve">Ростелеком за услуги связи </t>
        </is>
      </c>
      <c r="D61" s="107" t="n">
        <v>500</v>
      </c>
      <c r="E61" s="110" t="n"/>
      <c r="F61" s="109" t="n"/>
      <c r="G61" s="110" t="n"/>
      <c r="H61" s="109" t="n"/>
      <c r="I61" s="86" t="n"/>
      <c r="J61" s="86" t="n"/>
    </row>
    <row r="62">
      <c r="A62" s="111" t="inlineStr">
        <is>
          <t xml:space="preserve">Перевод с Альфа банка </t>
        </is>
      </c>
      <c r="B62" s="283" t="n">
        <v>705600</v>
      </c>
      <c r="C62" s="113" t="inlineStr">
        <is>
          <t xml:space="preserve">Интернет решения за сетевой фильтр,патч корт </t>
        </is>
      </c>
      <c r="D62" s="107" t="n">
        <v>1938</v>
      </c>
      <c r="E62" s="110" t="n"/>
      <c r="F62" s="109" t="n"/>
      <c r="G62" s="114" t="n"/>
      <c r="H62" s="109" t="n"/>
      <c r="I62" s="86" t="n"/>
      <c r="J62" s="86" t="n"/>
    </row>
    <row r="63">
      <c r="A63" s="115" t="n"/>
      <c r="B63" s="283" t="n"/>
      <c r="C63" s="113" t="inlineStr">
        <is>
          <t xml:space="preserve">ООО Мастер строй  за материалы </t>
        </is>
      </c>
      <c r="D63" s="107" t="n">
        <v>6170</v>
      </c>
      <c r="E63" s="108" t="n"/>
      <c r="F63" s="116" t="n"/>
      <c r="G63" s="114" t="n"/>
      <c r="H63" s="109" t="n"/>
      <c r="I63" s="86" t="n"/>
      <c r="J63" s="86" t="n"/>
    </row>
    <row r="64">
      <c r="A64" s="117" t="n"/>
      <c r="B64" s="283" t="n"/>
      <c r="C64" s="113" t="inlineStr">
        <is>
          <t xml:space="preserve">ООО Офис маг за канцтовары </t>
        </is>
      </c>
      <c r="D64" s="107" t="n">
        <v>9672.040000000001</v>
      </c>
      <c r="E64" s="118" t="n"/>
      <c r="F64" s="119" t="n"/>
      <c r="G64" s="120" t="n"/>
      <c r="H64" s="120" t="n"/>
      <c r="I64" s="86" t="n"/>
      <c r="J64" s="86" t="n"/>
    </row>
    <row r="65">
      <c r="A65" s="117" t="n"/>
      <c r="B65" s="283" t="n"/>
      <c r="C65" s="113" t="inlineStr">
        <is>
          <t>ООО Эколаб за дизинфекцию</t>
        </is>
      </c>
      <c r="D65" s="107" t="n">
        <v>14400</v>
      </c>
      <c r="E65" s="118" t="n"/>
      <c r="F65" s="119" t="n"/>
      <c r="G65" s="121" t="n"/>
      <c r="H65" s="120" t="n"/>
      <c r="I65" s="86" t="n"/>
      <c r="J65" s="86" t="n"/>
    </row>
    <row r="66">
      <c r="A66" s="122" t="n"/>
      <c r="B66" s="283" t="n"/>
      <c r="C66" s="113" t="inlineStr">
        <is>
          <t xml:space="preserve">ООО ТД Виктан  за соль </t>
        </is>
      </c>
      <c r="D66" s="107" t="n">
        <v>48000</v>
      </c>
      <c r="E66" s="118" t="n"/>
      <c r="F66" s="118" t="n"/>
      <c r="G66" s="123" t="n"/>
      <c r="H66" s="120" t="n"/>
      <c r="I66" s="86" t="n"/>
      <c r="J66" s="86" t="n"/>
    </row>
    <row r="67">
      <c r="A67" s="124" t="n"/>
      <c r="B67" s="284" t="n"/>
      <c r="C67" s="113" t="inlineStr">
        <is>
          <t xml:space="preserve">ООО ПРомстеклоснаб транспортные услуги </t>
        </is>
      </c>
      <c r="D67" s="107" t="n">
        <v>64000</v>
      </c>
      <c r="E67" s="124" t="n"/>
      <c r="F67" s="118" t="n"/>
      <c r="G67" s="110" t="n"/>
      <c r="H67" s="120" t="n"/>
      <c r="I67" s="86" t="n"/>
      <c r="J67" s="86" t="n"/>
    </row>
    <row r="68">
      <c r="A68" s="124" t="n"/>
      <c r="B68" s="285" t="n"/>
      <c r="C68" s="110" t="inlineStr">
        <is>
          <t xml:space="preserve">ИП Савин транспортные услуги </t>
        </is>
      </c>
      <c r="D68" s="126" t="n">
        <v>78000</v>
      </c>
      <c r="E68" s="124" t="n"/>
      <c r="F68" s="118" t="n"/>
      <c r="G68" s="110" t="n"/>
      <c r="H68" s="120" t="n"/>
      <c r="I68" s="86" t="n"/>
      <c r="J68" s="86" t="n"/>
    </row>
    <row r="69">
      <c r="A69" s="124" t="n"/>
      <c r="B69" s="285" t="n"/>
      <c r="C69" s="110" t="inlineStr">
        <is>
          <t xml:space="preserve">ООО Русские мельницы  мука </t>
        </is>
      </c>
      <c r="D69" s="126" t="n">
        <v>135000</v>
      </c>
      <c r="E69" s="124" t="n"/>
      <c r="F69" s="118" t="n"/>
      <c r="G69" s="110" t="n"/>
      <c r="H69" s="120" t="n"/>
      <c r="I69" s="86" t="n"/>
      <c r="J69" s="86" t="n"/>
    </row>
    <row r="70">
      <c r="A70" s="124" t="n"/>
      <c r="B70" s="285" t="n"/>
      <c r="C70" s="110" t="inlineStr">
        <is>
          <t xml:space="preserve">ООО ВМ ИНгридиентс за ароматизатор пищевой </t>
        </is>
      </c>
      <c r="D70" s="126" t="n">
        <v>192000</v>
      </c>
      <c r="E70" s="124" t="n"/>
      <c r="F70" s="118" t="n"/>
      <c r="G70" s="110" t="n"/>
      <c r="H70" s="120" t="n"/>
      <c r="I70" s="86" t="n"/>
      <c r="J70" s="86" t="n"/>
    </row>
    <row r="71">
      <c r="A71" s="124" t="n"/>
      <c r="B71" s="285" t="n"/>
      <c r="C71" s="110" t="inlineStr">
        <is>
          <t>Размещение на депозите 295000</t>
        </is>
      </c>
      <c r="D71" s="126" t="n">
        <v>0</v>
      </c>
      <c r="E71" s="124" t="n"/>
      <c r="F71" s="118" t="n"/>
      <c r="G71" s="110" t="n"/>
      <c r="H71" s="120" t="n"/>
      <c r="I71" s="86" t="n"/>
      <c r="J71" s="86" t="n"/>
    </row>
    <row r="72">
      <c r="A72" s="124" t="n"/>
      <c r="B72" s="125" t="n"/>
      <c r="C72" s="110" t="n"/>
      <c r="D72" s="126" t="n"/>
      <c r="E72" s="124" t="n"/>
      <c r="F72" s="118" t="n"/>
      <c r="G72" s="110" t="n"/>
      <c r="H72" s="120" t="n"/>
      <c r="I72" s="86" t="n"/>
      <c r="J72" s="86" t="n"/>
    </row>
    <row r="73">
      <c r="A73" s="127" t="n"/>
      <c r="B73" s="128">
        <f>SUM(B60:B72)+C57</f>
        <v/>
      </c>
      <c r="C73" s="129" t="n"/>
      <c r="D73" s="128">
        <f>SUM(D60:D72)</f>
        <v/>
      </c>
      <c r="E73" s="130" t="n"/>
      <c r="F73" s="130">
        <f>SUM(F60:F72)</f>
        <v/>
      </c>
      <c r="G73" s="130" t="n"/>
      <c r="H73" s="130">
        <f>SUM(H60:H72)</f>
        <v/>
      </c>
      <c r="I73" s="2" t="n"/>
      <c r="J73" s="2" t="n"/>
    </row>
    <row r="74">
      <c r="A74" s="131" t="inlineStr">
        <is>
          <t>Остаток на конец дня:</t>
        </is>
      </c>
      <c r="B74" s="132">
        <f>B73-D73</f>
        <v/>
      </c>
      <c r="C74" s="56" t="n"/>
      <c r="D74" s="47" t="n"/>
      <c r="E74" s="100" t="inlineStr">
        <is>
          <t>Остаток на конец дня:</t>
        </is>
      </c>
      <c r="F74" s="101" t="n">
        <v>1890.2</v>
      </c>
      <c r="G74" s="56" t="n"/>
      <c r="H74" s="47" t="n"/>
      <c r="I74" s="2" t="n"/>
      <c r="J74" s="2" t="n"/>
    </row>
    <row r="75">
      <c r="A75" s="133" t="inlineStr">
        <is>
          <t>ИТОГО:</t>
        </is>
      </c>
      <c r="B75" s="47" t="n"/>
      <c r="C75" s="134" t="n">
        <v>297302.41</v>
      </c>
      <c r="D75" s="56" t="n"/>
      <c r="E75" s="56" t="n"/>
      <c r="F75" s="56" t="n"/>
      <c r="G75" s="56" t="n"/>
      <c r="H75" s="47" t="n"/>
      <c r="I75" s="2" t="n"/>
      <c r="J75" s="2" t="n"/>
    </row>
    <row r="76">
      <c r="A76" s="41" t="n"/>
      <c r="B76" s="94" t="n"/>
      <c r="C76" s="43" t="n"/>
      <c r="D76" s="41" t="n"/>
      <c r="E76" s="41" t="n"/>
      <c r="F76" s="41" t="n"/>
      <c r="G76" s="41" t="n"/>
      <c r="H76" s="93" t="n"/>
      <c r="I76" s="135" t="n"/>
      <c r="J76" s="135" t="n"/>
    </row>
    <row r="77">
      <c r="A77" s="136" t="n"/>
      <c r="B77" s="137" t="inlineStr">
        <is>
          <t>Реализация по безналичному расчёту</t>
        </is>
      </c>
      <c r="D77" s="2" t="n"/>
      <c r="E77" s="41" t="n"/>
      <c r="F77" s="41" t="n"/>
      <c r="G77" s="41" t="n"/>
      <c r="H77" s="138" t="n"/>
      <c r="I77" s="2" t="n"/>
      <c r="J77" s="2" t="n"/>
    </row>
    <row r="78">
      <c r="A78" s="139" t="inlineStr">
        <is>
          <t>Контрагент</t>
        </is>
      </c>
      <c r="B78" s="140" t="inlineStr">
        <is>
          <t>поставщик</t>
        </is>
      </c>
      <c r="C78" s="141" t="inlineStr">
        <is>
          <t>наименование</t>
        </is>
      </c>
      <c r="D78" s="142" t="inlineStr">
        <is>
          <t>вес упаковки, тарелки</t>
        </is>
      </c>
      <c r="E78" s="143" t="inlineStr">
        <is>
          <t>кол.-во пакетов, коробок</t>
        </is>
      </c>
      <c r="F78" s="144" t="inlineStr">
        <is>
          <t>кол-во мест в коробке/упаковке</t>
        </is>
      </c>
      <c r="G78" s="145" t="inlineStr">
        <is>
          <t>общий вес, кг.</t>
        </is>
      </c>
      <c r="H78" s="146" t="inlineStr">
        <is>
          <t>цена пакет, тарелка</t>
        </is>
      </c>
      <c r="I78" s="147" t="inlineStr">
        <is>
          <t>сумма</t>
        </is>
      </c>
      <c r="J78" s="148" t="inlineStr">
        <is>
          <t>Комментарий</t>
        </is>
      </c>
    </row>
    <row r="79">
      <c r="A79" s="150" t="n"/>
      <c r="B79" s="151" t="n"/>
      <c r="C79" s="272" t="n"/>
      <c r="D79" s="155" t="n"/>
      <c r="E79" s="154" t="n"/>
      <c r="F79" s="155" t="n"/>
      <c r="G79" s="154" t="n"/>
      <c r="H79" s="156" t="n"/>
      <c r="I79" s="156" t="n"/>
      <c r="J79" s="157" t="n"/>
    </row>
    <row r="80">
      <c r="A80" s="150" t="n"/>
      <c r="B80" s="151" t="n"/>
      <c r="C80" s="158" t="n"/>
      <c r="D80" s="155" t="n"/>
      <c r="E80" s="154" t="n"/>
      <c r="F80" s="155" t="n"/>
      <c r="G80" s="154" t="n"/>
      <c r="H80" s="156" t="n"/>
      <c r="I80" s="156" t="n"/>
      <c r="J80" s="322" t="n"/>
    </row>
    <row r="81">
      <c r="A81" s="150" t="n"/>
      <c r="B81" s="151" t="n"/>
      <c r="C81" s="158" t="n"/>
      <c r="D81" s="155" t="n"/>
      <c r="E81" s="154" t="n"/>
      <c r="F81" s="155" t="n"/>
      <c r="G81" s="154" t="n"/>
      <c r="H81" s="156" t="n"/>
      <c r="I81" s="156" t="n"/>
      <c r="J81" s="159" t="n"/>
    </row>
    <row r="82">
      <c r="A82" s="150" t="n"/>
      <c r="B82" s="151" t="n"/>
      <c r="C82" s="158" t="n"/>
      <c r="D82" s="153" t="n"/>
      <c r="E82" s="154" t="n"/>
      <c r="F82" s="155" t="n"/>
      <c r="G82" s="154" t="n"/>
      <c r="H82" s="156" t="n"/>
      <c r="I82" s="156" t="n"/>
      <c r="J82" s="159" t="n"/>
    </row>
    <row r="83">
      <c r="A83" s="150" t="n"/>
      <c r="B83" s="151" t="n"/>
      <c r="C83" s="152" t="n"/>
      <c r="D83" s="153" t="n"/>
      <c r="E83" s="154" t="n"/>
      <c r="F83" s="155" t="n"/>
      <c r="G83" s="154" t="n"/>
      <c r="H83" s="156" t="n"/>
      <c r="I83" s="156" t="n"/>
      <c r="J83" s="159" t="n"/>
    </row>
    <row r="84">
      <c r="A84" s="150" t="n"/>
      <c r="B84" s="151" t="n"/>
      <c r="C84" s="152" t="n"/>
      <c r="D84" s="153" t="n"/>
      <c r="E84" s="154" t="n"/>
      <c r="F84" s="155" t="n"/>
      <c r="G84" s="154" t="n"/>
      <c r="H84" s="156" t="n"/>
      <c r="I84" s="156" t="n"/>
      <c r="J84" s="159" t="n"/>
    </row>
    <row r="85">
      <c r="A85" s="150" t="n"/>
      <c r="B85" s="150" t="n"/>
      <c r="C85" s="160" t="n"/>
      <c r="D85" s="153" t="n"/>
      <c r="E85" s="154" t="n"/>
      <c r="F85" s="155" t="n"/>
      <c r="G85" s="154" t="n"/>
      <c r="H85" s="156" t="n"/>
      <c r="I85" s="156" t="n"/>
      <c r="J85" s="161" t="n"/>
    </row>
    <row r="86">
      <c r="A86" s="162" t="n"/>
      <c r="B86" s="163" t="n"/>
      <c r="C86" s="164" t="n"/>
      <c r="D86" s="165" t="n"/>
      <c r="E86" s="166" t="n"/>
      <c r="F86" s="167" t="n"/>
      <c r="G86" s="168" t="n"/>
      <c r="H86" s="169" t="n"/>
      <c r="I86" s="170" t="n"/>
      <c r="J86" s="161" t="n"/>
    </row>
    <row r="87">
      <c r="A87" s="162" t="n"/>
      <c r="B87" s="163" t="n"/>
      <c r="C87" s="171" t="n"/>
      <c r="D87" s="153" t="n"/>
      <c r="E87" s="172" t="n"/>
      <c r="F87" s="155" t="n"/>
      <c r="G87" s="168" t="n"/>
      <c r="H87" s="156" t="n"/>
      <c r="I87" s="170" t="n"/>
      <c r="J87" s="161" t="n"/>
    </row>
    <row r="88">
      <c r="A88" s="162" t="n"/>
      <c r="B88" s="163" t="n"/>
      <c r="C88" s="171" t="n"/>
      <c r="D88" s="153" t="n"/>
      <c r="E88" s="172" t="n"/>
      <c r="F88" s="155" t="n"/>
      <c r="G88" s="168" t="n"/>
      <c r="H88" s="156" t="n"/>
      <c r="I88" s="170" t="n"/>
      <c r="J88" s="161" t="n"/>
    </row>
    <row r="89">
      <c r="A89" s="162" t="n"/>
      <c r="B89" s="163" t="n"/>
      <c r="C89" s="171" t="n"/>
      <c r="D89" s="153" t="n"/>
      <c r="E89" s="172" t="n"/>
      <c r="F89" s="155" t="n"/>
      <c r="G89" s="168" t="n"/>
      <c r="H89" s="156" t="n"/>
      <c r="I89" s="170" t="n"/>
      <c r="J89" s="161" t="n"/>
    </row>
    <row r="90">
      <c r="A90" s="162" t="n"/>
      <c r="B90" s="163" t="n"/>
      <c r="C90" s="171" t="n"/>
      <c r="D90" s="153" t="n"/>
      <c r="E90" s="172" t="n"/>
      <c r="F90" s="155" t="n"/>
      <c r="G90" s="168" t="n"/>
      <c r="H90" s="156" t="n"/>
      <c r="I90" s="170" t="n"/>
      <c r="J90" s="161" t="n"/>
    </row>
    <row r="91">
      <c r="A91" s="173" t="n"/>
      <c r="B91" s="174" t="n"/>
      <c r="C91" s="175" t="n"/>
      <c r="D91" s="176" t="n"/>
      <c r="E91" s="177" t="n"/>
      <c r="F91" s="178" t="n"/>
      <c r="G91" s="179" t="n"/>
      <c r="H91" s="180" t="n"/>
      <c r="I91" s="181" t="n"/>
      <c r="J91" s="161" t="n"/>
    </row>
    <row r="92">
      <c r="A92" s="182" t="n"/>
      <c r="B92" s="163" t="n"/>
      <c r="C92" s="183" t="n"/>
      <c r="D92" s="184" t="n"/>
      <c r="E92" s="166" t="n"/>
      <c r="F92" s="167" t="n"/>
      <c r="G92" s="185">
        <f>D92*F92</f>
        <v/>
      </c>
      <c r="H92" s="186" t="n"/>
      <c r="I92" s="186">
        <f>F92*H92*E92</f>
        <v/>
      </c>
      <c r="J92" s="187" t="n"/>
    </row>
    <row r="93">
      <c r="A93" s="182" t="n"/>
      <c r="B93" s="163" t="n"/>
      <c r="C93" s="188" t="n"/>
      <c r="D93" s="189" t="n"/>
      <c r="E93" s="190" t="n"/>
      <c r="F93" s="189" t="n"/>
      <c r="G93" s="185">
        <f>D93*F93</f>
        <v/>
      </c>
      <c r="H93" s="191" t="n"/>
      <c r="I93" s="186">
        <f>F93*H93*E93</f>
        <v/>
      </c>
      <c r="J93" s="187" t="n"/>
    </row>
    <row r="94">
      <c r="A94" s="192" t="inlineStr">
        <is>
          <t>ИТОГО:</t>
        </is>
      </c>
      <c r="B94" s="193" t="n"/>
      <c r="C94" s="194" t="n"/>
      <c r="D94" s="195" t="n"/>
      <c r="E94" s="196">
        <f>SUM(E79:E93)</f>
        <v/>
      </c>
      <c r="F94" s="197">
        <f>SUM(F79:F91)</f>
        <v/>
      </c>
      <c r="G94" s="198">
        <f>SUM(G79:G86)</f>
        <v/>
      </c>
      <c r="H94" s="199" t="n"/>
      <c r="I94" s="199">
        <f>SUM(I79:I87)</f>
        <v/>
      </c>
      <c r="J94" s="200" t="n"/>
    </row>
    <row r="95">
      <c r="A95" s="2" t="n"/>
      <c r="B95" s="94" t="n"/>
      <c r="C95" s="43" t="n"/>
      <c r="D95" s="41" t="n"/>
      <c r="E95" s="41" t="n"/>
      <c r="F95" s="41" t="n"/>
      <c r="G95" s="41" t="n"/>
      <c r="H95" s="2" t="n"/>
      <c r="I95" s="2" t="n"/>
      <c r="J95" s="2" t="n"/>
    </row>
    <row r="96">
      <c r="A96" s="201" t="inlineStr">
        <is>
          <t>реализация Всего касса+безнал:</t>
        </is>
      </c>
      <c r="B96" s="202" t="inlineStr">
        <is>
          <t>кг</t>
        </is>
      </c>
      <c r="C96" s="203" t="inlineStr">
        <is>
          <t>на сумму</t>
        </is>
      </c>
      <c r="D96" s="41" t="n"/>
      <c r="E96" s="41" t="n"/>
      <c r="F96" s="41" t="n"/>
      <c r="G96" s="41" t="n"/>
      <c r="H96" s="2" t="n"/>
      <c r="I96" s="2" t="n"/>
      <c r="J96" s="2" t="n"/>
    </row>
    <row r="97">
      <c r="A97" s="204" t="n"/>
      <c r="B97" s="205">
        <f>E27+G94</f>
        <v/>
      </c>
      <c r="C97" s="206">
        <f>I27+H94+I94</f>
        <v/>
      </c>
      <c r="D97" s="41" t="n"/>
      <c r="E97" s="41" t="n"/>
      <c r="F97" s="41" t="n"/>
      <c r="G97" s="41" t="n"/>
      <c r="H97" s="2" t="n"/>
      <c r="I97" s="2" t="n"/>
      <c r="J97" s="2" t="n"/>
    </row>
    <row r="98">
      <c r="A98" s="207" t="inlineStr">
        <is>
          <t>Услуги оказывают нам (доставка сырья и комплектующих на склад, Товара покупателям)</t>
        </is>
      </c>
      <c r="B98" s="54" t="n"/>
      <c r="C98" s="54" t="n"/>
      <c r="D98" s="54" t="n"/>
      <c r="E98" s="54" t="n"/>
      <c r="F98" s="54" t="n"/>
      <c r="G98" s="54" t="n"/>
      <c r="H98" s="54" t="n"/>
      <c r="I98" s="291" t="n"/>
      <c r="J98" s="58" t="n"/>
    </row>
    <row r="99">
      <c r="A99" s="209" t="inlineStr">
        <is>
          <t>Контрагент</t>
        </is>
      </c>
      <c r="B99" s="210" t="inlineStr">
        <is>
          <t>вид услуги</t>
        </is>
      </c>
      <c r="C99" s="211" t="inlineStr">
        <is>
          <t>Кому / От кого</t>
        </is>
      </c>
      <c r="D99" s="212" t="inlineStr">
        <is>
          <t>наименование</t>
        </is>
      </c>
      <c r="E99" s="213" t="inlineStr">
        <is>
          <t xml:space="preserve">город доставки </t>
        </is>
      </c>
      <c r="F99" s="214" t="inlineStr">
        <is>
          <t>цена</t>
        </is>
      </c>
      <c r="G99" s="213" t="inlineStr">
        <is>
          <t>сумма</t>
        </is>
      </c>
      <c r="H99" s="212" t="inlineStr">
        <is>
          <t>за тонну</t>
        </is>
      </c>
      <c r="I99" s="291" t="n"/>
      <c r="J99" s="58" t="n"/>
    </row>
    <row r="100">
      <c r="A100" s="215" t="n"/>
      <c r="B100" s="60" t="n"/>
      <c r="C100" s="63" t="n"/>
      <c r="D100" s="226" t="n"/>
      <c r="E100" s="317" t="n"/>
      <c r="F100" s="62" t="n"/>
      <c r="G100" s="218" t="n"/>
      <c r="H100" s="305" t="n"/>
      <c r="I100" s="291" t="n"/>
      <c r="J100" s="58" t="n"/>
    </row>
    <row r="101">
      <c r="A101" s="215" t="n"/>
      <c r="B101" s="60" t="n"/>
      <c r="C101" s="63" t="n"/>
      <c r="D101" s="226" t="n"/>
      <c r="E101" s="217" t="n"/>
      <c r="F101" s="62" t="n"/>
      <c r="G101" s="218" t="n"/>
      <c r="H101" s="305" t="n"/>
      <c r="I101" s="315" t="n"/>
      <c r="J101" s="58" t="n"/>
    </row>
    <row r="102">
      <c r="A102" s="220" t="n"/>
      <c r="B102" s="60" t="n"/>
      <c r="C102" s="63" t="n"/>
      <c r="D102" s="226" t="n"/>
      <c r="E102" s="274" t="n"/>
      <c r="F102" s="223" t="n"/>
      <c r="G102" s="218" t="n"/>
      <c r="H102" s="305" t="n"/>
      <c r="I102" s="2" t="n"/>
      <c r="J102" s="2" t="n"/>
    </row>
    <row r="103">
      <c r="A103" s="220" t="n"/>
      <c r="B103" s="60" t="n"/>
      <c r="C103" s="221" t="n"/>
      <c r="D103" s="222" t="n"/>
      <c r="E103" s="274" t="n"/>
      <c r="F103" s="223" t="n"/>
      <c r="G103" s="218" t="n"/>
      <c r="H103" s="219" t="n"/>
      <c r="I103" s="2" t="n"/>
      <c r="J103" s="2" t="n"/>
    </row>
    <row r="104">
      <c r="A104" s="220" t="n"/>
      <c r="B104" s="60" t="n"/>
      <c r="C104" s="221" t="n"/>
      <c r="D104" s="226" t="n"/>
      <c r="E104" s="274" t="n"/>
      <c r="F104" s="223" t="n"/>
      <c r="G104" s="218" t="n"/>
      <c r="H104" s="219" t="n"/>
      <c r="I104" s="2" t="n"/>
      <c r="J104" s="2" t="n"/>
    </row>
    <row r="105">
      <c r="A105" s="220" t="n"/>
      <c r="B105" s="60" t="n"/>
      <c r="C105" s="221" t="n"/>
      <c r="D105" s="226" t="n"/>
      <c r="E105" s="227" t="n"/>
      <c r="F105" s="223" t="n"/>
      <c r="G105" s="218">
        <f>F105+F1223</f>
        <v/>
      </c>
      <c r="H105" s="219" t="n"/>
      <c r="I105" s="2" t="n"/>
      <c r="J105" s="2" t="n"/>
    </row>
    <row r="106">
      <c r="A106" s="220" t="n"/>
      <c r="B106" s="60" t="n"/>
      <c r="C106" s="221" t="n"/>
      <c r="D106" s="226" t="n"/>
      <c r="E106" s="227" t="n"/>
      <c r="F106" s="223" t="n"/>
      <c r="G106" s="218">
        <f>F106+F1224</f>
        <v/>
      </c>
      <c r="H106" s="219" t="n"/>
      <c r="I106" s="2" t="n"/>
      <c r="J106" s="2" t="n"/>
    </row>
    <row r="107">
      <c r="A107" s="220" t="n"/>
      <c r="B107" s="60" t="n"/>
      <c r="C107" s="221" t="n"/>
      <c r="D107" s="226" t="n"/>
      <c r="E107" s="227" t="n"/>
      <c r="F107" s="223" t="n"/>
      <c r="G107" s="218">
        <f>F107+F1225</f>
        <v/>
      </c>
      <c r="H107" s="228" t="n"/>
      <c r="I107" s="2" t="n"/>
      <c r="J107" s="2" t="n"/>
    </row>
    <row r="108">
      <c r="A108" s="229" t="inlineStr">
        <is>
          <t>ИТОГО:</t>
        </is>
      </c>
      <c r="B108" s="230" t="n"/>
      <c r="C108" s="231" t="n"/>
      <c r="D108" s="232" t="n"/>
      <c r="E108" s="233">
        <f>SUM(E100:E107)</f>
        <v/>
      </c>
      <c r="F108" s="234" t="n"/>
      <c r="G108" s="235">
        <f>SUM(G100:G107)</f>
        <v/>
      </c>
      <c r="H108" s="235" t="n"/>
      <c r="I108" s="2" t="n"/>
      <c r="J108" s="2" t="n"/>
    </row>
    <row r="109">
      <c r="A109" s="41" t="n"/>
      <c r="B109" s="94" t="n"/>
      <c r="C109" s="43" t="n"/>
      <c r="D109" s="41" t="n"/>
      <c r="E109" s="41" t="n"/>
      <c r="F109" s="41" t="n"/>
      <c r="G109" s="41" t="n"/>
      <c r="H109" s="41" t="n"/>
      <c r="I109" s="2" t="n"/>
      <c r="J109" s="2" t="n"/>
    </row>
    <row r="110">
      <c r="A110" s="236" t="inlineStr">
        <is>
          <t>Услуги оказываем мы</t>
        </is>
      </c>
      <c r="B110" s="54" t="n"/>
      <c r="C110" s="54" t="n"/>
      <c r="D110" s="54" t="n"/>
      <c r="E110" s="54" t="n"/>
      <c r="F110" s="54" t="n"/>
      <c r="G110" s="54" t="n"/>
      <c r="H110" s="54" t="n"/>
      <c r="I110" s="237" t="n"/>
      <c r="J110" s="2" t="n"/>
    </row>
    <row r="111">
      <c r="A111" s="209" t="inlineStr">
        <is>
          <t>Контрагент</t>
        </is>
      </c>
      <c r="B111" s="238" t="inlineStr">
        <is>
          <t>вид услуги</t>
        </is>
      </c>
      <c r="C111" s="239" t="inlineStr">
        <is>
          <t>наименование</t>
        </is>
      </c>
      <c r="D111" s="240" t="inlineStr">
        <is>
          <t>вес, кг, шт</t>
        </is>
      </c>
      <c r="E111" s="240" t="inlineStr">
        <is>
          <t>цена</t>
        </is>
      </c>
      <c r="F111" s="240" t="inlineStr">
        <is>
          <t>сумма</t>
        </is>
      </c>
      <c r="G111" s="213" t="inlineStr">
        <is>
          <t>№УПД</t>
        </is>
      </c>
      <c r="H111" s="213" t="n"/>
      <c r="I111" s="2" t="n"/>
      <c r="J111" s="2" t="n"/>
    </row>
    <row r="112">
      <c r="A112" s="275" t="n"/>
      <c r="B112" s="276" t="n"/>
      <c r="C112" s="243" t="n"/>
      <c r="D112" s="244" t="n"/>
      <c r="E112" s="277" t="n"/>
      <c r="F112" s="278" t="n"/>
      <c r="G112" s="247" t="n"/>
      <c r="H112" s="248" t="n"/>
      <c r="I112" s="2" t="n"/>
      <c r="J112" s="2" t="n"/>
    </row>
    <row r="113">
      <c r="A113" s="249" t="n"/>
      <c r="B113" s="250" t="n"/>
      <c r="C113" s="251" t="n"/>
      <c r="D113" s="252" t="n"/>
      <c r="E113" s="253" t="n"/>
      <c r="F113" s="254">
        <f>D113*E113</f>
        <v/>
      </c>
      <c r="G113" s="255" t="n"/>
      <c r="H113" s="256" t="n"/>
      <c r="I113" s="2" t="n"/>
      <c r="J113" s="2" t="n"/>
    </row>
    <row r="114">
      <c r="A114" s="257" t="n"/>
      <c r="B114" s="258" t="n"/>
      <c r="C114" s="257" t="n"/>
      <c r="D114" s="257" t="n"/>
      <c r="E114" s="257" t="n"/>
      <c r="F114" s="254">
        <f>D114*E114</f>
        <v/>
      </c>
      <c r="G114" s="257" t="n"/>
      <c r="H114" s="257" t="n"/>
      <c r="I114" s="2" t="n"/>
      <c r="J114" s="2" t="n"/>
    </row>
    <row r="115">
      <c r="A115" s="249" t="n"/>
      <c r="B115" s="258" t="n"/>
      <c r="C115" s="257" t="n"/>
      <c r="D115" s="259" t="n"/>
      <c r="E115" s="257" t="n"/>
      <c r="F115" s="260" t="n"/>
      <c r="G115" s="257" t="n"/>
      <c r="H115" s="257" t="n"/>
      <c r="I115" s="2" t="n"/>
      <c r="J115" s="2" t="n"/>
    </row>
    <row r="116">
      <c r="A116" s="2" t="n"/>
      <c r="B116" s="261" t="n"/>
      <c r="C116" s="2" t="n"/>
      <c r="D116" s="2" t="n"/>
      <c r="E116" s="2" t="n"/>
      <c r="F116" s="262" t="n"/>
      <c r="G116" s="2" t="n"/>
      <c r="H116" s="2" t="n"/>
      <c r="I116" s="263" t="n"/>
      <c r="J116" s="264" t="n"/>
    </row>
  </sheetData>
  <mergeCells count="6">
    <mergeCell ref="A1:J1"/>
    <mergeCell ref="A55:H55"/>
    <mergeCell ref="A98:H98"/>
    <mergeCell ref="A2:J2"/>
    <mergeCell ref="A32:H32"/>
    <mergeCell ref="A110:H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29.75" customWidth="1" min="6" max="6"/>
    <col width="9.625" customWidth="1" min="7" max="7"/>
    <col width="11.125" customWidth="1" min="8" max="8"/>
    <col width="10.37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ИП1</t>
        </is>
      </c>
      <c r="B4" s="267" t="inlineStr">
        <is>
          <t>Снекпром</t>
        </is>
      </c>
      <c r="C4" s="268" t="inlineStr">
        <is>
          <t>квадромикс 200 гр</t>
        </is>
      </c>
      <c r="D4" s="269" t="n">
        <v>0.2</v>
      </c>
      <c r="E4" s="17" t="n">
        <v>10</v>
      </c>
      <c r="F4" s="17" t="n"/>
      <c r="G4" s="270">
        <f>E4*D4</f>
        <v/>
      </c>
      <c r="H4" s="19" t="n">
        <v>75</v>
      </c>
      <c r="I4" s="19">
        <f>H4*E4</f>
        <v/>
      </c>
      <c r="J4" s="20" t="n"/>
    </row>
    <row r="5">
      <c r="A5" s="13" t="n"/>
      <c r="B5" s="267" t="n"/>
      <c r="C5" s="268" t="inlineStr">
        <is>
          <t>арахис ассорти 200 гр</t>
        </is>
      </c>
      <c r="D5" s="269" t="n">
        <v>0.2</v>
      </c>
      <c r="E5" s="17" t="n">
        <v>10</v>
      </c>
      <c r="F5" s="17" t="n"/>
      <c r="G5" s="270">
        <f>E5*D5</f>
        <v/>
      </c>
      <c r="H5" s="19" t="n">
        <v>85</v>
      </c>
      <c r="I5" s="19">
        <f>H5*E5</f>
        <v/>
      </c>
      <c r="J5" s="20" t="n"/>
    </row>
    <row r="6">
      <c r="A6" s="13" t="n"/>
      <c r="B6" s="244" t="n"/>
      <c r="C6" s="268" t="inlineStr">
        <is>
          <t>васаби 110 гр</t>
        </is>
      </c>
      <c r="D6" s="269" t="n">
        <v>0.11</v>
      </c>
      <c r="E6" s="17" t="n">
        <v>5</v>
      </c>
      <c r="F6" s="17" t="n"/>
      <c r="G6" s="270">
        <f>E6*D6</f>
        <v/>
      </c>
      <c r="H6" s="19" t="n">
        <v>35</v>
      </c>
      <c r="I6" s="19">
        <f>H6*E6</f>
        <v/>
      </c>
      <c r="J6" s="20" t="n"/>
    </row>
    <row r="7">
      <c r="A7" s="13" t="n"/>
      <c r="B7" s="244" t="n"/>
      <c r="C7" s="268" t="inlineStr">
        <is>
          <t>сметана зелень 110 гр</t>
        </is>
      </c>
      <c r="D7" s="269" t="n">
        <v>0.11</v>
      </c>
      <c r="E7" s="17" t="n">
        <v>5</v>
      </c>
      <c r="F7" s="17" t="n"/>
      <c r="G7" s="270">
        <f>E7*D7</f>
        <v/>
      </c>
      <c r="H7" s="19" t="n">
        <v>35</v>
      </c>
      <c r="I7" s="19">
        <f>H7*E7</f>
        <v/>
      </c>
      <c r="J7" s="20" t="n"/>
    </row>
    <row r="8">
      <c r="A8" s="13" t="n"/>
      <c r="B8" s="244" t="n"/>
      <c r="C8" s="268" t="inlineStr">
        <is>
          <t>барбекю 110 гр</t>
        </is>
      </c>
      <c r="D8" s="269" t="n">
        <v>0.11</v>
      </c>
      <c r="E8" s="17" t="n">
        <v>5</v>
      </c>
      <c r="F8" s="17" t="n"/>
      <c r="G8" s="270">
        <f>E8*D8</f>
        <v/>
      </c>
      <c r="H8" s="19" t="n">
        <v>35</v>
      </c>
      <c r="I8" s="19">
        <f>H8*E8</f>
        <v/>
      </c>
      <c r="J8" s="20" t="n"/>
    </row>
    <row r="9">
      <c r="A9" s="13" t="n"/>
      <c r="B9" s="244" t="n"/>
      <c r="C9" s="268" t="inlineStr">
        <is>
          <t>сыр лук 110 гр</t>
        </is>
      </c>
      <c r="D9" s="269" t="n">
        <v>0.11</v>
      </c>
      <c r="E9" s="17" t="n">
        <v>5</v>
      </c>
      <c r="F9" s="17" t="n"/>
      <c r="G9" s="270">
        <f>E9*D9</f>
        <v/>
      </c>
      <c r="H9" s="19" t="n">
        <v>35</v>
      </c>
      <c r="I9" s="19">
        <f>H9*E9</f>
        <v/>
      </c>
      <c r="J9" s="20" t="n"/>
    </row>
    <row r="10">
      <c r="A10" s="13" t="n"/>
      <c r="B10" s="267" t="n"/>
      <c r="C10" s="267" t="n"/>
      <c r="D10" s="269" t="n"/>
      <c r="E10" s="17" t="n"/>
      <c r="F10" s="17" t="n"/>
      <c r="G10" s="270" t="n"/>
      <c r="H10" s="19" t="n"/>
      <c r="I10" s="19" t="n"/>
      <c r="J10" s="20" t="n"/>
    </row>
    <row r="11">
      <c r="A11" s="13" t="n"/>
      <c r="B11" s="30" t="n"/>
      <c r="C11" s="267" t="n"/>
      <c r="D11" s="269" t="n"/>
      <c r="E11" s="17" t="n"/>
      <c r="F11" s="17" t="n"/>
      <c r="G11" s="270" t="n"/>
      <c r="H11" s="19" t="n"/>
      <c r="I11" s="19" t="n"/>
      <c r="J11" s="20" t="n"/>
    </row>
    <row r="12">
      <c r="A12" s="13" t="n"/>
      <c r="B12" s="30" t="n"/>
      <c r="C12" s="268" t="n"/>
      <c r="D12" s="269" t="n"/>
      <c r="E12" s="17" t="n"/>
      <c r="F12" s="17" t="n"/>
      <c r="G12" s="270" t="n"/>
      <c r="H12" s="19" t="n"/>
      <c r="I12" s="19" t="n"/>
      <c r="J12" s="20" t="n"/>
    </row>
    <row r="13">
      <c r="A13" s="13" t="n"/>
      <c r="B13" s="30" t="n"/>
      <c r="C13" s="268" t="n"/>
      <c r="D13" s="269" t="n"/>
      <c r="E13" s="17" t="n"/>
      <c r="F13" s="17" t="n"/>
      <c r="G13" s="270" t="n"/>
      <c r="H13" s="19" t="n"/>
      <c r="I13" s="19" t="n"/>
      <c r="J13" s="20" t="n"/>
    </row>
    <row r="14">
      <c r="A14" s="13" t="n"/>
      <c r="B14" s="30" t="n"/>
      <c r="C14" s="268" t="n"/>
      <c r="D14" s="269" t="n"/>
      <c r="E14" s="17" t="n"/>
      <c r="F14" s="17" t="n"/>
      <c r="G14" s="270" t="n"/>
      <c r="H14" s="19" t="n"/>
      <c r="I14" s="19" t="n"/>
      <c r="J14" s="20" t="n"/>
    </row>
    <row r="15">
      <c r="A15" s="13" t="n"/>
      <c r="B15" s="30" t="n"/>
      <c r="C15" s="268" t="n"/>
      <c r="D15" s="269" t="n"/>
      <c r="E15" s="17" t="n"/>
      <c r="F15" s="17" t="n"/>
      <c r="G15" s="270" t="n"/>
      <c r="H15" s="19" t="n"/>
      <c r="I15" s="19" t="n"/>
      <c r="J15" s="20" t="n"/>
    </row>
    <row r="16">
      <c r="A16" s="13" t="n"/>
      <c r="B16" s="30" t="n"/>
      <c r="C16" s="268" t="n"/>
      <c r="D16" s="269" t="n"/>
      <c r="E16" s="17" t="n"/>
      <c r="F16" s="17" t="n"/>
      <c r="G16" s="270" t="n"/>
      <c r="H16" s="19" t="n"/>
      <c r="I16" s="19" t="n"/>
      <c r="J16" s="20" t="n"/>
    </row>
    <row r="17">
      <c r="A17" s="13" t="n"/>
      <c r="B17" s="30" t="n"/>
      <c r="C17" s="268" t="n"/>
      <c r="D17" s="269" t="n"/>
      <c r="E17" s="17" t="n"/>
      <c r="F17" s="17" t="n"/>
      <c r="G17" s="270" t="n"/>
      <c r="H17" s="19" t="n"/>
      <c r="I17" s="19" t="n"/>
      <c r="J17" s="20" t="n"/>
    </row>
    <row r="18">
      <c r="A18" s="13" t="n"/>
      <c r="B18" s="267" t="n"/>
      <c r="C18" s="268" t="n"/>
      <c r="D18" s="269" t="n"/>
      <c r="E18" s="16" t="n"/>
      <c r="F18" s="17" t="n"/>
      <c r="G18" s="270" t="n"/>
      <c r="H18" s="19" t="n"/>
      <c r="I18" s="19" t="n"/>
      <c r="J18" s="20" t="n"/>
    </row>
    <row r="19">
      <c r="A19" s="13" t="n"/>
      <c r="B19" s="30" t="n"/>
      <c r="C19" s="268" t="n"/>
      <c r="D19" s="269" t="n"/>
      <c r="E19" s="16" t="n"/>
      <c r="F19" s="17" t="n"/>
      <c r="G19" s="270" t="n"/>
      <c r="H19" s="19" t="n"/>
      <c r="I19" s="19" t="n"/>
      <c r="J19" s="20" t="n"/>
    </row>
    <row r="20">
      <c r="A20" s="13" t="n"/>
      <c r="B20" s="30" t="n"/>
      <c r="C20" s="268" t="n"/>
      <c r="D20" s="269" t="n"/>
      <c r="E20" s="16" t="n"/>
      <c r="F20" s="17" t="n"/>
      <c r="G20" s="270" t="n"/>
      <c r="H20" s="19" t="n"/>
      <c r="I20" s="19" t="n"/>
      <c r="J20" s="20" t="n"/>
    </row>
    <row r="21">
      <c r="A21" s="13" t="n"/>
      <c r="B21" s="30" t="n"/>
      <c r="C21" s="268" t="n"/>
      <c r="D21" s="269" t="n"/>
      <c r="E21" s="16" t="n"/>
      <c r="F21" s="17" t="n"/>
      <c r="G21" s="270" t="n"/>
      <c r="H21" s="19" t="n"/>
      <c r="I21" s="19" t="n"/>
      <c r="J21" s="20" t="n"/>
    </row>
    <row r="22">
      <c r="A22" s="13" t="n"/>
      <c r="B22" s="30" t="n"/>
      <c r="C22" s="268" t="n"/>
      <c r="D22" s="269" t="n"/>
      <c r="E22" s="16" t="n"/>
      <c r="F22" s="17" t="n"/>
      <c r="G22" s="270" t="n"/>
      <c r="H22" s="19" t="n"/>
      <c r="I22" s="19" t="n"/>
      <c r="J22" s="20" t="n"/>
    </row>
    <row r="23">
      <c r="A23" s="13" t="n"/>
      <c r="B23" s="30" t="n"/>
      <c r="C23" s="268" t="n"/>
      <c r="D23" s="269" t="n"/>
      <c r="E23" s="16" t="n"/>
      <c r="F23" s="17" t="n"/>
      <c r="G23" s="270" t="n"/>
      <c r="H23" s="19" t="n"/>
      <c r="I23" s="19" t="n"/>
      <c r="J23" s="20" t="n"/>
    </row>
    <row r="24">
      <c r="A24" s="13" t="n"/>
      <c r="B24" s="30" t="n"/>
      <c r="C24" s="21" t="n"/>
      <c r="D24" s="26" t="n"/>
      <c r="E24" s="16" t="n"/>
      <c r="F24" s="17" t="n"/>
      <c r="G24" s="270" t="n"/>
      <c r="H24" s="19" t="n"/>
      <c r="I24" s="19" t="n"/>
      <c r="J24" s="20" t="n"/>
    </row>
    <row r="25">
      <c r="A25" s="13" t="n"/>
      <c r="B25" s="30" t="n"/>
      <c r="C25" s="21" t="n"/>
      <c r="D25" s="26" t="n"/>
      <c r="E25" s="16" t="n"/>
      <c r="F25" s="17" t="n"/>
      <c r="G25" s="270" t="n"/>
      <c r="H25" s="19" t="n"/>
      <c r="I25" s="19" t="n"/>
      <c r="J25" s="20" t="n"/>
    </row>
    <row r="26">
      <c r="A26" s="29" t="n"/>
      <c r="B26" s="30" t="n"/>
      <c r="C26" s="21" t="n"/>
      <c r="D26" s="26" t="n"/>
      <c r="E26" s="16" t="n"/>
      <c r="F26" s="17" t="n"/>
      <c r="G26" s="270" t="n"/>
      <c r="H26" s="19" t="n"/>
      <c r="I26" s="19" t="n"/>
      <c r="J26" s="32" t="n"/>
    </row>
    <row r="27">
      <c r="A27" s="33" t="n"/>
      <c r="B27" s="34" t="n"/>
      <c r="C27" s="35" t="n"/>
      <c r="D27" s="33" t="n"/>
      <c r="E27" s="36">
        <f>SUM(E4:E26)</f>
        <v/>
      </c>
      <c r="F27" s="36">
        <f>SUM(F4:F26)</f>
        <v/>
      </c>
      <c r="G27" s="37">
        <f>SUM(G4:G26)</f>
        <v/>
      </c>
      <c r="H27" s="38" t="n"/>
      <c r="I27" s="39">
        <f>SUM(I4:I26)</f>
        <v/>
      </c>
      <c r="J27" s="40" t="n"/>
    </row>
    <row r="28">
      <c r="A28" s="41" t="n"/>
      <c r="B28" s="42" t="n"/>
      <c r="C28" s="43" t="n"/>
      <c r="D28" s="41" t="n"/>
      <c r="E28" s="41" t="n"/>
      <c r="F28" s="41" t="n"/>
      <c r="G28" s="41" t="n"/>
      <c r="H28" s="41" t="n"/>
      <c r="I28" s="2" t="n"/>
      <c r="J28" s="2" t="n"/>
    </row>
    <row r="29">
      <c r="A29" s="44" t="inlineStr">
        <is>
          <t xml:space="preserve">Поступление от </t>
        </is>
      </c>
      <c r="B29" s="45" t="inlineStr">
        <is>
          <t>сумма</t>
        </is>
      </c>
      <c r="C29" s="46" t="inlineStr">
        <is>
          <t>примечание</t>
        </is>
      </c>
      <c r="D29" s="47" t="n"/>
      <c r="E29" s="41" t="n"/>
      <c r="F29" s="41" t="n"/>
      <c r="G29" s="41" t="n"/>
      <c r="H29" s="41" t="n"/>
      <c r="I29" s="2" t="n"/>
      <c r="J29" s="2" t="n"/>
    </row>
    <row r="30">
      <c r="A30" s="48" t="n"/>
      <c r="B30" s="49" t="n"/>
      <c r="C30" s="50" t="n"/>
      <c r="D30" s="47" t="n"/>
      <c r="E30" s="41" t="n"/>
      <c r="F30" s="41" t="n"/>
      <c r="G30" s="41" t="n"/>
      <c r="H30" s="41" t="n"/>
      <c r="I30" s="2" t="n"/>
      <c r="J30" s="2" t="n"/>
    </row>
    <row r="31">
      <c r="A31" s="29" t="n"/>
      <c r="B31" s="51" t="n"/>
      <c r="C31" s="52" t="n"/>
      <c r="D31" s="47" t="n"/>
      <c r="E31" s="41" t="n"/>
      <c r="F31" s="41" t="n"/>
      <c r="G31" s="41" t="n"/>
      <c r="H31" s="41" t="n"/>
      <c r="I31" s="2" t="n"/>
      <c r="J31" s="2" t="n"/>
    </row>
    <row r="32">
      <c r="A32" s="53" t="inlineStr">
        <is>
          <t>Касса</t>
        </is>
      </c>
      <c r="B32" s="54" t="n"/>
      <c r="C32" s="54" t="n"/>
      <c r="D32" s="54" t="n"/>
      <c r="E32" s="54" t="n"/>
      <c r="F32" s="54" t="n"/>
      <c r="G32" s="54" t="n"/>
      <c r="H32" s="54" t="n"/>
      <c r="I32" s="2" t="n"/>
      <c r="J32" s="2" t="n"/>
    </row>
    <row r="33">
      <c r="A33" s="55" t="inlineStr">
        <is>
          <t>Производство</t>
        </is>
      </c>
      <c r="B33" s="56" t="n"/>
      <c r="C33" s="56" t="n"/>
      <c r="D33" s="47" t="n"/>
      <c r="E33" s="55" t="inlineStr">
        <is>
          <t xml:space="preserve">Бухгалтерия </t>
        </is>
      </c>
      <c r="F33" s="56" t="n"/>
      <c r="G33" s="56" t="n"/>
      <c r="H33" s="47" t="n"/>
      <c r="I33" s="57" t="n"/>
      <c r="J33" s="58" t="n"/>
    </row>
    <row r="34">
      <c r="A34" s="59" t="inlineStr">
        <is>
          <t>Остаток на начало дня:</t>
        </is>
      </c>
      <c r="B34" s="60" t="n"/>
      <c r="C34" s="61" t="n"/>
      <c r="D34" s="62" t="n">
        <v>314620.45</v>
      </c>
      <c r="E34" s="59" t="inlineStr">
        <is>
          <t>Остаток на начало дня:</t>
        </is>
      </c>
      <c r="F34" s="63" t="n"/>
      <c r="G34" s="61" t="n"/>
      <c r="H34" s="64" t="n">
        <v>0</v>
      </c>
      <c r="I34" s="65" t="n"/>
      <c r="J34" s="2" t="n"/>
    </row>
    <row r="35">
      <c r="A35" s="66" t="inlineStr">
        <is>
          <t>поступление ч/л ИП1</t>
        </is>
      </c>
      <c r="B35" s="67" t="n"/>
      <c r="C35" s="68" t="n">
        <v>2300</v>
      </c>
      <c r="D35" s="68" t="n">
        <v>2300</v>
      </c>
      <c r="E35" s="69" t="n"/>
      <c r="F35" s="70" t="n"/>
      <c r="G35" s="71" t="n"/>
      <c r="H35" s="72">
        <f>F35*G35</f>
        <v/>
      </c>
      <c r="I35" s="313" t="n"/>
      <c r="J35" s="313" t="n"/>
    </row>
    <row r="36">
      <c r="A36" s="66" t="inlineStr">
        <is>
          <t>поступление ИП2</t>
        </is>
      </c>
      <c r="B36" s="67" t="n"/>
      <c r="C36" s="68" t="n">
        <v>160000</v>
      </c>
      <c r="D36" s="68" t="n">
        <v>160000</v>
      </c>
      <c r="E36" s="69" t="n"/>
      <c r="F36" s="70" t="n"/>
      <c r="G36" s="71" t="n"/>
      <c r="H36" s="72">
        <f>F36*G36</f>
        <v/>
      </c>
      <c r="I36" s="2" t="n"/>
      <c r="J36" s="2" t="n"/>
    </row>
    <row r="37">
      <c r="A37" s="66" t="inlineStr">
        <is>
          <t>поступление ИП3</t>
        </is>
      </c>
      <c r="B37" s="67" t="n"/>
      <c r="C37" s="68" t="n">
        <v>270000</v>
      </c>
      <c r="D37" s="68" t="n">
        <v>270000</v>
      </c>
      <c r="E37" s="69" t="n"/>
      <c r="F37" s="70" t="n"/>
      <c r="G37" s="71" t="n"/>
      <c r="H37" s="72">
        <f>F37*G37</f>
        <v/>
      </c>
      <c r="I37" s="2" t="n"/>
      <c r="J37" s="2" t="n"/>
    </row>
    <row r="38">
      <c r="A38" s="66" t="n"/>
      <c r="B38" s="67" t="n"/>
      <c r="C38" s="68" t="n"/>
      <c r="D38" s="68" t="n"/>
      <c r="E38" s="69" t="n"/>
      <c r="F38" s="70" t="n"/>
      <c r="G38" s="71" t="n"/>
      <c r="H38" s="72">
        <f>F38*G38</f>
        <v/>
      </c>
      <c r="I38" s="2" t="n"/>
      <c r="J38" s="2" t="n"/>
    </row>
    <row r="39">
      <c r="A39" s="66" t="n"/>
      <c r="B39" s="73" t="n"/>
      <c r="C39" s="74" t="n"/>
      <c r="D39" s="75" t="n"/>
      <c r="E39" s="69" t="n"/>
      <c r="F39" s="70" t="n"/>
      <c r="G39" s="71" t="n"/>
      <c r="H39" s="72">
        <f>F39*G39</f>
        <v/>
      </c>
      <c r="I39" s="2" t="n"/>
      <c r="J39" s="2" t="n"/>
    </row>
    <row r="40">
      <c r="A40" s="76" t="n"/>
      <c r="B40" s="67" t="n"/>
      <c r="C40" s="68" t="n"/>
      <c r="D40" s="75" t="n"/>
      <c r="E40" s="77" t="inlineStr">
        <is>
          <t>Итого приход:</t>
        </is>
      </c>
      <c r="F40" s="78" t="n"/>
      <c r="G40" s="79" t="n"/>
      <c r="H40" s="80">
        <f>SUM(H35:H36)</f>
        <v/>
      </c>
      <c r="I40" s="2" t="n"/>
      <c r="J40" s="2" t="n"/>
    </row>
    <row r="41">
      <c r="A41" s="76" t="inlineStr">
        <is>
          <t>Расход за день:</t>
        </is>
      </c>
      <c r="B41" s="67" t="n"/>
      <c r="C41" s="79" t="n"/>
      <c r="D41" s="80" t="n"/>
      <c r="E41" s="76" t="inlineStr">
        <is>
          <t>Расход за день:</t>
        </is>
      </c>
      <c r="F41" s="78" t="n"/>
      <c r="G41" s="79" t="n"/>
      <c r="H41" s="80" t="n"/>
      <c r="I41" s="2" t="n"/>
      <c r="J41" s="2" t="n"/>
    </row>
    <row r="42">
      <c r="A42" s="69" t="inlineStr">
        <is>
          <t>расходники на фасовку</t>
        </is>
      </c>
      <c r="B42" s="67" t="n"/>
      <c r="C42" s="68" t="n">
        <v>1250</v>
      </c>
      <c r="D42" s="68" t="n">
        <v>1250</v>
      </c>
      <c r="E42" s="76" t="n"/>
      <c r="F42" s="78" t="n"/>
      <c r="G42" s="79" t="n"/>
      <c r="H42" s="80" t="n"/>
      <c r="I42" s="2" t="n"/>
      <c r="J42" s="2" t="n"/>
    </row>
    <row r="43">
      <c r="A43" s="81" t="inlineStr">
        <is>
          <t>комиссия ИП2 налог 7</t>
        </is>
      </c>
      <c r="B43" s="67" t="n"/>
      <c r="C43" s="68" t="n">
        <v>11200</v>
      </c>
      <c r="D43" s="68" t="n">
        <v>11200</v>
      </c>
      <c r="E43" s="76" t="n"/>
      <c r="F43" s="78" t="n"/>
      <c r="G43" s="79" t="n"/>
      <c r="H43" s="72">
        <f>F43*G43</f>
        <v/>
      </c>
      <c r="I43" s="2" t="n"/>
      <c r="J43" s="2" t="n"/>
    </row>
    <row r="44">
      <c r="A44" s="81" t="inlineStr">
        <is>
          <t>комиссия ИП2 комиссия банка</t>
        </is>
      </c>
      <c r="B44" s="67" t="n"/>
      <c r="C44" s="68" t="n">
        <v>3720</v>
      </c>
      <c r="D44" s="68" t="n">
        <v>3720</v>
      </c>
      <c r="E44" s="76" t="n"/>
      <c r="F44" s="78" t="n"/>
      <c r="G44" s="79" t="n"/>
      <c r="H44" s="72" t="n"/>
      <c r="I44" s="2" t="n"/>
      <c r="J44" s="2" t="n"/>
    </row>
    <row r="45">
      <c r="A45" s="81" t="inlineStr">
        <is>
          <t>комиссия ИП3</t>
        </is>
      </c>
      <c r="B45" s="67" t="n"/>
      <c r="C45" s="68" t="n">
        <v>930</v>
      </c>
      <c r="D45" s="68" t="n">
        <v>930</v>
      </c>
      <c r="E45" s="76" t="n"/>
      <c r="F45" s="78" t="n"/>
      <c r="G45" s="79" t="n"/>
      <c r="H45" s="72">
        <f>F45*G45</f>
        <v/>
      </c>
      <c r="I45" s="2" t="n"/>
      <c r="J45" s="2" t="n"/>
    </row>
    <row r="46">
      <c r="A46" s="81" t="inlineStr">
        <is>
          <t xml:space="preserve">палеты </t>
        </is>
      </c>
      <c r="B46" s="67" t="n"/>
      <c r="C46" s="68" t="n">
        <v>3600</v>
      </c>
      <c r="D46" s="68" t="n">
        <v>3600</v>
      </c>
      <c r="E46" s="76" t="n"/>
      <c r="F46" s="78" t="n"/>
      <c r="G46" s="79" t="n"/>
      <c r="H46" s="72">
        <f>F46*G46</f>
        <v/>
      </c>
      <c r="I46" s="2" t="n"/>
      <c r="J46" s="2" t="n"/>
    </row>
    <row r="47">
      <c r="A47" s="69" t="n"/>
      <c r="B47" s="67" t="n"/>
      <c r="C47" s="68" t="n"/>
      <c r="D47" s="74" t="n"/>
      <c r="E47" s="76" t="n"/>
      <c r="F47" s="78" t="n"/>
      <c r="G47" s="79" t="n"/>
      <c r="H47" s="72">
        <f>F47*G47</f>
        <v/>
      </c>
      <c r="I47" s="2" t="n"/>
      <c r="J47" s="2" t="n"/>
    </row>
    <row r="48">
      <c r="A48" s="69" t="n"/>
      <c r="B48" s="67" t="n"/>
      <c r="C48" s="68" t="n"/>
      <c r="D48" s="74" t="n"/>
      <c r="E48" s="76" t="n"/>
      <c r="F48" s="78" t="n"/>
      <c r="G48" s="79" t="n"/>
      <c r="H48" s="72">
        <f>F48*G48</f>
        <v/>
      </c>
      <c r="I48" s="2" t="n"/>
      <c r="J48" s="2" t="n"/>
    </row>
    <row r="49">
      <c r="A49" s="69" t="n"/>
      <c r="B49" s="67" t="n"/>
      <c r="C49" s="68" t="n"/>
      <c r="D49" s="74" t="n"/>
      <c r="E49" s="76" t="n"/>
      <c r="F49" s="78" t="n"/>
      <c r="G49" s="79" t="n"/>
      <c r="H49" s="72">
        <f>F49*G49</f>
        <v/>
      </c>
      <c r="I49" s="2" t="n"/>
      <c r="J49" s="2" t="n"/>
    </row>
    <row r="50">
      <c r="A50" s="69" t="n"/>
      <c r="B50" s="67" t="n"/>
      <c r="C50" s="68" t="n"/>
      <c r="D50" s="75" t="n"/>
      <c r="E50" s="76" t="n"/>
      <c r="F50" s="78" t="n"/>
      <c r="G50" s="79" t="n"/>
      <c r="H50" s="72">
        <f>F50*G50</f>
        <v/>
      </c>
      <c r="I50" s="313" t="n"/>
      <c r="J50" s="2" t="n"/>
    </row>
    <row r="51">
      <c r="A51" s="69" t="n"/>
      <c r="B51" s="67" t="n"/>
      <c r="C51" s="68" t="n"/>
      <c r="D51" s="75" t="n"/>
      <c r="E51" s="76" t="n"/>
      <c r="F51" s="78" t="n"/>
      <c r="G51" s="79" t="n"/>
      <c r="H51" s="72">
        <f>F51*G51</f>
        <v/>
      </c>
      <c r="I51" s="2" t="n"/>
      <c r="J51" s="2" t="n"/>
    </row>
    <row r="52">
      <c r="A52" s="69" t="n"/>
      <c r="B52" s="67" t="n"/>
      <c r="C52" s="68" t="n"/>
      <c r="D52" s="75" t="n"/>
      <c r="E52" s="76" t="n"/>
      <c r="F52" s="78" t="n"/>
      <c r="G52" s="79" t="n"/>
      <c r="H52" s="72">
        <f>F52*G52</f>
        <v/>
      </c>
      <c r="I52" s="2" t="n"/>
      <c r="J52" s="2" t="n"/>
    </row>
    <row r="53">
      <c r="A53" s="83" t="n"/>
      <c r="B53" s="67" t="n"/>
      <c r="C53" s="68" t="n"/>
      <c r="D53" s="84" t="n"/>
      <c r="E53" s="85" t="inlineStr">
        <is>
          <t>Итого расход:</t>
        </is>
      </c>
      <c r="F53" s="78" t="n"/>
      <c r="G53" s="79" t="n"/>
      <c r="H53" s="72">
        <f>F53*G53</f>
        <v/>
      </c>
      <c r="I53" s="86" t="n"/>
      <c r="J53" s="86" t="n"/>
    </row>
    <row r="54">
      <c r="A54" s="87" t="inlineStr">
        <is>
          <t>Остаток на конец дня:</t>
        </is>
      </c>
      <c r="B54" s="88" t="n"/>
      <c r="C54" s="89" t="n"/>
      <c r="D54" s="90">
        <f>SUM(D35,D36:D39,D34,)-SUM(D42:D53,)</f>
        <v/>
      </c>
      <c r="E54" s="87" t="inlineStr">
        <is>
          <t>Остаток на конец дня:</t>
        </is>
      </c>
      <c r="F54" s="91" t="n"/>
      <c r="G54" s="89" t="n"/>
      <c r="H54" s="92">
        <f>SUM(H34+H40-H53)</f>
        <v/>
      </c>
      <c r="I54" s="2" t="n"/>
      <c r="J54" s="2" t="n"/>
    </row>
    <row r="55">
      <c r="A55" s="93" t="n"/>
      <c r="B55" s="94" t="n"/>
      <c r="C55" s="43" t="n"/>
      <c r="D55" s="41" t="n"/>
      <c r="E55" s="41" t="n"/>
      <c r="F55" s="41" t="n"/>
      <c r="G55" s="2" t="n"/>
      <c r="H55" s="2" t="n"/>
      <c r="I55" s="2" t="n"/>
      <c r="J55" s="2" t="n"/>
    </row>
    <row r="56">
      <c r="A56" s="95" t="inlineStr">
        <is>
          <t>Расчётный счёт</t>
        </is>
      </c>
      <c r="B56" s="54" t="n"/>
      <c r="C56" s="54" t="n"/>
      <c r="D56" s="54" t="n"/>
      <c r="E56" s="54" t="n"/>
      <c r="F56" s="54" t="n"/>
      <c r="G56" s="54" t="n"/>
      <c r="H56" s="54" t="n"/>
      <c r="I56" s="2" t="n"/>
      <c r="J56" s="2" t="n"/>
    </row>
    <row r="57">
      <c r="A57" s="96" t="inlineStr">
        <is>
          <t>ВТБ</t>
        </is>
      </c>
      <c r="B57" s="279" t="inlineStr">
        <is>
          <t>ВТБ</t>
        </is>
      </c>
      <c r="C57" s="279" t="n"/>
      <c r="D57" s="47" t="n"/>
      <c r="E57" s="97" t="inlineStr">
        <is>
          <t>Альфабанк</t>
        </is>
      </c>
      <c r="F57" s="56" t="n"/>
      <c r="G57" s="56" t="n"/>
      <c r="H57" s="47" t="n"/>
      <c r="I57" s="2" t="n"/>
      <c r="J57" s="2" t="n"/>
    </row>
    <row r="58">
      <c r="A58" s="98" t="inlineStr">
        <is>
          <t>Остаток на начало дня:</t>
        </is>
      </c>
      <c r="B58" s="280" t="n"/>
      <c r="C58" s="290" t="n">
        <v>295412.21</v>
      </c>
      <c r="D58" s="56" t="n"/>
      <c r="E58" s="100" t="inlineStr">
        <is>
          <t>Остаток на начало дня:</t>
        </is>
      </c>
      <c r="F58" s="47" t="n"/>
      <c r="G58" s="101" t="n">
        <v>1890.2</v>
      </c>
      <c r="H58" s="47" t="n"/>
      <c r="I58" s="2" t="n"/>
      <c r="J58" s="2" t="n"/>
    </row>
    <row r="59">
      <c r="A59" s="102" t="inlineStr">
        <is>
          <t>Поступление</t>
        </is>
      </c>
      <c r="B59" s="47" t="n"/>
      <c r="C59" s="102" t="inlineStr">
        <is>
          <t>Расход</t>
        </is>
      </c>
      <c r="D59" s="47" t="n"/>
      <c r="E59" s="102" t="inlineStr">
        <is>
          <t>Поступление</t>
        </is>
      </c>
      <c r="F59" s="47" t="n"/>
      <c r="G59" s="102" t="inlineStr">
        <is>
          <t>Расход</t>
        </is>
      </c>
      <c r="H59" s="47" t="n"/>
      <c r="I59" s="86" t="n"/>
      <c r="J59" s="86" t="n"/>
    </row>
    <row r="60">
      <c r="A60" s="103" t="inlineStr">
        <is>
          <t>от кого</t>
        </is>
      </c>
      <c r="B60" s="103" t="inlineStr">
        <is>
          <t>сумма</t>
        </is>
      </c>
      <c r="C60" s="103" t="inlineStr">
        <is>
          <t>кому</t>
        </is>
      </c>
      <c r="D60" s="103" t="inlineStr">
        <is>
          <t>сумма</t>
        </is>
      </c>
      <c r="E60" s="103" t="inlineStr">
        <is>
          <t>от кого</t>
        </is>
      </c>
      <c r="F60" s="103" t="inlineStr">
        <is>
          <t>сумма</t>
        </is>
      </c>
      <c r="G60" s="103" t="inlineStr">
        <is>
          <t xml:space="preserve">кому </t>
        </is>
      </c>
      <c r="H60" s="103" t="inlineStr">
        <is>
          <t>сумма</t>
        </is>
      </c>
      <c r="I60" s="86" t="n"/>
      <c r="J60" s="86" t="n"/>
    </row>
    <row r="61">
      <c r="A61" s="104" t="inlineStr">
        <is>
          <t xml:space="preserve">Перевод  с альфа банка </t>
        </is>
      </c>
      <c r="B61" s="281" t="n">
        <v>693000</v>
      </c>
      <c r="C61" s="106" t="inlineStr">
        <is>
          <t xml:space="preserve">Комиссия банка </t>
        </is>
      </c>
      <c r="D61" s="107" t="n">
        <v>50</v>
      </c>
      <c r="E61" s="108" t="inlineStr">
        <is>
          <t xml:space="preserve">Финансирование по факторингу </t>
        </is>
      </c>
      <c r="F61" s="109" t="n">
        <v>807942.6</v>
      </c>
      <c r="G61" s="110" t="inlineStr">
        <is>
          <t>Альфа банк комиссия за АУДЗ</t>
        </is>
      </c>
      <c r="H61" s="109" t="n">
        <v>96</v>
      </c>
      <c r="I61" s="86" t="n"/>
      <c r="J61" s="86" t="n"/>
    </row>
    <row r="62">
      <c r="A62" s="282" t="n"/>
      <c r="B62" s="281" t="n"/>
      <c r="C62" s="112" t="inlineStr">
        <is>
          <t xml:space="preserve">ИП Савина  О.В. электроэнергия </t>
        </is>
      </c>
      <c r="D62" s="107" t="n">
        <v>112331.84</v>
      </c>
      <c r="E62" s="110" t="n"/>
      <c r="F62" s="109" t="n"/>
      <c r="G62" s="110" t="inlineStr">
        <is>
          <t xml:space="preserve">Альфа банк  факторинговая комиссия </t>
        </is>
      </c>
      <c r="H62" s="109" t="n">
        <v>114308.3</v>
      </c>
      <c r="I62" s="86" t="n"/>
      <c r="J62" s="86" t="n"/>
    </row>
    <row r="63">
      <c r="A63" s="111" t="n"/>
      <c r="B63" s="283" t="n"/>
      <c r="C63" s="113" t="inlineStr">
        <is>
          <t>Размещение на депозите 150000</t>
        </is>
      </c>
      <c r="D63" s="107" t="n">
        <v>0</v>
      </c>
      <c r="E63" s="110" t="n"/>
      <c r="F63" s="109" t="n"/>
      <c r="G63" s="114" t="inlineStr">
        <is>
          <t xml:space="preserve">Перевод в ВТБ </t>
        </is>
      </c>
      <c r="H63" s="109" t="n">
        <v>693000</v>
      </c>
      <c r="I63" s="86" t="n"/>
      <c r="J63" s="86" t="n"/>
    </row>
    <row r="64">
      <c r="A64" s="115" t="n"/>
      <c r="B64" s="283" t="n"/>
      <c r="C64" s="113" t="inlineStr">
        <is>
          <t xml:space="preserve">ИП Савин Д аренда погрузчика </t>
        </is>
      </c>
      <c r="D64" s="107" t="n">
        <v>160000</v>
      </c>
      <c r="E64" s="108" t="n"/>
      <c r="F64" s="116" t="n"/>
      <c r="G64" s="114" t="n"/>
      <c r="H64" s="109" t="n"/>
      <c r="I64" s="86" t="n"/>
      <c r="J64" s="86" t="n"/>
    </row>
    <row r="65">
      <c r="A65" s="117" t="n"/>
      <c r="B65" s="283" t="n"/>
      <c r="C65" s="113" t="inlineStr">
        <is>
          <t>ИП Савина О.В. аренда  недвижимости</t>
        </is>
      </c>
      <c r="D65" s="107" t="n">
        <v>270000</v>
      </c>
      <c r="E65" s="118" t="n"/>
      <c r="F65" s="119" t="n"/>
      <c r="G65" s="120" t="n"/>
      <c r="H65" s="120" t="n"/>
      <c r="I65" s="86" t="n"/>
      <c r="J65" s="86" t="n"/>
    </row>
    <row r="66">
      <c r="A66" s="117" t="n"/>
      <c r="B66" s="283" t="n"/>
      <c r="C66" s="113" t="inlineStr">
        <is>
          <t>Размещение на депозите 295000</t>
        </is>
      </c>
      <c r="D66" s="107" t="n">
        <v>0</v>
      </c>
      <c r="E66" s="118" t="n"/>
      <c r="F66" s="119" t="n"/>
      <c r="G66" s="121" t="n"/>
      <c r="H66" s="120" t="n"/>
      <c r="I66" s="86" t="n"/>
      <c r="J66" s="86" t="n"/>
    </row>
    <row r="67">
      <c r="A67" s="122" t="n"/>
      <c r="B67" s="283" t="n"/>
      <c r="C67" s="113" t="n"/>
      <c r="D67" s="107" t="n"/>
      <c r="E67" s="118" t="n"/>
      <c r="F67" s="118" t="n"/>
      <c r="G67" s="123" t="n"/>
      <c r="H67" s="120" t="n"/>
      <c r="I67" s="86" t="n"/>
      <c r="J67" s="86" t="n"/>
    </row>
    <row r="68">
      <c r="A68" s="124" t="n"/>
      <c r="B68" s="284" t="n"/>
      <c r="C68" s="113" t="n"/>
      <c r="D68" s="107" t="n"/>
      <c r="E68" s="124" t="n"/>
      <c r="F68" s="118" t="n"/>
      <c r="G68" s="110" t="n"/>
      <c r="H68" s="120" t="n"/>
      <c r="I68" s="86" t="n"/>
      <c r="J68" s="86" t="n"/>
    </row>
    <row r="69">
      <c r="A69" s="124" t="n"/>
      <c r="B69" s="285" t="n"/>
      <c r="C69" s="110" t="n"/>
      <c r="D69" s="126" t="n"/>
      <c r="E69" s="124" t="n"/>
      <c r="F69" s="118" t="n"/>
      <c r="G69" s="110" t="n"/>
      <c r="H69" s="120" t="n"/>
      <c r="I69" s="86" t="n"/>
      <c r="J69" s="86" t="n"/>
    </row>
    <row r="70">
      <c r="A70" s="124" t="n"/>
      <c r="B70" s="285" t="n"/>
      <c r="C70" s="110" t="n"/>
      <c r="D70" s="126" t="n"/>
      <c r="E70" s="124" t="n"/>
      <c r="F70" s="118" t="n"/>
      <c r="G70" s="110" t="n"/>
      <c r="H70" s="120" t="n"/>
      <c r="I70" s="86" t="n"/>
      <c r="J70" s="86" t="n"/>
    </row>
    <row r="71">
      <c r="A71" s="124" t="n"/>
      <c r="B71" s="285" t="n"/>
      <c r="C71" s="110" t="n"/>
      <c r="D71" s="126" t="n"/>
      <c r="E71" s="124" t="n"/>
      <c r="F71" s="118" t="n"/>
      <c r="G71" s="110" t="n"/>
      <c r="H71" s="120" t="n"/>
      <c r="I71" s="86" t="n"/>
      <c r="J71" s="86" t="n"/>
    </row>
    <row r="72">
      <c r="A72" s="124" t="n"/>
      <c r="B72" s="285" t="n"/>
      <c r="C72" s="110" t="n"/>
      <c r="D72" s="126" t="n"/>
      <c r="E72" s="124" t="n"/>
      <c r="F72" s="118" t="n"/>
      <c r="G72" s="110" t="n"/>
      <c r="H72" s="120" t="n"/>
      <c r="I72" s="86" t="n"/>
      <c r="J72" s="86" t="n"/>
    </row>
    <row r="73">
      <c r="A73" s="124" t="n"/>
      <c r="B73" s="125" t="n"/>
      <c r="C73" s="110" t="n"/>
      <c r="D73" s="126" t="n"/>
      <c r="E73" s="124" t="n"/>
      <c r="F73" s="118" t="n"/>
      <c r="G73" s="110" t="n"/>
      <c r="H73" s="120" t="n"/>
      <c r="I73" s="86" t="n"/>
      <c r="J73" s="86" t="n"/>
    </row>
    <row r="74">
      <c r="A74" s="127" t="n"/>
      <c r="B74" s="128">
        <f>SUM(B61:B73)+C58</f>
        <v/>
      </c>
      <c r="C74" s="129" t="n"/>
      <c r="D74" s="128">
        <f>SUM(D61:D73)</f>
        <v/>
      </c>
      <c r="E74" s="130" t="n"/>
      <c r="F74" s="130">
        <f>SUM(F61:F73)</f>
        <v/>
      </c>
      <c r="G74" s="130" t="n"/>
      <c r="H74" s="130">
        <f>SUM(H61:H73)</f>
        <v/>
      </c>
      <c r="I74" s="2" t="n"/>
      <c r="J74" s="2" t="n"/>
    </row>
    <row r="75">
      <c r="A75" s="131" t="inlineStr">
        <is>
          <t>Остаток на конец дня:</t>
        </is>
      </c>
      <c r="B75" s="132">
        <f>B74-D74</f>
        <v/>
      </c>
      <c r="C75" s="56" t="n"/>
      <c r="D75" s="47" t="n"/>
      <c r="E75" s="100" t="inlineStr">
        <is>
          <t>Остаток на конец дня:</t>
        </is>
      </c>
      <c r="F75" s="101" t="n">
        <v>2428.5</v>
      </c>
      <c r="G75" s="56" t="n"/>
      <c r="H75" s="47" t="n"/>
      <c r="I75" s="2" t="n"/>
      <c r="J75" s="2" t="n"/>
    </row>
    <row r="76">
      <c r="A76" s="133" t="inlineStr">
        <is>
          <t>ИТОГО:</t>
        </is>
      </c>
      <c r="B76" s="47" t="n"/>
      <c r="C76" s="134" t="n">
        <v>448458.87</v>
      </c>
      <c r="D76" s="56" t="n"/>
      <c r="E76" s="56" t="n"/>
      <c r="F76" s="56" t="n"/>
      <c r="G76" s="56" t="n"/>
      <c r="H76" s="47" t="n"/>
      <c r="I76" s="2" t="n"/>
      <c r="J76" s="2" t="n"/>
    </row>
    <row r="77">
      <c r="A77" s="41" t="n"/>
      <c r="B77" s="94" t="n"/>
      <c r="C77" s="43" t="n"/>
      <c r="D77" s="41" t="n"/>
      <c r="E77" s="41" t="n"/>
      <c r="F77" s="41" t="n"/>
      <c r="G77" s="41" t="n"/>
      <c r="H77" s="93" t="n"/>
      <c r="I77" s="135" t="n"/>
      <c r="J77" s="135" t="n"/>
    </row>
    <row r="78">
      <c r="A78" s="136" t="n"/>
      <c r="B78" s="137" t="inlineStr">
        <is>
          <t>Реализация по безналичному расчёту</t>
        </is>
      </c>
      <c r="D78" s="2" t="n"/>
      <c r="E78" s="41" t="n"/>
      <c r="F78" s="41" t="n"/>
      <c r="G78" s="41" t="n"/>
      <c r="H78" s="138" t="n"/>
      <c r="I78" s="2" t="n"/>
      <c r="J78" s="2" t="n"/>
    </row>
    <row r="79">
      <c r="A79" s="139" t="inlineStr">
        <is>
          <t>Контрагент</t>
        </is>
      </c>
      <c r="B79" s="140" t="inlineStr">
        <is>
          <t>поставщик</t>
        </is>
      </c>
      <c r="C79" s="141" t="inlineStr">
        <is>
          <t>наименование</t>
        </is>
      </c>
      <c r="D79" s="142" t="inlineStr">
        <is>
          <t>вес упаковки, тарелки</t>
        </is>
      </c>
      <c r="E79" s="143" t="inlineStr">
        <is>
          <t>кол.-во пакетов, коробок</t>
        </is>
      </c>
      <c r="F79" s="144" t="inlineStr">
        <is>
          <t>кол-во мест в коробке/упаковке</t>
        </is>
      </c>
      <c r="G79" s="145" t="inlineStr">
        <is>
          <t>общий вес, кг.</t>
        </is>
      </c>
      <c r="H79" s="146" t="inlineStr">
        <is>
          <t>цена пакет, тарелка</t>
        </is>
      </c>
      <c r="I79" s="147" t="inlineStr">
        <is>
          <t>сумма</t>
        </is>
      </c>
      <c r="J79" s="148" t="inlineStr">
        <is>
          <t>Комментарий</t>
        </is>
      </c>
    </row>
    <row r="80">
      <c r="A80" s="150" t="inlineStr">
        <is>
          <t>ЭЛЕМЕНТ-ТРЕЙД ООО</t>
        </is>
      </c>
      <c r="B80" s="151" t="inlineStr">
        <is>
          <t>ООО Снекпром</t>
        </is>
      </c>
      <c r="C80" s="272" t="inlineStr">
        <is>
          <t>Ассорти арахиса жареного со специями, тарелка 200 г</t>
        </is>
      </c>
      <c r="D80" s="155" t="n">
        <v>0.2</v>
      </c>
      <c r="E80" s="154" t="n">
        <v>1440</v>
      </c>
      <c r="F80" s="155" t="n">
        <v>18</v>
      </c>
      <c r="G80" s="154">
        <f>E80*D80</f>
        <v/>
      </c>
      <c r="H80" s="156" t="n">
        <v>98</v>
      </c>
      <c r="I80" s="156">
        <f>H80*E80</f>
        <v/>
      </c>
      <c r="J80" s="157" t="inlineStr">
        <is>
          <t>Нефтеюганск</t>
        </is>
      </c>
    </row>
    <row r="81">
      <c r="A81" s="150" t="n"/>
      <c r="B81" s="151" t="n"/>
      <c r="C81" s="158" t="n"/>
      <c r="D81" s="155" t="n"/>
      <c r="E81" s="154" t="n"/>
      <c r="F81" s="155" t="n"/>
      <c r="G81" s="154" t="n"/>
      <c r="H81" s="156" t="n"/>
      <c r="I81" s="156" t="n"/>
      <c r="J81" s="322" t="n"/>
    </row>
    <row r="82">
      <c r="A82" s="150" t="n"/>
      <c r="B82" s="151" t="n"/>
      <c r="C82" s="158" t="n"/>
      <c r="D82" s="155" t="n"/>
      <c r="E82" s="154" t="n"/>
      <c r="F82" s="155" t="n"/>
      <c r="G82" s="154" t="n"/>
      <c r="H82" s="156" t="n"/>
      <c r="I82" s="156" t="n"/>
      <c r="J82" s="159" t="n"/>
    </row>
    <row r="83">
      <c r="A83" s="150" t="n"/>
      <c r="B83" s="151" t="n"/>
      <c r="C83" s="158" t="n"/>
      <c r="D83" s="153" t="n"/>
      <c r="E83" s="154" t="n"/>
      <c r="F83" s="155" t="n"/>
      <c r="G83" s="154" t="n"/>
      <c r="H83" s="156" t="n"/>
      <c r="I83" s="156" t="n"/>
      <c r="J83" s="159" t="n"/>
    </row>
    <row r="84">
      <c r="A84" s="150" t="n"/>
      <c r="B84" s="151" t="n"/>
      <c r="C84" s="152" t="n"/>
      <c r="D84" s="153" t="n"/>
      <c r="E84" s="154" t="n"/>
      <c r="F84" s="155" t="n"/>
      <c r="G84" s="154" t="n"/>
      <c r="H84" s="156" t="n"/>
      <c r="I84" s="156" t="n"/>
      <c r="J84" s="159" t="n"/>
    </row>
    <row r="85">
      <c r="A85" s="150" t="n"/>
      <c r="B85" s="151" t="n"/>
      <c r="C85" s="152" t="n"/>
      <c r="D85" s="153" t="n"/>
      <c r="E85" s="154" t="n"/>
      <c r="F85" s="155" t="n"/>
      <c r="G85" s="154" t="n"/>
      <c r="H85" s="156" t="n"/>
      <c r="I85" s="156" t="n"/>
      <c r="J85" s="159" t="n"/>
    </row>
    <row r="86">
      <c r="A86" s="150" t="n"/>
      <c r="B86" s="150" t="n"/>
      <c r="C86" s="160" t="n"/>
      <c r="D86" s="153" t="n"/>
      <c r="E86" s="154" t="n"/>
      <c r="F86" s="155" t="n"/>
      <c r="G86" s="154" t="n"/>
      <c r="H86" s="156" t="n"/>
      <c r="I86" s="156" t="n"/>
      <c r="J86" s="161" t="n"/>
    </row>
    <row r="87">
      <c r="A87" s="162" t="n"/>
      <c r="B87" s="163" t="n"/>
      <c r="C87" s="164" t="n"/>
      <c r="D87" s="165" t="n"/>
      <c r="E87" s="166" t="n"/>
      <c r="F87" s="167" t="n"/>
      <c r="G87" s="168" t="n"/>
      <c r="H87" s="169" t="n"/>
      <c r="I87" s="170" t="n"/>
      <c r="J87" s="161" t="n"/>
    </row>
    <row r="88">
      <c r="A88" s="162" t="n"/>
      <c r="B88" s="163" t="n"/>
      <c r="C88" s="171" t="n"/>
      <c r="D88" s="153" t="n"/>
      <c r="E88" s="172" t="n"/>
      <c r="F88" s="155" t="n"/>
      <c r="G88" s="168" t="n"/>
      <c r="H88" s="156" t="n"/>
      <c r="I88" s="170" t="n"/>
      <c r="J88" s="161" t="n"/>
    </row>
    <row r="89">
      <c r="A89" s="162" t="n"/>
      <c r="B89" s="163" t="n"/>
      <c r="C89" s="171" t="n"/>
      <c r="D89" s="153" t="n"/>
      <c r="E89" s="172" t="n"/>
      <c r="F89" s="155" t="n"/>
      <c r="G89" s="168" t="n"/>
      <c r="H89" s="156" t="n"/>
      <c r="I89" s="170" t="n"/>
      <c r="J89" s="161" t="n"/>
    </row>
    <row r="90">
      <c r="A90" s="162" t="n"/>
      <c r="B90" s="163" t="n"/>
      <c r="C90" s="171" t="n"/>
      <c r="D90" s="153" t="n"/>
      <c r="E90" s="172" t="n"/>
      <c r="F90" s="155" t="n"/>
      <c r="G90" s="168" t="n"/>
      <c r="H90" s="156" t="n"/>
      <c r="I90" s="170" t="n"/>
      <c r="J90" s="161" t="n"/>
    </row>
    <row r="91">
      <c r="A91" s="162" t="n"/>
      <c r="B91" s="163" t="n"/>
      <c r="C91" s="171" t="n"/>
      <c r="D91" s="153" t="n"/>
      <c r="E91" s="172" t="n"/>
      <c r="F91" s="155" t="n"/>
      <c r="G91" s="168" t="n"/>
      <c r="H91" s="156" t="n"/>
      <c r="I91" s="170" t="n"/>
      <c r="J91" s="161" t="n"/>
    </row>
    <row r="92">
      <c r="A92" s="173" t="n"/>
      <c r="B92" s="174" t="n"/>
      <c r="C92" s="175" t="n"/>
      <c r="D92" s="176" t="n"/>
      <c r="E92" s="177" t="n"/>
      <c r="F92" s="178" t="n"/>
      <c r="G92" s="179" t="n"/>
      <c r="H92" s="180" t="n"/>
      <c r="I92" s="181" t="n"/>
      <c r="J92" s="161" t="n"/>
    </row>
    <row r="93">
      <c r="A93" s="182" t="n"/>
      <c r="B93" s="163" t="n"/>
      <c r="C93" s="183" t="n"/>
      <c r="D93" s="184" t="n"/>
      <c r="E93" s="166" t="n"/>
      <c r="F93" s="167" t="n"/>
      <c r="G93" s="185">
        <f>D93*F93</f>
        <v/>
      </c>
      <c r="H93" s="186" t="n"/>
      <c r="I93" s="186">
        <f>F93*H93*E93</f>
        <v/>
      </c>
      <c r="J93" s="187" t="n"/>
    </row>
    <row r="94">
      <c r="A94" s="182" t="n"/>
      <c r="B94" s="163" t="n"/>
      <c r="C94" s="188" t="n"/>
      <c r="D94" s="189" t="n"/>
      <c r="E94" s="190" t="n"/>
      <c r="F94" s="189" t="n"/>
      <c r="G94" s="185">
        <f>D94*F94</f>
        <v/>
      </c>
      <c r="H94" s="191" t="n"/>
      <c r="I94" s="186">
        <f>F94*H94*E94</f>
        <v/>
      </c>
      <c r="J94" s="187" t="n"/>
    </row>
    <row r="95">
      <c r="A95" s="192" t="inlineStr">
        <is>
          <t>ИТОГО:</t>
        </is>
      </c>
      <c r="B95" s="193" t="n"/>
      <c r="C95" s="194" t="n"/>
      <c r="D95" s="195" t="n"/>
      <c r="E95" s="196">
        <f>SUM(E80:E94)</f>
        <v/>
      </c>
      <c r="F95" s="197">
        <f>SUM(F80:F92)</f>
        <v/>
      </c>
      <c r="G95" s="198">
        <f>SUM(G80:G87)</f>
        <v/>
      </c>
      <c r="H95" s="199" t="n"/>
      <c r="I95" s="199">
        <f>SUM(I80:I88)</f>
        <v/>
      </c>
      <c r="J95" s="200" t="n"/>
    </row>
    <row r="96">
      <c r="A96" s="2" t="n"/>
      <c r="B96" s="94" t="n"/>
      <c r="C96" s="43" t="n"/>
      <c r="D96" s="41" t="n"/>
      <c r="E96" s="41" t="n"/>
      <c r="F96" s="41" t="n"/>
      <c r="G96" s="41" t="n"/>
      <c r="H96" s="2" t="n"/>
      <c r="I96" s="2" t="n"/>
      <c r="J96" s="2" t="n"/>
    </row>
    <row r="97">
      <c r="A97" s="201" t="inlineStr">
        <is>
          <t>реализация Всего касса+безнал:</t>
        </is>
      </c>
      <c r="B97" s="202" t="inlineStr">
        <is>
          <t>кг</t>
        </is>
      </c>
      <c r="C97" s="203" t="inlineStr">
        <is>
          <t>на сумму</t>
        </is>
      </c>
      <c r="D97" s="41" t="n"/>
      <c r="E97" s="41" t="n"/>
      <c r="F97" s="41" t="n"/>
      <c r="G97" s="41" t="n"/>
      <c r="H97" s="2" t="n"/>
      <c r="I97" s="2" t="n"/>
      <c r="J97" s="2" t="n"/>
    </row>
    <row r="98">
      <c r="A98" s="204" t="n"/>
      <c r="B98" s="205">
        <f>E27+G95</f>
        <v/>
      </c>
      <c r="C98" s="206">
        <f>I27+H95+I95</f>
        <v/>
      </c>
      <c r="D98" s="41" t="n"/>
      <c r="E98" s="41" t="n"/>
      <c r="F98" s="41" t="n"/>
      <c r="G98" s="41" t="n"/>
      <c r="H98" s="2" t="n"/>
      <c r="I98" s="2" t="n"/>
      <c r="J98" s="2" t="n"/>
    </row>
    <row r="99">
      <c r="A99" s="207" t="inlineStr">
        <is>
          <t>Услуги оказывают нам (доставка сырья и комплектующих на склад, Товара покупателям)</t>
        </is>
      </c>
      <c r="B99" s="54" t="n"/>
      <c r="C99" s="54" t="n"/>
      <c r="D99" s="54" t="n"/>
      <c r="E99" s="54" t="n"/>
      <c r="F99" s="54" t="n"/>
      <c r="G99" s="54" t="n"/>
      <c r="H99" s="54" t="n"/>
      <c r="I99" s="291" t="n"/>
      <c r="J99" s="58" t="n"/>
    </row>
    <row r="100">
      <c r="A100" s="209" t="inlineStr">
        <is>
          <t>Контрагент</t>
        </is>
      </c>
      <c r="B100" s="210" t="inlineStr">
        <is>
          <t>вид услуги</t>
        </is>
      </c>
      <c r="C100" s="211" t="inlineStr">
        <is>
          <t>Кому / От кого</t>
        </is>
      </c>
      <c r="D100" s="212" t="inlineStr">
        <is>
          <t>наименование</t>
        </is>
      </c>
      <c r="E100" s="213" t="inlineStr">
        <is>
          <t xml:space="preserve">город доставки </t>
        </is>
      </c>
      <c r="F100" s="214" t="inlineStr">
        <is>
          <t>цена</t>
        </is>
      </c>
      <c r="G100" s="213" t="inlineStr">
        <is>
          <t>сумма</t>
        </is>
      </c>
      <c r="H100" s="212" t="inlineStr">
        <is>
          <t>за тонну</t>
        </is>
      </c>
      <c r="I100" s="291" t="n"/>
      <c r="J100" s="58" t="n"/>
    </row>
    <row r="101">
      <c r="A101" s="215" t="inlineStr">
        <is>
          <t xml:space="preserve">ИП Савин </t>
        </is>
      </c>
      <c r="B101" s="60" t="inlineStr">
        <is>
          <t>доставка</t>
        </is>
      </c>
      <c r="C101" s="63" t="inlineStr">
        <is>
          <t>Снекпром- Пластик</t>
        </is>
      </c>
      <c r="D101" s="226" t="inlineStr">
        <is>
          <t>плпастиковые тарелки</t>
        </is>
      </c>
      <c r="E101" s="317" t="inlineStr">
        <is>
          <t>Рязань</t>
        </is>
      </c>
      <c r="F101" s="62" t="n">
        <v>8000</v>
      </c>
      <c r="G101" s="218">
        <f>F101+F1219</f>
        <v/>
      </c>
      <c r="H101" s="305" t="n"/>
      <c r="I101" s="291" t="n"/>
      <c r="J101" s="58" t="n"/>
    </row>
    <row r="102">
      <c r="A102" s="215" t="n"/>
      <c r="B102" s="60" t="inlineStr">
        <is>
          <t>доставка</t>
        </is>
      </c>
      <c r="C102" s="63" t="inlineStr">
        <is>
          <t>FM Logistic-Снекпром</t>
        </is>
      </c>
      <c r="D102" s="226" t="inlineStr">
        <is>
          <t>арахис</t>
        </is>
      </c>
      <c r="E102" s="217" t="inlineStr">
        <is>
          <t>Подольск</t>
        </is>
      </c>
      <c r="F102" s="62" t="n">
        <v>17000</v>
      </c>
      <c r="G102" s="218">
        <f>F102+F1220</f>
        <v/>
      </c>
      <c r="H102" s="305" t="n"/>
      <c r="I102" s="315" t="n"/>
      <c r="J102" s="58" t="n"/>
    </row>
    <row r="103">
      <c r="A103" s="220" t="n"/>
      <c r="B103" s="60" t="inlineStr">
        <is>
          <t>доставка</t>
        </is>
      </c>
      <c r="C103" s="63" t="inlineStr">
        <is>
          <t>Снекпром-ТД Крахмал продукт</t>
        </is>
      </c>
      <c r="D103" s="226" t="inlineStr">
        <is>
          <t>патока</t>
        </is>
      </c>
      <c r="E103" s="274" t="inlineStr">
        <is>
          <t>Москва</t>
        </is>
      </c>
      <c r="F103" s="223" t="n">
        <v>27000</v>
      </c>
      <c r="G103" s="218">
        <f>F103+F1221</f>
        <v/>
      </c>
      <c r="H103" s="305" t="n"/>
      <c r="I103" s="2" t="n"/>
      <c r="J103" s="2" t="n"/>
    </row>
    <row r="104">
      <c r="A104" s="220" t="n"/>
      <c r="B104" s="60" t="inlineStr">
        <is>
          <t>доставка</t>
        </is>
      </c>
      <c r="C104" s="221" t="inlineStr">
        <is>
          <t>Снекпром-Экоресурс</t>
        </is>
      </c>
      <c r="D104" s="222" t="inlineStr">
        <is>
          <t>диоксид титана</t>
        </is>
      </c>
      <c r="E104" s="274" t="inlineStr">
        <is>
          <t>Москва</t>
        </is>
      </c>
      <c r="F104" s="223" t="n">
        <v>26000</v>
      </c>
      <c r="G104" s="218">
        <f>F104+F1222</f>
        <v/>
      </c>
      <c r="H104" s="219" t="n"/>
      <c r="I104" s="2" t="n"/>
      <c r="J104" s="2" t="n"/>
    </row>
    <row r="105">
      <c r="A105" s="220" t="inlineStr">
        <is>
          <t>FM Logistic</t>
        </is>
      </c>
      <c r="B105" s="60" t="inlineStr">
        <is>
          <t>доставка</t>
        </is>
      </c>
      <c r="C105" s="221" t="inlineStr">
        <is>
          <t>Снекпро-Элемент Трэйд</t>
        </is>
      </c>
      <c r="D105" s="226" t="inlineStr">
        <is>
          <t>арахис</t>
        </is>
      </c>
      <c r="E105" s="274" t="inlineStr">
        <is>
          <t>Нефтеюганск</t>
        </is>
      </c>
      <c r="F105" s="223" t="n">
        <v>13320</v>
      </c>
      <c r="G105" s="218">
        <f>F105+F1223</f>
        <v/>
      </c>
      <c r="H105" s="219" t="n"/>
      <c r="I105" s="2" t="n"/>
      <c r="J105" s="2" t="n"/>
    </row>
    <row r="106">
      <c r="A106" s="220" t="n"/>
      <c r="B106" s="60" t="n"/>
      <c r="C106" s="221" t="n"/>
      <c r="D106" s="226" t="n"/>
      <c r="E106" s="227" t="n"/>
      <c r="F106" s="223" t="n"/>
      <c r="G106" s="218">
        <f>F106+F1224</f>
        <v/>
      </c>
      <c r="H106" s="219" t="n"/>
      <c r="I106" s="2" t="n"/>
      <c r="J106" s="2" t="n"/>
    </row>
    <row r="107">
      <c r="A107" s="220" t="n"/>
      <c r="B107" s="60" t="n"/>
      <c r="C107" s="221" t="n"/>
      <c r="D107" s="226" t="n"/>
      <c r="E107" s="227" t="n"/>
      <c r="F107" s="223" t="n"/>
      <c r="G107" s="218">
        <f>F107+F1225</f>
        <v/>
      </c>
      <c r="H107" s="219" t="n"/>
      <c r="I107" s="2" t="n"/>
      <c r="J107" s="2" t="n"/>
    </row>
    <row r="108">
      <c r="A108" s="220" t="n"/>
      <c r="B108" s="60" t="n"/>
      <c r="C108" s="221" t="n"/>
      <c r="D108" s="226" t="n"/>
      <c r="E108" s="227" t="n"/>
      <c r="F108" s="223" t="n"/>
      <c r="G108" s="218">
        <f>F108+F1226</f>
        <v/>
      </c>
      <c r="H108" s="228" t="n"/>
      <c r="I108" s="2" t="n"/>
      <c r="J108" s="2" t="n"/>
    </row>
    <row r="109">
      <c r="A109" s="229" t="inlineStr">
        <is>
          <t>ИТОГО:</t>
        </is>
      </c>
      <c r="B109" s="230" t="n"/>
      <c r="C109" s="231" t="n"/>
      <c r="D109" s="232" t="n"/>
      <c r="E109" s="233">
        <f>SUM(E101:E108)</f>
        <v/>
      </c>
      <c r="F109" s="234" t="n"/>
      <c r="G109" s="235">
        <f>SUM(G101:G108)</f>
        <v/>
      </c>
      <c r="H109" s="235" t="n"/>
      <c r="I109" s="2" t="n"/>
      <c r="J109" s="2" t="n"/>
    </row>
    <row r="110">
      <c r="A110" s="41" t="n"/>
      <c r="B110" s="94" t="n"/>
      <c r="C110" s="43" t="n"/>
      <c r="D110" s="41" t="n"/>
      <c r="E110" s="41" t="n"/>
      <c r="F110" s="41" t="n"/>
      <c r="G110" s="41" t="n"/>
      <c r="H110" s="41" t="n"/>
      <c r="I110" s="2" t="n"/>
      <c r="J110" s="2" t="n"/>
    </row>
    <row r="111">
      <c r="A111" s="236" t="inlineStr">
        <is>
          <t>Услуги оказываем мы</t>
        </is>
      </c>
      <c r="B111" s="54" t="n"/>
      <c r="C111" s="54" t="n"/>
      <c r="D111" s="54" t="n"/>
      <c r="E111" s="54" t="n"/>
      <c r="F111" s="54" t="n"/>
      <c r="G111" s="54" t="n"/>
      <c r="H111" s="54" t="n"/>
      <c r="I111" s="237" t="n"/>
      <c r="J111" s="2" t="n"/>
    </row>
    <row r="112">
      <c r="A112" s="209" t="inlineStr">
        <is>
          <t>Контрагент</t>
        </is>
      </c>
      <c r="B112" s="238" t="inlineStr">
        <is>
          <t>вид услуги</t>
        </is>
      </c>
      <c r="C112" s="239" t="inlineStr">
        <is>
          <t>наименование</t>
        </is>
      </c>
      <c r="D112" s="240" t="inlineStr">
        <is>
          <t>вес, кг, шт</t>
        </is>
      </c>
      <c r="E112" s="240" t="inlineStr">
        <is>
          <t>цена</t>
        </is>
      </c>
      <c r="F112" s="240" t="inlineStr">
        <is>
          <t>сумма</t>
        </is>
      </c>
      <c r="G112" s="213" t="inlineStr">
        <is>
          <t>№УПД</t>
        </is>
      </c>
      <c r="H112" s="213" t="n"/>
      <c r="I112" s="2" t="n"/>
      <c r="J112" s="2" t="n"/>
    </row>
    <row r="113">
      <c r="A113" s="275" t="n"/>
      <c r="B113" s="276" t="n"/>
      <c r="C113" s="243" t="n"/>
      <c r="D113" s="244" t="n"/>
      <c r="E113" s="277" t="n"/>
      <c r="F113" s="278" t="n"/>
      <c r="G113" s="247" t="n"/>
      <c r="H113" s="248" t="n"/>
      <c r="I113" s="2" t="n"/>
      <c r="J113" s="2" t="n"/>
    </row>
    <row r="114">
      <c r="A114" s="249" t="n"/>
      <c r="B114" s="250" t="n"/>
      <c r="C114" s="251" t="n"/>
      <c r="D114" s="252" t="n"/>
      <c r="E114" s="253" t="n"/>
      <c r="F114" s="254">
        <f>D114*E114</f>
        <v/>
      </c>
      <c r="G114" s="255" t="n"/>
      <c r="H114" s="256" t="n"/>
      <c r="I114" s="2" t="n"/>
      <c r="J114" s="2" t="n"/>
    </row>
    <row r="115">
      <c r="A115" s="257" t="n"/>
      <c r="B115" s="258" t="n"/>
      <c r="C115" s="257" t="n"/>
      <c r="D115" s="257" t="n"/>
      <c r="E115" s="257" t="n"/>
      <c r="F115" s="254">
        <f>D115*E115</f>
        <v/>
      </c>
      <c r="G115" s="257" t="n"/>
      <c r="H115" s="257" t="n"/>
      <c r="I115" s="2" t="n"/>
      <c r="J115" s="2" t="n"/>
    </row>
    <row r="116">
      <c r="A116" s="249" t="n"/>
      <c r="B116" s="258" t="n"/>
      <c r="C116" s="257" t="n"/>
      <c r="D116" s="259" t="n"/>
      <c r="E116" s="257" t="n"/>
      <c r="F116" s="260" t="n"/>
      <c r="G116" s="257" t="n"/>
      <c r="H116" s="257" t="n"/>
      <c r="I116" s="2" t="n"/>
      <c r="J116" s="2" t="n"/>
    </row>
    <row r="117">
      <c r="A117" s="2" t="n"/>
      <c r="B117" s="261" t="n"/>
      <c r="C117" s="2" t="n"/>
      <c r="D117" s="2" t="n"/>
      <c r="E117" s="2" t="n"/>
      <c r="F117" s="262" t="n"/>
      <c r="G117" s="2" t="n"/>
      <c r="H117" s="2" t="n"/>
      <c r="I117" s="263" t="n"/>
      <c r="J117" s="264" t="n"/>
    </row>
  </sheetData>
  <mergeCells count="6">
    <mergeCell ref="A56:H56"/>
    <mergeCell ref="A1:J1"/>
    <mergeCell ref="A99:H99"/>
    <mergeCell ref="A2:J2"/>
    <mergeCell ref="A32:H32"/>
    <mergeCell ref="A111:H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8.875" customWidth="1" min="6" max="6"/>
    <col width="9.625" customWidth="1" min="7" max="7"/>
    <col width="11.125" customWidth="1" min="8" max="8"/>
    <col width="18.2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n"/>
      <c r="C4" s="268" t="n"/>
      <c r="D4" s="269" t="n"/>
      <c r="E4" s="17" t="n"/>
      <c r="F4" s="17" t="n"/>
      <c r="G4" s="270" t="n"/>
      <c r="H4" s="19" t="n"/>
      <c r="I4" s="19" t="n"/>
      <c r="J4" s="20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44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244" t="n"/>
      <c r="C7" s="268" t="n"/>
      <c r="D7" s="269" t="n"/>
      <c r="E7" s="17" t="n"/>
      <c r="F7" s="17" t="n"/>
      <c r="G7" s="270" t="n"/>
      <c r="H7" s="19" t="n"/>
      <c r="I7" s="19" t="n"/>
      <c r="J7" s="20" t="n"/>
    </row>
    <row r="8">
      <c r="A8" s="13" t="n"/>
      <c r="B8" s="244" t="n"/>
      <c r="C8" s="268" t="n"/>
      <c r="D8" s="269" t="n"/>
      <c r="E8" s="17" t="n"/>
      <c r="F8" s="17" t="n"/>
      <c r="G8" s="270" t="n"/>
      <c r="H8" s="19" t="n"/>
      <c r="I8" s="19" t="n"/>
      <c r="J8" s="20" t="n"/>
    </row>
    <row r="9">
      <c r="A9" s="13" t="n"/>
      <c r="B9" s="244" t="n"/>
      <c r="C9" s="268" t="n"/>
      <c r="D9" s="269" t="n"/>
      <c r="E9" s="17" t="n"/>
      <c r="F9" s="17" t="n"/>
      <c r="G9" s="270" t="n"/>
      <c r="H9" s="19" t="n"/>
      <c r="I9" s="19" t="n"/>
      <c r="J9" s="20" t="n"/>
    </row>
    <row r="10">
      <c r="A10" s="13" t="n"/>
      <c r="B10" s="267" t="n"/>
      <c r="C10" s="267" t="n"/>
      <c r="D10" s="269" t="n"/>
      <c r="E10" s="17" t="n"/>
      <c r="F10" s="17" t="n"/>
      <c r="G10" s="270" t="n"/>
      <c r="H10" s="19" t="n"/>
      <c r="I10" s="19" t="n"/>
      <c r="J10" s="20" t="n"/>
    </row>
    <row r="11">
      <c r="A11" s="13" t="n"/>
      <c r="B11" s="30" t="n"/>
      <c r="C11" s="267" t="n"/>
      <c r="D11" s="269" t="n"/>
      <c r="E11" s="17" t="n"/>
      <c r="F11" s="17" t="n"/>
      <c r="G11" s="270" t="n"/>
      <c r="H11" s="19" t="n"/>
      <c r="I11" s="19" t="n"/>
      <c r="J11" s="20" t="n"/>
    </row>
    <row r="12">
      <c r="A12" s="13" t="n"/>
      <c r="B12" s="30" t="n"/>
      <c r="C12" s="268" t="n"/>
      <c r="D12" s="269" t="n"/>
      <c r="E12" s="17" t="n"/>
      <c r="F12" s="17" t="n"/>
      <c r="G12" s="270" t="n"/>
      <c r="H12" s="19" t="n"/>
      <c r="I12" s="19" t="n"/>
      <c r="J12" s="20" t="n"/>
    </row>
    <row r="13">
      <c r="A13" s="13" t="n"/>
      <c r="B13" s="30" t="n"/>
      <c r="C13" s="268" t="n"/>
      <c r="D13" s="269" t="n"/>
      <c r="E13" s="17" t="n"/>
      <c r="F13" s="17" t="n"/>
      <c r="G13" s="270" t="n"/>
      <c r="H13" s="19" t="n"/>
      <c r="I13" s="19" t="n"/>
      <c r="J13" s="20" t="n"/>
    </row>
    <row r="14">
      <c r="A14" s="13" t="n"/>
      <c r="B14" s="30" t="n"/>
      <c r="C14" s="268" t="n"/>
      <c r="D14" s="269" t="n"/>
      <c r="E14" s="17" t="n"/>
      <c r="F14" s="17" t="n"/>
      <c r="G14" s="270" t="n"/>
      <c r="H14" s="19" t="n"/>
      <c r="I14" s="19" t="n"/>
      <c r="J14" s="20" t="n"/>
    </row>
    <row r="15">
      <c r="A15" s="13" t="n"/>
      <c r="B15" s="30" t="n"/>
      <c r="C15" s="268" t="n"/>
      <c r="D15" s="269" t="n"/>
      <c r="E15" s="17" t="n"/>
      <c r="F15" s="17" t="n"/>
      <c r="G15" s="270" t="n"/>
      <c r="H15" s="19" t="n"/>
      <c r="I15" s="19" t="n"/>
      <c r="J15" s="20" t="n"/>
    </row>
    <row r="16">
      <c r="A16" s="13" t="n"/>
      <c r="B16" s="30" t="n"/>
      <c r="C16" s="268" t="n"/>
      <c r="D16" s="269" t="n"/>
      <c r="E16" s="17" t="n"/>
      <c r="F16" s="17" t="n"/>
      <c r="G16" s="270" t="n"/>
      <c r="H16" s="19" t="n"/>
      <c r="I16" s="19" t="n"/>
      <c r="J16" s="20" t="n"/>
    </row>
    <row r="17">
      <c r="A17" s="13" t="n"/>
      <c r="B17" s="30" t="n"/>
      <c r="C17" s="268" t="n"/>
      <c r="D17" s="269" t="n"/>
      <c r="E17" s="17" t="n"/>
      <c r="F17" s="17" t="n"/>
      <c r="G17" s="270" t="n"/>
      <c r="H17" s="19" t="n"/>
      <c r="I17" s="19" t="n"/>
      <c r="J17" s="20" t="n"/>
    </row>
    <row r="18">
      <c r="A18" s="13" t="n"/>
      <c r="B18" s="267" t="n"/>
      <c r="C18" s="268" t="n"/>
      <c r="D18" s="269" t="n"/>
      <c r="E18" s="16" t="n"/>
      <c r="F18" s="17" t="n"/>
      <c r="G18" s="270" t="n"/>
      <c r="H18" s="19" t="n"/>
      <c r="I18" s="19" t="n"/>
      <c r="J18" s="20" t="n"/>
    </row>
    <row r="19">
      <c r="A19" s="13" t="n"/>
      <c r="B19" s="30" t="n"/>
      <c r="C19" s="268" t="n"/>
      <c r="D19" s="269" t="n"/>
      <c r="E19" s="16" t="n"/>
      <c r="F19" s="17" t="n"/>
      <c r="G19" s="270" t="n"/>
      <c r="H19" s="19" t="n"/>
      <c r="I19" s="19" t="n"/>
      <c r="J19" s="20" t="n"/>
    </row>
    <row r="20">
      <c r="A20" s="13" t="n"/>
      <c r="B20" s="30" t="n"/>
      <c r="C20" s="268" t="n"/>
      <c r="D20" s="269" t="n"/>
      <c r="E20" s="16" t="n"/>
      <c r="F20" s="17" t="n"/>
      <c r="G20" s="270" t="n"/>
      <c r="H20" s="19" t="n"/>
      <c r="I20" s="19" t="n"/>
      <c r="J20" s="20" t="n"/>
    </row>
    <row r="21">
      <c r="A21" s="13" t="n"/>
      <c r="B21" s="30" t="n"/>
      <c r="C21" s="268" t="n"/>
      <c r="D21" s="269" t="n"/>
      <c r="E21" s="16" t="n"/>
      <c r="F21" s="17" t="n"/>
      <c r="G21" s="270" t="n"/>
      <c r="H21" s="19" t="n"/>
      <c r="I21" s="19" t="n"/>
      <c r="J21" s="20" t="n"/>
    </row>
    <row r="22">
      <c r="A22" s="13" t="n"/>
      <c r="B22" s="30" t="n"/>
      <c r="C22" s="268" t="n"/>
      <c r="D22" s="269" t="n"/>
      <c r="E22" s="16" t="n"/>
      <c r="F22" s="17" t="n"/>
      <c r="G22" s="270" t="n"/>
      <c r="H22" s="19" t="n"/>
      <c r="I22" s="19" t="n"/>
      <c r="J22" s="20" t="n"/>
    </row>
    <row r="23">
      <c r="A23" s="13" t="n"/>
      <c r="B23" s="30" t="n"/>
      <c r="C23" s="268" t="n"/>
      <c r="D23" s="269" t="n"/>
      <c r="E23" s="16" t="n"/>
      <c r="F23" s="17" t="n"/>
      <c r="G23" s="270" t="n"/>
      <c r="H23" s="19" t="n"/>
      <c r="I23" s="19" t="n"/>
      <c r="J23" s="20" t="n"/>
    </row>
    <row r="24">
      <c r="A24" s="13" t="n"/>
      <c r="B24" s="30" t="n"/>
      <c r="C24" s="21" t="n"/>
      <c r="D24" s="26" t="n"/>
      <c r="E24" s="16" t="n"/>
      <c r="F24" s="17" t="n"/>
      <c r="G24" s="270" t="n"/>
      <c r="H24" s="19" t="n"/>
      <c r="I24" s="19" t="n"/>
      <c r="J24" s="20" t="n"/>
    </row>
    <row r="25">
      <c r="A25" s="13" t="n"/>
      <c r="B25" s="30" t="n"/>
      <c r="C25" s="21" t="n"/>
      <c r="D25" s="26" t="n"/>
      <c r="E25" s="16" t="n"/>
      <c r="F25" s="17" t="n"/>
      <c r="G25" s="270" t="n"/>
      <c r="H25" s="19" t="n"/>
      <c r="I25" s="19" t="n"/>
      <c r="J25" s="20" t="n"/>
    </row>
    <row r="26">
      <c r="A26" s="29" t="n"/>
      <c r="B26" s="30" t="n"/>
      <c r="C26" s="21" t="n"/>
      <c r="D26" s="26" t="n"/>
      <c r="E26" s="16" t="n"/>
      <c r="F26" s="17" t="n"/>
      <c r="G26" s="270" t="n"/>
      <c r="H26" s="19" t="n"/>
      <c r="I26" s="19" t="n"/>
      <c r="J26" s="32" t="n"/>
    </row>
    <row r="27">
      <c r="A27" s="33" t="n"/>
      <c r="B27" s="34" t="n"/>
      <c r="C27" s="35" t="n"/>
      <c r="D27" s="33" t="n"/>
      <c r="E27" s="36">
        <f>SUM(E4:E26)</f>
        <v/>
      </c>
      <c r="F27" s="36">
        <f>SUM(F4:F26)</f>
        <v/>
      </c>
      <c r="G27" s="37">
        <f>SUM(G4:G26)</f>
        <v/>
      </c>
      <c r="H27" s="38" t="n"/>
      <c r="I27" s="39">
        <f>SUM(I4:I26)</f>
        <v/>
      </c>
      <c r="J27" s="40" t="n"/>
    </row>
    <row r="28">
      <c r="A28" s="41" t="n"/>
      <c r="B28" s="42" t="n"/>
      <c r="C28" s="43" t="n"/>
      <c r="D28" s="41" t="n"/>
      <c r="E28" s="41" t="n"/>
      <c r="F28" s="41" t="n"/>
      <c r="G28" s="41" t="n"/>
      <c r="H28" s="41" t="n"/>
      <c r="I28" s="2" t="n"/>
      <c r="J28" s="2" t="n"/>
    </row>
    <row r="29">
      <c r="A29" s="44" t="inlineStr">
        <is>
          <t xml:space="preserve">Поступление от </t>
        </is>
      </c>
      <c r="B29" s="45" t="inlineStr">
        <is>
          <t>сумма</t>
        </is>
      </c>
      <c r="C29" s="46" t="inlineStr">
        <is>
          <t>примечание</t>
        </is>
      </c>
      <c r="D29" s="47" t="n"/>
      <c r="E29" s="41" t="n"/>
      <c r="F29" s="41" t="n"/>
      <c r="G29" s="41" t="n"/>
      <c r="H29" s="41" t="n"/>
      <c r="I29" s="2" t="n"/>
      <c r="J29" s="2" t="n"/>
    </row>
    <row r="30">
      <c r="A30" s="48" t="n"/>
      <c r="B30" s="49" t="n"/>
      <c r="C30" s="50" t="n"/>
      <c r="D30" s="47" t="n"/>
      <c r="E30" s="41" t="n"/>
      <c r="F30" s="41" t="n"/>
      <c r="G30" s="41" t="n"/>
      <c r="H30" s="41" t="n"/>
      <c r="I30" s="2" t="n"/>
      <c r="J30" s="2" t="n"/>
    </row>
    <row r="31">
      <c r="A31" s="29" t="n"/>
      <c r="B31" s="51" t="n"/>
      <c r="C31" s="52" t="n"/>
      <c r="D31" s="47" t="n"/>
      <c r="E31" s="41" t="n"/>
      <c r="F31" s="41" t="n"/>
      <c r="G31" s="41" t="n"/>
      <c r="H31" s="41" t="n"/>
      <c r="I31" s="2" t="n"/>
      <c r="J31" s="2" t="n"/>
    </row>
    <row r="32">
      <c r="A32" s="53" t="inlineStr">
        <is>
          <t>Касса</t>
        </is>
      </c>
      <c r="B32" s="54" t="n"/>
      <c r="C32" s="54" t="n"/>
      <c r="D32" s="54" t="n"/>
      <c r="E32" s="54" t="n"/>
      <c r="F32" s="54" t="n"/>
      <c r="G32" s="54" t="n"/>
      <c r="H32" s="54" t="n"/>
      <c r="I32" s="2" t="n"/>
      <c r="J32" s="2" t="n"/>
    </row>
    <row r="33">
      <c r="A33" s="55" t="inlineStr">
        <is>
          <t>Производство</t>
        </is>
      </c>
      <c r="B33" s="56" t="n"/>
      <c r="C33" s="56" t="n"/>
      <c r="D33" s="47" t="n"/>
      <c r="E33" s="55" t="inlineStr">
        <is>
          <t xml:space="preserve">Бухгалтерия </t>
        </is>
      </c>
      <c r="F33" s="56" t="n"/>
      <c r="G33" s="56" t="n"/>
      <c r="H33" s="47" t="n"/>
      <c r="I33" s="57" t="n"/>
      <c r="J33" s="58" t="n"/>
    </row>
    <row r="34">
      <c r="A34" s="59" t="inlineStr">
        <is>
          <t>Остаток на начало дня:</t>
        </is>
      </c>
      <c r="B34" s="60" t="n"/>
      <c r="C34" s="61" t="n"/>
      <c r="D34" s="62" t="n">
        <v>726220.45</v>
      </c>
      <c r="E34" s="59" t="inlineStr">
        <is>
          <t>Остаток на начало дня:</t>
        </is>
      </c>
      <c r="F34" s="63" t="n"/>
      <c r="G34" s="61" t="n"/>
      <c r="H34" s="64" t="n">
        <v>0</v>
      </c>
      <c r="I34" s="65" t="n"/>
      <c r="J34" s="2" t="n"/>
    </row>
    <row r="35">
      <c r="A35" s="66" t="n"/>
      <c r="B35" s="67" t="n"/>
      <c r="C35" s="68" t="n"/>
      <c r="D35" s="68" t="n"/>
      <c r="E35" s="69" t="n"/>
      <c r="F35" s="70" t="n"/>
      <c r="G35" s="71" t="n"/>
      <c r="H35" s="72">
        <f>F35*G35</f>
        <v/>
      </c>
      <c r="I35" s="313" t="n"/>
      <c r="J35" s="313" t="n"/>
    </row>
    <row r="36">
      <c r="A36" s="66" t="n"/>
      <c r="B36" s="67" t="n"/>
      <c r="C36" s="68" t="n"/>
      <c r="D36" s="68" t="n"/>
      <c r="E36" s="69" t="n"/>
      <c r="F36" s="70" t="n"/>
      <c r="G36" s="71" t="n"/>
      <c r="H36" s="72">
        <f>F36*G36</f>
        <v/>
      </c>
      <c r="I36" s="2" t="n"/>
      <c r="J36" s="2" t="n"/>
    </row>
    <row r="37">
      <c r="A37" s="66" t="n"/>
      <c r="B37" s="67" t="n"/>
      <c r="C37" s="68" t="n"/>
      <c r="D37" s="68" t="n"/>
      <c r="E37" s="69" t="n"/>
      <c r="F37" s="70" t="n"/>
      <c r="G37" s="71" t="n"/>
      <c r="H37" s="72">
        <f>F37*G37</f>
        <v/>
      </c>
      <c r="I37" s="2" t="n"/>
      <c r="J37" s="2" t="n"/>
    </row>
    <row r="38">
      <c r="A38" s="66" t="n"/>
      <c r="B38" s="67" t="n"/>
      <c r="C38" s="68" t="n"/>
      <c r="D38" s="68" t="n"/>
      <c r="E38" s="69" t="n"/>
      <c r="F38" s="70" t="n"/>
      <c r="G38" s="71" t="n"/>
      <c r="H38" s="72">
        <f>F38*G38</f>
        <v/>
      </c>
      <c r="I38" s="2" t="n"/>
      <c r="J38" s="2" t="n"/>
    </row>
    <row r="39">
      <c r="A39" s="66" t="n"/>
      <c r="B39" s="73" t="n"/>
      <c r="C39" s="74" t="n"/>
      <c r="D39" s="75" t="n"/>
      <c r="E39" s="69" t="n"/>
      <c r="F39" s="70" t="n"/>
      <c r="G39" s="71" t="n"/>
      <c r="H39" s="72">
        <f>F39*G39</f>
        <v/>
      </c>
      <c r="I39" s="2" t="n"/>
      <c r="J39" s="2" t="n"/>
    </row>
    <row r="40">
      <c r="A40" s="76" t="n"/>
      <c r="B40" s="67" t="n"/>
      <c r="C40" s="68" t="n"/>
      <c r="D40" s="75" t="n"/>
      <c r="E40" s="77" t="inlineStr">
        <is>
          <t>Итого приход:</t>
        </is>
      </c>
      <c r="F40" s="78" t="n"/>
      <c r="G40" s="79" t="n"/>
      <c r="H40" s="80">
        <f>SUM(H35:H36)</f>
        <v/>
      </c>
      <c r="I40" s="2" t="n"/>
      <c r="J40" s="2" t="n"/>
    </row>
    <row r="41">
      <c r="A41" s="76" t="inlineStr">
        <is>
          <t>Расход за день:</t>
        </is>
      </c>
      <c r="B41" s="67" t="n"/>
      <c r="C41" s="79" t="n"/>
      <c r="D41" s="80" t="n"/>
      <c r="E41" s="76" t="inlineStr">
        <is>
          <t>Расход за день:</t>
        </is>
      </c>
      <c r="F41" s="78" t="n"/>
      <c r="G41" s="79" t="n"/>
      <c r="H41" s="80" t="n"/>
      <c r="I41" s="2" t="n"/>
      <c r="J41" s="2" t="n"/>
    </row>
    <row r="42">
      <c r="A42" s="69" t="inlineStr">
        <is>
          <t>возрат займа Нерудснаб</t>
        </is>
      </c>
      <c r="B42" s="67" t="n"/>
      <c r="C42" s="68" t="n">
        <v>200000</v>
      </c>
      <c r="D42" s="68" t="n">
        <v>200000</v>
      </c>
      <c r="E42" s="76" t="n"/>
      <c r="F42" s="78" t="n"/>
      <c r="G42" s="79" t="n"/>
      <c r="H42" s="80" t="n"/>
      <c r="I42" s="2" t="n"/>
      <c r="J42" s="2" t="n"/>
    </row>
    <row r="43">
      <c r="A43" s="81" t="inlineStr">
        <is>
          <t>з/п сотрудники</t>
        </is>
      </c>
      <c r="B43" s="67" t="n"/>
      <c r="C43" s="68" t="n">
        <v>420600</v>
      </c>
      <c r="D43" s="68" t="n">
        <v>420600</v>
      </c>
      <c r="E43" s="76" t="n"/>
      <c r="F43" s="78" t="n"/>
      <c r="G43" s="79" t="n"/>
      <c r="H43" s="72">
        <f>F43*G43</f>
        <v/>
      </c>
      <c r="I43" s="2" t="n"/>
      <c r="J43" s="2" t="n"/>
    </row>
    <row r="44">
      <c r="A44" s="81" t="inlineStr">
        <is>
          <t>канцтовары</t>
        </is>
      </c>
      <c r="B44" s="67" t="n"/>
      <c r="C44" s="68" t="n">
        <v>375</v>
      </c>
      <c r="D44" s="68" t="n">
        <v>375</v>
      </c>
      <c r="E44" s="76" t="n"/>
      <c r="F44" s="78" t="n"/>
      <c r="G44" s="79" t="n"/>
      <c r="H44" s="72" t="n"/>
      <c r="I44" s="2" t="n"/>
      <c r="J44" s="2" t="n"/>
    </row>
    <row r="45">
      <c r="A45" s="81" t="inlineStr">
        <is>
          <t>хозтовары</t>
        </is>
      </c>
      <c r="B45" s="67" t="n"/>
      <c r="C45" s="68" t="n">
        <v>269</v>
      </c>
      <c r="D45" s="68" t="n">
        <v>269</v>
      </c>
      <c r="E45" s="76" t="n"/>
      <c r="F45" s="78" t="n"/>
      <c r="G45" s="79" t="n"/>
      <c r="H45" s="72">
        <f>F45*G45</f>
        <v/>
      </c>
      <c r="I45" s="2" t="n"/>
      <c r="J45" s="2" t="n"/>
    </row>
    <row r="46">
      <c r="A46" s="81" t="n"/>
      <c r="B46" s="67" t="n"/>
      <c r="C46" s="68" t="n"/>
      <c r="D46" s="68" t="n"/>
      <c r="E46" s="76" t="n"/>
      <c r="F46" s="78" t="n"/>
      <c r="G46" s="79" t="n"/>
      <c r="H46" s="72">
        <f>F46*G46</f>
        <v/>
      </c>
      <c r="I46" s="2" t="n"/>
      <c r="J46" s="2" t="n"/>
    </row>
    <row r="47">
      <c r="A47" s="69" t="n"/>
      <c r="B47" s="67" t="n"/>
      <c r="C47" s="68" t="n"/>
      <c r="D47" s="74" t="n"/>
      <c r="E47" s="76" t="n"/>
      <c r="F47" s="78" t="n"/>
      <c r="G47" s="79" t="n"/>
      <c r="H47" s="72">
        <f>F47*G47</f>
        <v/>
      </c>
      <c r="I47" s="2" t="n"/>
      <c r="J47" s="2" t="n"/>
    </row>
    <row r="48">
      <c r="A48" s="69" t="n"/>
      <c r="B48" s="67" t="n"/>
      <c r="C48" s="68" t="n"/>
      <c r="D48" s="74" t="n"/>
      <c r="E48" s="76" t="n"/>
      <c r="F48" s="78" t="n"/>
      <c r="G48" s="79" t="n"/>
      <c r="H48" s="72">
        <f>F48*G48</f>
        <v/>
      </c>
      <c r="I48" s="2" t="n"/>
      <c r="J48" s="2" t="n"/>
    </row>
    <row r="49">
      <c r="A49" s="69" t="n"/>
      <c r="B49" s="67" t="n"/>
      <c r="C49" s="68" t="n"/>
      <c r="D49" s="74" t="n"/>
      <c r="E49" s="76" t="n"/>
      <c r="F49" s="78" t="n"/>
      <c r="G49" s="79" t="n"/>
      <c r="H49" s="72">
        <f>F49*G49</f>
        <v/>
      </c>
      <c r="I49" s="2" t="n"/>
      <c r="J49" s="2" t="n"/>
    </row>
    <row r="50">
      <c r="A50" s="69" t="n"/>
      <c r="B50" s="67" t="n"/>
      <c r="C50" s="68" t="n"/>
      <c r="D50" s="75" t="n"/>
      <c r="E50" s="76" t="n"/>
      <c r="F50" s="78" t="n"/>
      <c r="G50" s="79" t="n"/>
      <c r="H50" s="72">
        <f>F50*G50</f>
        <v/>
      </c>
      <c r="I50" s="313" t="n"/>
      <c r="J50" s="2" t="n"/>
    </row>
    <row r="51">
      <c r="A51" s="69" t="n"/>
      <c r="B51" s="67" t="n"/>
      <c r="C51" s="68" t="n"/>
      <c r="D51" s="75" t="n"/>
      <c r="E51" s="76" t="n"/>
      <c r="F51" s="78" t="n"/>
      <c r="G51" s="79" t="n"/>
      <c r="H51" s="72">
        <f>F51*G51</f>
        <v/>
      </c>
      <c r="I51" s="2" t="n"/>
      <c r="J51" s="2" t="n"/>
    </row>
    <row r="52">
      <c r="A52" s="69" t="n"/>
      <c r="B52" s="67" t="n"/>
      <c r="C52" s="68" t="n"/>
      <c r="D52" s="75" t="n"/>
      <c r="E52" s="76" t="n"/>
      <c r="F52" s="78" t="n"/>
      <c r="G52" s="79" t="n"/>
      <c r="H52" s="72">
        <f>F52*G52</f>
        <v/>
      </c>
      <c r="I52" s="2" t="n"/>
      <c r="J52" s="2" t="n"/>
    </row>
    <row r="53">
      <c r="A53" s="83" t="n"/>
      <c r="B53" s="67" t="n"/>
      <c r="C53" s="68" t="n"/>
      <c r="D53" s="84" t="n"/>
      <c r="E53" s="85" t="inlineStr">
        <is>
          <t>Итого расход:</t>
        </is>
      </c>
      <c r="F53" s="78" t="n"/>
      <c r="G53" s="79" t="n"/>
      <c r="H53" s="72">
        <f>F53*G53</f>
        <v/>
      </c>
      <c r="I53" s="86" t="n"/>
      <c r="J53" s="86" t="n"/>
    </row>
    <row r="54">
      <c r="A54" s="87" t="inlineStr">
        <is>
          <t>Остаток на конец дня:</t>
        </is>
      </c>
      <c r="B54" s="88" t="n"/>
      <c r="C54" s="89" t="n"/>
      <c r="D54" s="90">
        <f>SUM(D35,D36:D39,D34,)-SUM(D42:D53,)</f>
        <v/>
      </c>
      <c r="E54" s="87" t="inlineStr">
        <is>
          <t>Остаток на конец дня:</t>
        </is>
      </c>
      <c r="F54" s="91" t="n"/>
      <c r="G54" s="89" t="n"/>
      <c r="H54" s="92">
        <f>SUM(H34+H40-H53)</f>
        <v/>
      </c>
      <c r="I54" s="2" t="n"/>
      <c r="J54" s="2" t="n"/>
    </row>
    <row r="55">
      <c r="A55" s="93" t="n"/>
      <c r="B55" s="94" t="n"/>
      <c r="C55" s="43" t="n"/>
      <c r="D55" s="41" t="n"/>
      <c r="E55" s="41" t="n"/>
      <c r="F55" s="41" t="n"/>
      <c r="G55" s="2" t="n"/>
      <c r="H55" s="2" t="n"/>
      <c r="I55" s="2" t="n"/>
      <c r="J55" s="2" t="n"/>
    </row>
    <row r="56">
      <c r="A56" s="95" t="inlineStr">
        <is>
          <t>Расчётный счёт</t>
        </is>
      </c>
      <c r="B56" s="54" t="n"/>
      <c r="C56" s="54" t="n"/>
      <c r="D56" s="54" t="n"/>
      <c r="E56" s="54" t="n"/>
      <c r="F56" s="54" t="n"/>
      <c r="G56" s="54" t="n"/>
      <c r="H56" s="54" t="n"/>
      <c r="I56" s="2" t="n"/>
      <c r="J56" s="2" t="n"/>
    </row>
    <row r="57">
      <c r="A57" s="96" t="inlineStr">
        <is>
          <t>ВТБ</t>
        </is>
      </c>
      <c r="B57" s="279" t="inlineStr">
        <is>
          <t>ВТБ</t>
        </is>
      </c>
      <c r="C57" s="279" t="n"/>
      <c r="D57" s="47" t="n"/>
      <c r="E57" s="97" t="inlineStr">
        <is>
          <t>Альфабанк</t>
        </is>
      </c>
      <c r="F57" s="56" t="n"/>
      <c r="G57" s="56" t="n"/>
      <c r="H57" s="47" t="n"/>
      <c r="I57" s="330" t="inlineStr">
        <is>
          <t>Уралсиб</t>
        </is>
      </c>
      <c r="J57" s="331" t="n"/>
      <c r="K57" s="331" t="n"/>
      <c r="L57" s="332" t="n"/>
    </row>
    <row r="58">
      <c r="A58" s="98" t="inlineStr">
        <is>
          <t>Остаток на начало дня:</t>
        </is>
      </c>
      <c r="B58" s="280" t="n"/>
      <c r="C58" s="290" t="n">
        <v>446030.37</v>
      </c>
      <c r="D58" s="56" t="n"/>
      <c r="E58" s="100" t="inlineStr">
        <is>
          <t>Остаток на начало дня:</t>
        </is>
      </c>
      <c r="F58" s="47" t="n"/>
      <c r="G58" s="101" t="n">
        <v>2428.5</v>
      </c>
      <c r="H58" s="47" t="n"/>
      <c r="I58" s="330" t="inlineStr">
        <is>
          <t>Остаток на начало дня :</t>
        </is>
      </c>
      <c r="J58" s="332" t="n"/>
      <c r="K58" s="333" t="n"/>
      <c r="L58" s="333" t="n"/>
    </row>
    <row r="59">
      <c r="A59" s="102" t="inlineStr">
        <is>
          <t>Поступление</t>
        </is>
      </c>
      <c r="B59" s="47" t="n"/>
      <c r="C59" s="102" t="inlineStr">
        <is>
          <t>Расход</t>
        </is>
      </c>
      <c r="D59" s="47" t="n"/>
      <c r="E59" s="102" t="inlineStr">
        <is>
          <t>Поступление</t>
        </is>
      </c>
      <c r="F59" s="47" t="n"/>
      <c r="G59" s="102" t="inlineStr">
        <is>
          <t>Расход</t>
        </is>
      </c>
      <c r="H59" s="47" t="n"/>
      <c r="I59" s="334" t="inlineStr">
        <is>
          <t xml:space="preserve">Поступление </t>
        </is>
      </c>
      <c r="J59" s="332" t="n"/>
      <c r="K59" s="335" t="inlineStr">
        <is>
          <t>Расход</t>
        </is>
      </c>
      <c r="L59" s="332" t="n"/>
    </row>
    <row r="60">
      <c r="A60" s="103" t="inlineStr">
        <is>
          <t>от кого</t>
        </is>
      </c>
      <c r="B60" s="103" t="inlineStr">
        <is>
          <t>сумма</t>
        </is>
      </c>
      <c r="C60" s="103" t="inlineStr">
        <is>
          <t>кому</t>
        </is>
      </c>
      <c r="D60" s="103" t="inlineStr">
        <is>
          <t>сумма</t>
        </is>
      </c>
      <c r="E60" s="103" t="inlineStr">
        <is>
          <t>от кого</t>
        </is>
      </c>
      <c r="F60" s="103" t="inlineStr">
        <is>
          <t>сумма</t>
        </is>
      </c>
      <c r="G60" s="336" t="inlineStr">
        <is>
          <t xml:space="preserve">кому </t>
        </is>
      </c>
      <c r="H60" s="103" t="inlineStr">
        <is>
          <t>сумма</t>
        </is>
      </c>
      <c r="I60" s="334" t="inlineStr">
        <is>
          <t xml:space="preserve">от кого </t>
        </is>
      </c>
      <c r="J60" s="334" t="inlineStr">
        <is>
          <t xml:space="preserve">сумма </t>
        </is>
      </c>
      <c r="K60" s="249" t="inlineStr">
        <is>
          <t xml:space="preserve">кому </t>
        </is>
      </c>
      <c r="L60" s="337" t="inlineStr">
        <is>
          <t xml:space="preserve">сумма </t>
        </is>
      </c>
    </row>
    <row r="61">
      <c r="A61" s="104" t="inlineStr">
        <is>
          <t xml:space="preserve">Проценты по депозиту </t>
        </is>
      </c>
      <c r="B61" s="281" t="n">
        <v>228.59</v>
      </c>
      <c r="C61" s="106" t="inlineStr">
        <is>
          <t xml:space="preserve">комиссия банка </t>
        </is>
      </c>
      <c r="D61" s="107" t="n">
        <v>400</v>
      </c>
      <c r="E61" s="108" t="n"/>
      <c r="F61" s="109" t="n"/>
      <c r="G61" s="110" t="n"/>
      <c r="H61" s="109" t="n"/>
      <c r="I61" s="338" t="inlineStr">
        <is>
          <t xml:space="preserve">Перевод с ВТБ </t>
        </is>
      </c>
      <c r="J61" s="339" t="n">
        <v>690</v>
      </c>
      <c r="K61" s="340" t="inlineStr">
        <is>
          <t xml:space="preserve">комиссия банка </t>
        </is>
      </c>
      <c r="L61" s="341" t="n">
        <v>690</v>
      </c>
    </row>
    <row r="62">
      <c r="A62" s="282" t="n"/>
      <c r="B62" s="281" t="n"/>
      <c r="C62" s="112" t="inlineStr">
        <is>
          <t xml:space="preserve">Перевод в Уралсиб на погашение комиссии банка </t>
        </is>
      </c>
      <c r="D62" s="107" t="n">
        <v>690</v>
      </c>
      <c r="E62" s="110" t="n"/>
      <c r="F62" s="109" t="n"/>
      <c r="G62" s="110" t="n"/>
      <c r="H62" s="109" t="n"/>
      <c r="I62" s="338" t="n"/>
      <c r="J62" s="338" t="n"/>
      <c r="K62" s="340" t="n"/>
      <c r="L62" s="340" t="n"/>
    </row>
    <row r="63">
      <c r="A63" s="111" t="n"/>
      <c r="B63" s="283" t="n"/>
      <c r="C63" s="113" t="inlineStr">
        <is>
          <t xml:space="preserve">Заработная плата Геращенко </t>
        </is>
      </c>
      <c r="D63" s="107" t="n">
        <v>2900.33</v>
      </c>
      <c r="E63" s="110" t="n"/>
      <c r="F63" s="109" t="n"/>
      <c r="G63" s="114" t="n"/>
      <c r="H63" s="109" t="n"/>
      <c r="I63" s="338" t="n"/>
      <c r="J63" s="338" t="n"/>
      <c r="K63" s="342" t="n"/>
      <c r="L63" s="340" t="n"/>
    </row>
    <row r="64">
      <c r="A64" s="115" t="n"/>
      <c r="B64" s="283" t="n"/>
      <c r="C64" s="113" t="inlineStr">
        <is>
          <t xml:space="preserve">заработая плата Крылова </t>
        </is>
      </c>
      <c r="D64" s="107" t="n">
        <v>2900.33</v>
      </c>
      <c r="E64" s="108" t="n"/>
      <c r="F64" s="116" t="n"/>
      <c r="G64" s="114" t="n"/>
      <c r="H64" s="109" t="n"/>
      <c r="I64" s="338" t="n"/>
      <c r="J64" s="338" t="n"/>
      <c r="K64" s="340" t="n"/>
      <c r="L64" s="340" t="n"/>
    </row>
    <row r="65">
      <c r="A65" s="117" t="n"/>
      <c r="B65" s="283" t="n"/>
      <c r="C65" s="113" t="inlineStr">
        <is>
          <t xml:space="preserve">ООО ЮГ Логистика  услуги доставки </t>
        </is>
      </c>
      <c r="D65" s="107" t="n">
        <v>4080.77</v>
      </c>
      <c r="E65" s="118" t="n"/>
      <c r="F65" s="119" t="n"/>
      <c r="G65" s="120" t="n"/>
      <c r="H65" s="120" t="n"/>
      <c r="I65" s="338" t="n"/>
      <c r="J65" s="338" t="n"/>
      <c r="K65" s="340" t="n"/>
      <c r="L65" s="340" t="n"/>
    </row>
    <row r="66">
      <c r="A66" s="117" t="n"/>
      <c r="B66" s="283" t="n"/>
      <c r="C66" s="113" t="inlineStr">
        <is>
          <t xml:space="preserve">Заработная плата Хомутская </t>
        </is>
      </c>
      <c r="D66" s="107" t="n">
        <v>9135</v>
      </c>
      <c r="E66" s="118" t="n"/>
      <c r="F66" s="119" t="n"/>
      <c r="G66" s="121" t="n"/>
      <c r="H66" s="120" t="n"/>
      <c r="I66" s="338" t="n"/>
      <c r="J66" s="338" t="n"/>
      <c r="K66" s="340" t="n"/>
      <c r="L66" s="340" t="n"/>
    </row>
    <row r="67">
      <c r="A67" s="122" t="n"/>
      <c r="B67" s="283" t="n"/>
      <c r="C67" s="113" t="inlineStr">
        <is>
          <t xml:space="preserve">Заработная плата Зыкова </t>
        </is>
      </c>
      <c r="D67" s="107" t="n">
        <v>9135</v>
      </c>
      <c r="E67" s="118" t="n"/>
      <c r="F67" s="118" t="n"/>
      <c r="G67" s="123" t="n"/>
      <c r="H67" s="120" t="n"/>
      <c r="I67" s="338" t="n"/>
      <c r="J67" s="338" t="n"/>
      <c r="K67" s="340" t="n"/>
      <c r="L67" s="340" t="n"/>
    </row>
    <row r="68">
      <c r="A68" s="124" t="n"/>
      <c r="B68" s="284" t="n"/>
      <c r="C68" s="113" t="inlineStr">
        <is>
          <t xml:space="preserve">Заработная плата Чижиков </t>
        </is>
      </c>
      <c r="D68" s="107" t="n">
        <v>10149.67</v>
      </c>
      <c r="E68" s="124" t="n"/>
      <c r="F68" s="118" t="n"/>
      <c r="G68" s="110" t="n"/>
      <c r="H68" s="120" t="n"/>
      <c r="I68" s="338" t="n"/>
      <c r="J68" s="338" t="n"/>
      <c r="K68" s="340" t="n"/>
      <c r="L68" s="340" t="n"/>
    </row>
    <row r="69">
      <c r="A69" s="124" t="n"/>
      <c r="B69" s="285" t="n"/>
      <c r="C69" s="112" t="inlineStr">
        <is>
          <t xml:space="preserve">Заработная плата Агапова </t>
        </is>
      </c>
      <c r="D69" s="126" t="n">
        <v>11842.11</v>
      </c>
      <c r="E69" s="124" t="n"/>
      <c r="F69" s="118" t="n"/>
      <c r="G69" s="110" t="n"/>
      <c r="H69" s="120" t="n"/>
      <c r="I69" s="338" t="n"/>
      <c r="J69" s="338" t="n"/>
      <c r="K69" s="340" t="n"/>
      <c r="L69" s="340" t="n"/>
    </row>
    <row r="70">
      <c r="A70" s="124" t="n"/>
      <c r="B70" s="285" t="n"/>
      <c r="C70" s="112" t="inlineStr">
        <is>
          <t xml:space="preserve">ООО Промстеклоснаб транспортные услуги </t>
        </is>
      </c>
      <c r="D70" s="126" t="n">
        <v>52000</v>
      </c>
      <c r="E70" s="124" t="n"/>
      <c r="F70" s="118" t="n"/>
      <c r="G70" s="110" t="n"/>
      <c r="H70" s="120" t="n"/>
      <c r="I70" s="338" t="n"/>
      <c r="J70" s="338" t="n"/>
      <c r="K70" s="340" t="n"/>
      <c r="L70" s="340" t="n"/>
    </row>
    <row r="71">
      <c r="A71" s="124" t="n"/>
      <c r="B71" s="285" t="n"/>
      <c r="C71" s="112" t="inlineStr">
        <is>
          <t>Заработная плата по реестру</t>
        </is>
      </c>
      <c r="D71" s="126" t="n">
        <v>63945.01</v>
      </c>
      <c r="E71" s="124" t="n"/>
      <c r="F71" s="118" t="n"/>
      <c r="G71" s="110" t="n"/>
      <c r="H71" s="120" t="n"/>
      <c r="I71" s="338" t="n"/>
      <c r="J71" s="338" t="n"/>
      <c r="K71" s="340" t="n"/>
      <c r="L71" s="340" t="n"/>
    </row>
    <row r="72">
      <c r="A72" s="124" t="n"/>
      <c r="B72" s="285" t="n"/>
      <c r="C72" s="112" t="inlineStr">
        <is>
          <t xml:space="preserve">ООО Союзснаб  за пищевые добавки </t>
        </is>
      </c>
      <c r="D72" s="343" t="n">
        <v>277974.56</v>
      </c>
      <c r="E72" s="124" t="n"/>
      <c r="F72" s="118" t="n"/>
      <c r="G72" s="110" t="n"/>
      <c r="H72" s="120" t="n"/>
      <c r="I72" s="338" t="n"/>
      <c r="J72" s="338" t="n"/>
      <c r="K72" s="340" t="n"/>
      <c r="L72" s="340" t="n"/>
    </row>
    <row r="73">
      <c r="A73" s="124" t="n"/>
      <c r="B73" s="125" t="n"/>
      <c r="C73" s="110" t="n"/>
      <c r="D73" s="126" t="n"/>
      <c r="E73" s="124" t="n"/>
      <c r="F73" s="118" t="n"/>
      <c r="G73" s="110" t="n"/>
      <c r="H73" s="120" t="n"/>
      <c r="I73" s="338" t="n"/>
      <c r="J73" s="338" t="n"/>
      <c r="K73" s="340" t="n"/>
      <c r="L73" s="340" t="n"/>
    </row>
    <row r="74">
      <c r="A74" s="127" t="n"/>
      <c r="B74" s="128">
        <f>SUM(B61:B73)+C58</f>
        <v/>
      </c>
      <c r="C74" s="129" t="n"/>
      <c r="D74" s="128">
        <f>SUM(D61:D73)</f>
        <v/>
      </c>
      <c r="E74" s="130" t="n"/>
      <c r="F74" s="130">
        <f>SUM(F61:F73)</f>
        <v/>
      </c>
      <c r="G74" s="130" t="n"/>
      <c r="H74" s="130">
        <f>SUM(H61:H73)</f>
        <v/>
      </c>
      <c r="I74" s="344" t="n"/>
      <c r="J74" s="345" t="n">
        <v>690</v>
      </c>
      <c r="K74" s="333" t="n"/>
      <c r="L74" s="345" t="n">
        <v>690</v>
      </c>
    </row>
    <row r="75">
      <c r="A75" s="131" t="inlineStr">
        <is>
          <t>Остаток на конец дня:</t>
        </is>
      </c>
      <c r="B75" s="132">
        <f>B74-D74</f>
        <v/>
      </c>
      <c r="C75" s="56" t="n"/>
      <c r="D75" s="47" t="n"/>
      <c r="E75" s="100" t="inlineStr">
        <is>
          <t>Остаток на конец дня:</t>
        </is>
      </c>
      <c r="F75" s="101" t="n">
        <v>2428.5</v>
      </c>
      <c r="G75" s="56" t="n"/>
      <c r="H75" s="47" t="n"/>
      <c r="I75" s="330" t="inlineStr">
        <is>
          <t xml:space="preserve">Остаток на конец дня </t>
        </is>
      </c>
      <c r="J75" s="344" t="n"/>
      <c r="K75" s="340" t="n"/>
      <c r="L75" s="340" t="n"/>
    </row>
    <row r="76">
      <c r="A76" s="133" t="inlineStr">
        <is>
          <t>ИТОГО:</t>
        </is>
      </c>
      <c r="B76" s="47" t="n"/>
      <c r="C76" s="134" t="n">
        <v>3534.68</v>
      </c>
      <c r="D76" s="56" t="n"/>
      <c r="E76" s="56" t="n"/>
      <c r="F76" s="56" t="n"/>
      <c r="G76" s="56" t="n"/>
      <c r="H76" s="47" t="n"/>
      <c r="I76" s="257" t="n"/>
      <c r="J76" s="257" t="n"/>
      <c r="K76" s="340" t="n"/>
      <c r="L76" s="340" t="n"/>
    </row>
    <row r="77">
      <c r="A77" s="41" t="n"/>
      <c r="B77" s="94" t="n"/>
      <c r="C77" s="43" t="n"/>
      <c r="D77" s="41" t="n"/>
      <c r="E77" s="41" t="n"/>
      <c r="F77" s="41" t="n"/>
      <c r="G77" s="41" t="n"/>
      <c r="H77" s="93" t="n"/>
      <c r="I77" s="135" t="n"/>
      <c r="J77" s="135" t="n"/>
    </row>
    <row r="78">
      <c r="A78" s="136" t="n"/>
      <c r="B78" s="137" t="inlineStr">
        <is>
          <t>Реализация по безналичному расчёту</t>
        </is>
      </c>
      <c r="D78" s="2" t="n"/>
      <c r="E78" s="41" t="n"/>
      <c r="F78" s="41" t="n"/>
      <c r="G78" s="41" t="n"/>
      <c r="H78" s="138" t="n"/>
      <c r="I78" s="2" t="n"/>
      <c r="J78" s="2" t="n"/>
    </row>
    <row r="79">
      <c r="A79" s="139" t="inlineStr">
        <is>
          <t>Контрагент</t>
        </is>
      </c>
      <c r="B79" s="140" t="inlineStr">
        <is>
          <t>поставщик</t>
        </is>
      </c>
      <c r="C79" s="141" t="inlineStr">
        <is>
          <t>наименование</t>
        </is>
      </c>
      <c r="D79" s="142" t="inlineStr">
        <is>
          <t>вес упаковки, тарелки</t>
        </is>
      </c>
      <c r="E79" s="143" t="inlineStr">
        <is>
          <t>кол.-во пакетов, коробок</t>
        </is>
      </c>
      <c r="F79" s="144" t="inlineStr">
        <is>
          <t>кол-во мест в коробке/упаковке</t>
        </is>
      </c>
      <c r="G79" s="145" t="inlineStr">
        <is>
          <t>общий вес, кг.</t>
        </is>
      </c>
      <c r="H79" s="146" t="inlineStr">
        <is>
          <t>цена пакет, тарелка</t>
        </is>
      </c>
      <c r="I79" s="147" t="inlineStr">
        <is>
          <t>сумма</t>
        </is>
      </c>
      <c r="J79" s="148" t="inlineStr">
        <is>
          <t>Комментарий</t>
        </is>
      </c>
    </row>
    <row r="80">
      <c r="A80" s="150" t="n"/>
      <c r="B80" s="151" t="n"/>
      <c r="C80" s="272" t="n"/>
      <c r="D80" s="155" t="n"/>
      <c r="E80" s="154" t="n"/>
      <c r="F80" s="155" t="n"/>
      <c r="G80" s="154" t="n"/>
      <c r="H80" s="156" t="n"/>
      <c r="I80" s="156" t="n"/>
      <c r="J80" s="157" t="n"/>
    </row>
    <row r="81">
      <c r="A81" s="150" t="n"/>
      <c r="B81" s="151" t="n"/>
      <c r="C81" s="158" t="n"/>
      <c r="D81" s="155" t="n"/>
      <c r="E81" s="154" t="n"/>
      <c r="F81" s="155" t="n"/>
      <c r="G81" s="154" t="n"/>
      <c r="H81" s="156" t="n"/>
      <c r="I81" s="156" t="n"/>
      <c r="J81" s="322" t="n"/>
    </row>
    <row r="82">
      <c r="A82" s="150" t="n"/>
      <c r="B82" s="151" t="n"/>
      <c r="C82" s="158" t="n"/>
      <c r="D82" s="155" t="n"/>
      <c r="E82" s="154" t="n"/>
      <c r="F82" s="155" t="n"/>
      <c r="G82" s="154" t="n"/>
      <c r="H82" s="156" t="n"/>
      <c r="I82" s="156" t="n"/>
      <c r="J82" s="159" t="n"/>
    </row>
    <row r="83">
      <c r="A83" s="150" t="n"/>
      <c r="B83" s="151" t="n"/>
      <c r="C83" s="158" t="n"/>
      <c r="D83" s="153" t="n"/>
      <c r="E83" s="154" t="n"/>
      <c r="F83" s="155" t="n"/>
      <c r="G83" s="154" t="n"/>
      <c r="H83" s="156" t="n"/>
      <c r="I83" s="156" t="n"/>
      <c r="J83" s="159" t="n"/>
    </row>
    <row r="84">
      <c r="A84" s="150" t="n"/>
      <c r="B84" s="151" t="n"/>
      <c r="C84" s="152" t="n"/>
      <c r="D84" s="153" t="n"/>
      <c r="E84" s="154" t="n"/>
      <c r="F84" s="155" t="n"/>
      <c r="G84" s="154" t="n"/>
      <c r="H84" s="156" t="n"/>
      <c r="I84" s="156" t="n"/>
      <c r="J84" s="159" t="n"/>
    </row>
    <row r="85">
      <c r="A85" s="150" t="n"/>
      <c r="B85" s="151" t="n"/>
      <c r="C85" s="152" t="n"/>
      <c r="D85" s="153" t="n"/>
      <c r="E85" s="154" t="n"/>
      <c r="F85" s="155" t="n"/>
      <c r="G85" s="154" t="n"/>
      <c r="H85" s="156" t="n"/>
      <c r="I85" s="156" t="n"/>
      <c r="J85" s="159" t="n"/>
    </row>
    <row r="86">
      <c r="A86" s="150" t="n"/>
      <c r="B86" s="150" t="n"/>
      <c r="C86" s="160" t="n"/>
      <c r="D86" s="153" t="n"/>
      <c r="E86" s="154" t="n"/>
      <c r="F86" s="155" t="n"/>
      <c r="G86" s="154" t="n"/>
      <c r="H86" s="156" t="n"/>
      <c r="I86" s="156" t="n"/>
      <c r="J86" s="161" t="n"/>
    </row>
    <row r="87">
      <c r="A87" s="162" t="n"/>
      <c r="B87" s="163" t="n"/>
      <c r="C87" s="164" t="n"/>
      <c r="D87" s="165" t="n"/>
      <c r="E87" s="166" t="n"/>
      <c r="F87" s="167" t="n"/>
      <c r="G87" s="168" t="n"/>
      <c r="H87" s="169" t="n"/>
      <c r="I87" s="170" t="n"/>
      <c r="J87" s="161" t="n"/>
    </row>
    <row r="88">
      <c r="A88" s="162" t="n"/>
      <c r="B88" s="163" t="n"/>
      <c r="C88" s="171" t="n"/>
      <c r="D88" s="153" t="n"/>
      <c r="E88" s="172" t="n"/>
      <c r="F88" s="155" t="n"/>
      <c r="G88" s="168" t="n"/>
      <c r="H88" s="156" t="n"/>
      <c r="I88" s="170" t="n"/>
      <c r="J88" s="161" t="n"/>
    </row>
    <row r="89">
      <c r="A89" s="162" t="n"/>
      <c r="B89" s="163" t="n"/>
      <c r="C89" s="171" t="n"/>
      <c r="D89" s="153" t="n"/>
      <c r="E89" s="172" t="n"/>
      <c r="F89" s="155" t="n"/>
      <c r="G89" s="168" t="n"/>
      <c r="H89" s="156" t="n"/>
      <c r="I89" s="170" t="n"/>
      <c r="J89" s="161" t="n"/>
    </row>
    <row r="90">
      <c r="A90" s="162" t="n"/>
      <c r="B90" s="163" t="n"/>
      <c r="C90" s="171" t="n"/>
      <c r="D90" s="153" t="n"/>
      <c r="E90" s="172" t="n"/>
      <c r="F90" s="155" t="n"/>
      <c r="G90" s="168" t="n"/>
      <c r="H90" s="156" t="n"/>
      <c r="I90" s="170" t="n"/>
      <c r="J90" s="161" t="n"/>
    </row>
    <row r="91">
      <c r="A91" s="162" t="n"/>
      <c r="B91" s="163" t="n"/>
      <c r="C91" s="171" t="n"/>
      <c r="D91" s="153" t="n"/>
      <c r="E91" s="172" t="n"/>
      <c r="F91" s="155" t="n"/>
      <c r="G91" s="168" t="n"/>
      <c r="H91" s="156" t="n"/>
      <c r="I91" s="170" t="n"/>
      <c r="J91" s="161" t="n"/>
    </row>
    <row r="92">
      <c r="A92" s="173" t="n"/>
      <c r="B92" s="174" t="n"/>
      <c r="C92" s="175" t="n"/>
      <c r="D92" s="176" t="n"/>
      <c r="E92" s="177" t="n"/>
      <c r="F92" s="178" t="n"/>
      <c r="G92" s="179" t="n"/>
      <c r="H92" s="180" t="n"/>
      <c r="I92" s="181" t="n"/>
      <c r="J92" s="161" t="n"/>
    </row>
    <row r="93">
      <c r="A93" s="182" t="n"/>
      <c r="B93" s="163" t="n"/>
      <c r="C93" s="183" t="n"/>
      <c r="D93" s="184" t="n"/>
      <c r="E93" s="166" t="n"/>
      <c r="F93" s="167" t="n"/>
      <c r="G93" s="185">
        <f>D93*F93</f>
        <v/>
      </c>
      <c r="H93" s="186" t="n"/>
      <c r="I93" s="186">
        <f>F93*H93*E93</f>
        <v/>
      </c>
      <c r="J93" s="187" t="n"/>
    </row>
    <row r="94">
      <c r="A94" s="182" t="n"/>
      <c r="B94" s="163" t="n"/>
      <c r="C94" s="188" t="n"/>
      <c r="D94" s="189" t="n"/>
      <c r="E94" s="190" t="n"/>
      <c r="F94" s="189" t="n"/>
      <c r="G94" s="185">
        <f>D94*F94</f>
        <v/>
      </c>
      <c r="H94" s="191" t="n"/>
      <c r="I94" s="186">
        <f>F94*H94*E94</f>
        <v/>
      </c>
      <c r="J94" s="187" t="n"/>
    </row>
    <row r="95">
      <c r="A95" s="192" t="inlineStr">
        <is>
          <t>ИТОГО:</t>
        </is>
      </c>
      <c r="B95" s="193" t="n"/>
      <c r="C95" s="194" t="n"/>
      <c r="D95" s="195" t="n"/>
      <c r="E95" s="196">
        <f>SUM(E80:E94)</f>
        <v/>
      </c>
      <c r="F95" s="197">
        <f>SUM(F80:F92)</f>
        <v/>
      </c>
      <c r="G95" s="198">
        <f>SUM(G80:G87)</f>
        <v/>
      </c>
      <c r="H95" s="199" t="n"/>
      <c r="I95" s="199">
        <f>SUM(I80:I88)</f>
        <v/>
      </c>
      <c r="J95" s="200" t="n"/>
    </row>
    <row r="96">
      <c r="A96" s="2" t="n"/>
      <c r="B96" s="94" t="n"/>
      <c r="C96" s="43" t="n"/>
      <c r="D96" s="41" t="n"/>
      <c r="E96" s="41" t="n"/>
      <c r="F96" s="41" t="n"/>
      <c r="G96" s="41" t="n"/>
      <c r="H96" s="2" t="n"/>
      <c r="I96" s="2" t="n"/>
      <c r="J96" s="2" t="n"/>
    </row>
    <row r="97">
      <c r="A97" s="201" t="inlineStr">
        <is>
          <t>реализация Всего касса+безнал:</t>
        </is>
      </c>
      <c r="B97" s="202" t="inlineStr">
        <is>
          <t>кг</t>
        </is>
      </c>
      <c r="C97" s="203" t="inlineStr">
        <is>
          <t>на сумму</t>
        </is>
      </c>
      <c r="D97" s="41" t="n"/>
      <c r="E97" s="41" t="n"/>
      <c r="F97" s="41" t="n"/>
      <c r="G97" s="41" t="n"/>
      <c r="H97" s="2" t="n"/>
      <c r="I97" s="2" t="n"/>
      <c r="J97" s="2" t="n"/>
    </row>
    <row r="98">
      <c r="A98" s="204" t="n"/>
      <c r="B98" s="205">
        <f>E27+G95</f>
        <v/>
      </c>
      <c r="C98" s="206">
        <f>I27+H95+I95</f>
        <v/>
      </c>
      <c r="D98" s="41" t="n"/>
      <c r="E98" s="41" t="n"/>
      <c r="F98" s="41" t="n"/>
      <c r="G98" s="41" t="n"/>
      <c r="H98" s="2" t="n"/>
      <c r="I98" s="2" t="n"/>
      <c r="J98" s="2" t="n"/>
    </row>
    <row r="99">
      <c r="A99" s="207" t="inlineStr">
        <is>
          <t>Услуги оказывают нам (доставка сырья и комплектующих на склад, Товара покупателям)</t>
        </is>
      </c>
      <c r="B99" s="54" t="n"/>
      <c r="C99" s="54" t="n"/>
      <c r="D99" s="54" t="n"/>
      <c r="E99" s="54" t="n"/>
      <c r="F99" s="54" t="n"/>
      <c r="G99" s="54" t="n"/>
      <c r="H99" s="54" t="n"/>
      <c r="I99" s="291" t="n"/>
      <c r="J99" s="58" t="n"/>
    </row>
    <row r="100">
      <c r="A100" s="209" t="inlineStr">
        <is>
          <t>Контрагент</t>
        </is>
      </c>
      <c r="B100" s="210" t="inlineStr">
        <is>
          <t>вид услуги</t>
        </is>
      </c>
      <c r="C100" s="211" t="inlineStr">
        <is>
          <t>Кому / От кого</t>
        </is>
      </c>
      <c r="D100" s="212" t="inlineStr">
        <is>
          <t>наименование</t>
        </is>
      </c>
      <c r="E100" s="213" t="inlineStr">
        <is>
          <t xml:space="preserve">город доставки </t>
        </is>
      </c>
      <c r="F100" s="214" t="inlineStr">
        <is>
          <t>цена</t>
        </is>
      </c>
      <c r="G100" s="213" t="inlineStr">
        <is>
          <t>сумма</t>
        </is>
      </c>
      <c r="H100" s="212" t="inlineStr">
        <is>
          <t>за тонну</t>
        </is>
      </c>
      <c r="I100" s="291" t="n"/>
      <c r="J100" s="58" t="n"/>
    </row>
    <row r="101">
      <c r="A101" s="215" t="n"/>
      <c r="B101" s="60" t="n"/>
      <c r="C101" s="63" t="n"/>
      <c r="D101" s="226" t="n"/>
      <c r="E101" s="317" t="n"/>
      <c r="F101" s="62" t="n"/>
      <c r="G101" s="218" t="n">
        <v>0</v>
      </c>
      <c r="H101" s="305" t="n"/>
      <c r="I101" s="291" t="n"/>
      <c r="J101" s="58" t="n"/>
    </row>
    <row r="102">
      <c r="A102" s="215" t="n"/>
      <c r="B102" s="60" t="n"/>
      <c r="C102" s="63" t="n"/>
      <c r="D102" s="226" t="n"/>
      <c r="E102" s="217" t="n"/>
      <c r="F102" s="62" t="n"/>
      <c r="G102" s="218" t="n">
        <v>0</v>
      </c>
      <c r="H102" s="305" t="n"/>
      <c r="I102" s="315" t="n"/>
      <c r="J102" s="58" t="n"/>
    </row>
    <row r="103">
      <c r="A103" s="220" t="n"/>
      <c r="B103" s="60" t="n"/>
      <c r="C103" s="63" t="n"/>
      <c r="D103" s="226" t="n"/>
      <c r="E103" s="274" t="n"/>
      <c r="F103" s="223" t="n"/>
      <c r="G103" s="218" t="n">
        <v>0</v>
      </c>
      <c r="H103" s="305" t="n"/>
      <c r="I103" s="2" t="n"/>
      <c r="J103" s="2" t="n"/>
    </row>
    <row r="104">
      <c r="A104" s="220" t="n"/>
      <c r="B104" s="60" t="n"/>
      <c r="C104" s="221" t="n"/>
      <c r="D104" s="222" t="n"/>
      <c r="E104" s="274" t="n"/>
      <c r="F104" s="223" t="n"/>
      <c r="G104" s="218" t="n">
        <v>0</v>
      </c>
      <c r="H104" s="219" t="n"/>
      <c r="I104" s="2" t="n"/>
      <c r="J104" s="2" t="n"/>
    </row>
    <row r="105">
      <c r="A105" s="220" t="n"/>
      <c r="B105" s="60" t="n"/>
      <c r="C105" s="221" t="n"/>
      <c r="D105" s="226" t="n"/>
      <c r="E105" s="274" t="n"/>
      <c r="F105" s="223" t="n"/>
      <c r="G105" s="218" t="n">
        <v>0</v>
      </c>
      <c r="H105" s="219" t="n"/>
      <c r="I105" s="2" t="n"/>
      <c r="J105" s="2" t="n"/>
    </row>
    <row r="106">
      <c r="A106" s="220" t="n"/>
      <c r="B106" s="60" t="n"/>
      <c r="C106" s="221" t="n"/>
      <c r="D106" s="226" t="n"/>
      <c r="E106" s="227" t="n"/>
      <c r="F106" s="223" t="n"/>
      <c r="G106" s="218">
        <f>F106+F1224</f>
        <v/>
      </c>
      <c r="H106" s="219" t="n"/>
      <c r="I106" s="2" t="n"/>
      <c r="J106" s="2" t="n"/>
    </row>
    <row r="107">
      <c r="A107" s="220" t="n"/>
      <c r="B107" s="60" t="n"/>
      <c r="C107" s="221" t="n"/>
      <c r="D107" s="226" t="n"/>
      <c r="E107" s="227" t="n"/>
      <c r="F107" s="223" t="n"/>
      <c r="G107" s="218">
        <f>F107+F1225</f>
        <v/>
      </c>
      <c r="H107" s="219" t="n"/>
      <c r="I107" s="2" t="n"/>
      <c r="J107" s="2" t="n"/>
    </row>
    <row r="108">
      <c r="A108" s="220" t="n"/>
      <c r="B108" s="60" t="n"/>
      <c r="C108" s="221" t="n"/>
      <c r="D108" s="226" t="n"/>
      <c r="E108" s="227" t="n"/>
      <c r="F108" s="223" t="n"/>
      <c r="G108" s="218">
        <f>F108+F1226</f>
        <v/>
      </c>
      <c r="H108" s="228" t="n"/>
      <c r="I108" s="2" t="n"/>
      <c r="J108" s="2" t="n"/>
    </row>
    <row r="109">
      <c r="A109" s="229" t="inlineStr">
        <is>
          <t>ИТОГО:</t>
        </is>
      </c>
      <c r="B109" s="230" t="n"/>
      <c r="C109" s="231" t="n"/>
      <c r="D109" s="232" t="n"/>
      <c r="E109" s="233">
        <f>SUM(E101:E108)</f>
        <v/>
      </c>
      <c r="F109" s="234" t="n"/>
      <c r="G109" s="235">
        <f>SUM(G101:G108)</f>
        <v/>
      </c>
      <c r="H109" s="235" t="n"/>
      <c r="I109" s="2" t="n"/>
      <c r="J109" s="2" t="n"/>
    </row>
    <row r="110">
      <c r="A110" s="41" t="n"/>
      <c r="B110" s="94" t="n"/>
      <c r="C110" s="43" t="n"/>
      <c r="D110" s="41" t="n"/>
      <c r="E110" s="41" t="n"/>
      <c r="F110" s="41" t="n"/>
      <c r="G110" s="41" t="n"/>
      <c r="H110" s="41" t="n"/>
      <c r="I110" s="2" t="n"/>
      <c r="J110" s="2" t="n"/>
    </row>
    <row r="111">
      <c r="A111" s="236" t="inlineStr">
        <is>
          <t>Услуги оказываем мы</t>
        </is>
      </c>
      <c r="B111" s="54" t="n"/>
      <c r="C111" s="54" t="n"/>
      <c r="D111" s="54" t="n"/>
      <c r="E111" s="54" t="n"/>
      <c r="F111" s="54" t="n"/>
      <c r="G111" s="54" t="n"/>
      <c r="H111" s="54" t="n"/>
      <c r="I111" s="237" t="n"/>
      <c r="J111" s="2" t="n"/>
    </row>
    <row r="112">
      <c r="A112" s="209" t="inlineStr">
        <is>
          <t>Контрагент</t>
        </is>
      </c>
      <c r="B112" s="238" t="inlineStr">
        <is>
          <t>вид услуги</t>
        </is>
      </c>
      <c r="C112" s="239" t="inlineStr">
        <is>
          <t>наименование</t>
        </is>
      </c>
      <c r="D112" s="240" t="inlineStr">
        <is>
          <t>вес, кг, шт</t>
        </is>
      </c>
      <c r="E112" s="240" t="inlineStr">
        <is>
          <t>цена</t>
        </is>
      </c>
      <c r="F112" s="240" t="inlineStr">
        <is>
          <t>сумма</t>
        </is>
      </c>
      <c r="G112" s="213" t="inlineStr">
        <is>
          <t>№УПД</t>
        </is>
      </c>
      <c r="H112" s="213" t="n"/>
      <c r="I112" s="2" t="n"/>
      <c r="J112" s="2" t="n"/>
    </row>
    <row r="113">
      <c r="A113" s="275" t="n"/>
      <c r="B113" s="276" t="n"/>
      <c r="C113" s="243" t="n"/>
      <c r="D113" s="244" t="n"/>
      <c r="E113" s="277" t="n"/>
      <c r="F113" s="278" t="n"/>
      <c r="G113" s="247" t="n"/>
      <c r="H113" s="248" t="n"/>
      <c r="I113" s="2" t="n"/>
      <c r="J113" s="2" t="n"/>
    </row>
    <row r="114">
      <c r="A114" s="249" t="n"/>
      <c r="B114" s="250" t="n"/>
      <c r="C114" s="251" t="n"/>
      <c r="D114" s="252" t="n"/>
      <c r="E114" s="253" t="n"/>
      <c r="F114" s="254">
        <f>D114*E114</f>
        <v/>
      </c>
      <c r="G114" s="255" t="n"/>
      <c r="H114" s="256" t="n"/>
      <c r="I114" s="2" t="n"/>
      <c r="J114" s="2" t="n"/>
    </row>
    <row r="115">
      <c r="A115" s="257" t="n"/>
      <c r="B115" s="258" t="n"/>
      <c r="C115" s="257" t="n"/>
      <c r="D115" s="257" t="n"/>
      <c r="E115" s="257" t="n"/>
      <c r="F115" s="254">
        <f>D115*E115</f>
        <v/>
      </c>
      <c r="G115" s="257" t="n"/>
      <c r="H115" s="257" t="n"/>
      <c r="I115" s="2" t="n"/>
      <c r="J115" s="2" t="n"/>
    </row>
    <row r="116">
      <c r="A116" s="249" t="n"/>
      <c r="B116" s="258" t="n"/>
      <c r="C116" s="257" t="n"/>
      <c r="D116" s="259" t="n"/>
      <c r="E116" s="257" t="n"/>
      <c r="F116" s="260" t="n"/>
      <c r="G116" s="257" t="n"/>
      <c r="H116" s="257" t="n"/>
      <c r="I116" s="2" t="n"/>
      <c r="J116" s="2" t="n"/>
    </row>
    <row r="117">
      <c r="A117" s="2" t="n"/>
      <c r="B117" s="261" t="n"/>
      <c r="C117" s="2" t="n"/>
      <c r="D117" s="2" t="n"/>
      <c r="E117" s="2" t="n"/>
      <c r="F117" s="262" t="n"/>
      <c r="G117" s="2" t="n"/>
      <c r="H117" s="2" t="n"/>
      <c r="I117" s="263" t="n"/>
      <c r="J117" s="264" t="n"/>
    </row>
  </sheetData>
  <mergeCells count="10">
    <mergeCell ref="A56:H56"/>
    <mergeCell ref="A1:J1"/>
    <mergeCell ref="K59:L59"/>
    <mergeCell ref="I57:L57"/>
    <mergeCell ref="A99:H99"/>
    <mergeCell ref="I59:J59"/>
    <mergeCell ref="A2:J2"/>
    <mergeCell ref="A32:H32"/>
    <mergeCell ref="A111:H111"/>
    <mergeCell ref="I58:J5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8.875" customWidth="1" min="6" max="6"/>
    <col width="9.625" customWidth="1" min="7" max="7"/>
    <col width="11.125" customWidth="1" min="8" max="8"/>
    <col width="18.25" customWidth="1" min="9" max="9"/>
    <col width="12" customWidth="1" min="10" max="10"/>
    <col width="13.875" customWidth="1" min="11" max="11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n"/>
      <c r="C4" s="268" t="n"/>
      <c r="D4" s="269" t="n"/>
      <c r="E4" s="17" t="n"/>
      <c r="F4" s="17" t="n"/>
      <c r="G4" s="270" t="n"/>
      <c r="H4" s="19" t="n"/>
      <c r="I4" s="19" t="n"/>
      <c r="J4" s="20" t="n"/>
      <c r="K4" s="346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67" t="n"/>
      <c r="C6" s="268" t="n"/>
      <c r="D6" s="269" t="n"/>
      <c r="E6" s="17" t="n"/>
      <c r="F6" s="17" t="n"/>
      <c r="G6" s="270" t="n"/>
      <c r="H6" s="19" t="n"/>
      <c r="I6" s="19" t="n"/>
      <c r="J6" s="20" t="n"/>
      <c r="K6" s="343" t="n"/>
    </row>
    <row r="7">
      <c r="A7" s="13" t="n"/>
      <c r="B7" s="267" t="n"/>
      <c r="C7" s="268" t="n"/>
      <c r="D7" s="269" t="n"/>
      <c r="E7" s="17" t="n"/>
      <c r="F7" s="17" t="n"/>
      <c r="G7" s="270" t="n"/>
      <c r="H7" s="19" t="n"/>
      <c r="I7" s="19" t="n"/>
      <c r="J7" s="20" t="n"/>
      <c r="K7" s="347" t="n"/>
    </row>
    <row r="8">
      <c r="A8" s="13" t="n"/>
      <c r="B8" s="244" t="n"/>
      <c r="C8" s="268" t="n"/>
      <c r="D8" s="269" t="n"/>
      <c r="E8" s="17" t="n"/>
      <c r="F8" s="17" t="n"/>
      <c r="G8" s="270" t="n"/>
      <c r="H8" s="19" t="n"/>
      <c r="I8" s="19" t="n"/>
      <c r="J8" s="20" t="n"/>
    </row>
    <row r="9">
      <c r="A9" s="13" t="n"/>
      <c r="B9" s="267" t="n"/>
      <c r="C9" s="268" t="n"/>
      <c r="D9" s="269" t="n"/>
      <c r="E9" s="17" t="n"/>
      <c r="F9" s="17" t="n"/>
      <c r="G9" s="270" t="n"/>
      <c r="H9" s="19" t="n"/>
      <c r="I9" s="19" t="n"/>
      <c r="J9" s="20" t="n"/>
      <c r="K9" s="346" t="n"/>
    </row>
    <row r="10">
      <c r="A10" s="13" t="n"/>
      <c r="B10" s="244" t="n"/>
      <c r="C10" s="268" t="n"/>
      <c r="D10" s="269" t="n"/>
      <c r="E10" s="17" t="n"/>
      <c r="F10" s="17" t="n"/>
      <c r="G10" s="270" t="n"/>
      <c r="H10" s="19" t="n"/>
      <c r="I10" s="19" t="n"/>
      <c r="J10" s="20" t="n"/>
    </row>
    <row r="11">
      <c r="A11" s="13" t="n"/>
      <c r="B11" s="30" t="n"/>
      <c r="C11" s="267" t="n"/>
      <c r="D11" s="269" t="n"/>
      <c r="E11" s="17" t="n"/>
      <c r="F11" s="17" t="n"/>
      <c r="G11" s="270" t="n"/>
      <c r="H11" s="19" t="n"/>
      <c r="I11" s="19" t="n"/>
      <c r="J11" s="20" t="n"/>
    </row>
    <row r="12">
      <c r="A12" s="13" t="n"/>
      <c r="B12" s="30" t="n"/>
      <c r="C12" s="268" t="n"/>
      <c r="D12" s="269" t="n"/>
      <c r="E12" s="17" t="n"/>
      <c r="F12" s="17" t="n"/>
      <c r="G12" s="270" t="n"/>
      <c r="H12" s="19" t="n"/>
      <c r="I12" s="19" t="n"/>
      <c r="J12" s="20" t="n"/>
    </row>
    <row r="13">
      <c r="A13" s="13" t="n"/>
      <c r="B13" s="30" t="n"/>
      <c r="C13" s="268" t="n"/>
      <c r="D13" s="269" t="n"/>
      <c r="E13" s="17" t="n"/>
      <c r="F13" s="17" t="n"/>
      <c r="G13" s="270" t="n"/>
      <c r="H13" s="19" t="n"/>
      <c r="I13" s="19" t="n"/>
      <c r="J13" s="20" t="n"/>
    </row>
    <row r="14">
      <c r="A14" s="13" t="n"/>
      <c r="B14" s="30" t="n"/>
      <c r="C14" s="268" t="n"/>
      <c r="D14" s="269" t="n"/>
      <c r="E14" s="17" t="n"/>
      <c r="F14" s="17" t="n"/>
      <c r="G14" s="270" t="n"/>
      <c r="H14" s="19" t="n"/>
      <c r="I14" s="19" t="n"/>
      <c r="J14" s="20" t="n"/>
    </row>
    <row r="15">
      <c r="A15" s="13" t="n"/>
      <c r="B15" s="30" t="n"/>
      <c r="C15" s="268" t="n"/>
      <c r="D15" s="269" t="n"/>
      <c r="E15" s="17" t="n"/>
      <c r="F15" s="17" t="n"/>
      <c r="G15" s="270" t="n"/>
      <c r="H15" s="19" t="n"/>
      <c r="I15" s="19" t="n"/>
      <c r="J15" s="20" t="n"/>
    </row>
    <row r="16">
      <c r="A16" s="13" t="n"/>
      <c r="B16" s="30" t="n"/>
      <c r="C16" s="268" t="n"/>
      <c r="D16" s="269" t="n"/>
      <c r="E16" s="17" t="n"/>
      <c r="F16" s="17" t="n"/>
      <c r="G16" s="270" t="n"/>
      <c r="H16" s="19" t="n"/>
      <c r="I16" s="19" t="n"/>
      <c r="J16" s="20" t="n"/>
    </row>
    <row r="17">
      <c r="A17" s="13" t="n"/>
      <c r="B17" s="30" t="n"/>
      <c r="C17" s="268" t="n"/>
      <c r="D17" s="269" t="n"/>
      <c r="E17" s="17" t="n"/>
      <c r="F17" s="17" t="n"/>
      <c r="G17" s="270" t="n"/>
      <c r="H17" s="19" t="n"/>
      <c r="I17" s="19" t="n"/>
      <c r="J17" s="20" t="n"/>
    </row>
    <row r="18">
      <c r="A18" s="13" t="n"/>
      <c r="B18" s="267" t="n"/>
      <c r="C18" s="268" t="n"/>
      <c r="D18" s="269" t="n"/>
      <c r="E18" s="16" t="n"/>
      <c r="F18" s="17" t="n"/>
      <c r="G18" s="270" t="n"/>
      <c r="H18" s="19" t="n"/>
      <c r="I18" s="19" t="n"/>
      <c r="J18" s="20" t="n"/>
    </row>
    <row r="19">
      <c r="A19" s="13" t="n"/>
      <c r="B19" s="30" t="n"/>
      <c r="C19" s="268" t="n"/>
      <c r="D19" s="269" t="n"/>
      <c r="E19" s="16" t="n"/>
      <c r="F19" s="17" t="n"/>
      <c r="G19" s="270" t="n"/>
      <c r="H19" s="19" t="n"/>
      <c r="I19" s="19" t="n"/>
      <c r="J19" s="20" t="n"/>
    </row>
    <row r="20">
      <c r="A20" s="13" t="n"/>
      <c r="B20" s="30" t="n"/>
      <c r="C20" s="268" t="n"/>
      <c r="D20" s="269" t="n"/>
      <c r="E20" s="16" t="n"/>
      <c r="F20" s="17" t="n"/>
      <c r="G20" s="270" t="n"/>
      <c r="H20" s="19" t="n"/>
      <c r="I20" s="19" t="n"/>
      <c r="J20" s="20" t="n"/>
    </row>
    <row r="21">
      <c r="A21" s="13" t="n"/>
      <c r="B21" s="30" t="n"/>
      <c r="C21" s="268" t="n"/>
      <c r="D21" s="269" t="n"/>
      <c r="E21" s="16" t="n"/>
      <c r="F21" s="17" t="n"/>
      <c r="G21" s="270" t="n"/>
      <c r="H21" s="19" t="n"/>
      <c r="I21" s="19" t="n"/>
      <c r="J21" s="20" t="n"/>
    </row>
    <row r="22">
      <c r="A22" s="13" t="n"/>
      <c r="B22" s="30" t="n"/>
      <c r="C22" s="268" t="n"/>
      <c r="D22" s="269" t="n"/>
      <c r="E22" s="16" t="n"/>
      <c r="F22" s="17" t="n"/>
      <c r="G22" s="270" t="n"/>
      <c r="H22" s="19" t="n"/>
      <c r="I22" s="19" t="n"/>
      <c r="J22" s="20" t="n"/>
    </row>
    <row r="23">
      <c r="A23" s="13" t="n"/>
      <c r="B23" s="30" t="n"/>
      <c r="C23" s="268" t="n"/>
      <c r="D23" s="269" t="n"/>
      <c r="E23" s="16" t="n"/>
      <c r="F23" s="17" t="n"/>
      <c r="G23" s="270" t="n"/>
      <c r="H23" s="19" t="n"/>
      <c r="I23" s="19" t="n"/>
      <c r="J23" s="20" t="n"/>
    </row>
    <row r="24">
      <c r="A24" s="13" t="n"/>
      <c r="B24" s="30" t="n"/>
      <c r="C24" s="21" t="n"/>
      <c r="D24" s="26" t="n"/>
      <c r="E24" s="16" t="n"/>
      <c r="F24" s="17" t="n"/>
      <c r="G24" s="270" t="n"/>
      <c r="H24" s="19" t="n"/>
      <c r="I24" s="19" t="n"/>
      <c r="J24" s="20" t="n"/>
    </row>
    <row r="25">
      <c r="A25" s="13" t="n"/>
      <c r="B25" s="30" t="n"/>
      <c r="C25" s="21" t="n"/>
      <c r="D25" s="26" t="n"/>
      <c r="E25" s="16" t="n"/>
      <c r="F25" s="17" t="n"/>
      <c r="G25" s="270" t="n"/>
      <c r="H25" s="19" t="n"/>
      <c r="I25" s="19" t="n"/>
      <c r="J25" s="20" t="n"/>
    </row>
    <row r="26">
      <c r="A26" s="29" t="n"/>
      <c r="B26" s="30" t="n"/>
      <c r="C26" s="21" t="n"/>
      <c r="D26" s="26" t="n"/>
      <c r="E26" s="16" t="n"/>
      <c r="F26" s="17" t="n"/>
      <c r="G26" s="270" t="n"/>
      <c r="H26" s="19" t="n"/>
      <c r="I26" s="19" t="n"/>
      <c r="J26" s="32" t="n"/>
    </row>
    <row r="27">
      <c r="A27" s="33" t="n"/>
      <c r="B27" s="34" t="n"/>
      <c r="C27" s="35" t="n"/>
      <c r="D27" s="33" t="n"/>
      <c r="E27" s="36">
        <f>SUM(E4:E26)</f>
        <v/>
      </c>
      <c r="F27" s="36">
        <f>SUM(F4:F26)</f>
        <v/>
      </c>
      <c r="G27" s="37">
        <f>SUM(G4:G26)</f>
        <v/>
      </c>
      <c r="H27" s="38" t="n"/>
      <c r="I27" s="39">
        <f>SUM(I4:I26)</f>
        <v/>
      </c>
      <c r="J27" s="40" t="n"/>
    </row>
    <row r="28">
      <c r="A28" s="41" t="n"/>
      <c r="B28" s="42" t="n"/>
      <c r="C28" s="43" t="n"/>
      <c r="D28" s="41" t="n"/>
      <c r="E28" s="41" t="n"/>
      <c r="F28" s="41" t="n"/>
      <c r="G28" s="41" t="n"/>
      <c r="H28" s="41" t="n"/>
      <c r="I28" s="2" t="n"/>
      <c r="J28" s="2" t="n"/>
    </row>
    <row r="29">
      <c r="A29" s="44" t="inlineStr">
        <is>
          <t xml:space="preserve">Поступление от </t>
        </is>
      </c>
      <c r="B29" s="45" t="inlineStr">
        <is>
          <t>сумма</t>
        </is>
      </c>
      <c r="C29" s="46" t="inlineStr">
        <is>
          <t>примечание</t>
        </is>
      </c>
      <c r="D29" s="47" t="n"/>
      <c r="E29" s="41" t="n"/>
      <c r="F29" s="41" t="n"/>
      <c r="G29" s="41" t="n"/>
      <c r="H29" s="41" t="n"/>
      <c r="I29" s="2" t="n"/>
      <c r="J29" s="2" t="n"/>
    </row>
    <row r="30">
      <c r="A30" s="48" t="n"/>
      <c r="B30" s="49" t="n"/>
      <c r="C30" s="50" t="n"/>
      <c r="D30" s="47" t="n"/>
      <c r="E30" s="41" t="n"/>
      <c r="F30" s="41" t="n"/>
      <c r="G30" s="41" t="n"/>
      <c r="H30" s="41" t="n"/>
      <c r="I30" s="2" t="n"/>
      <c r="J30" s="2" t="n"/>
    </row>
    <row r="31">
      <c r="A31" s="29" t="n"/>
      <c r="B31" s="51" t="n"/>
      <c r="C31" s="52" t="n"/>
      <c r="D31" s="47" t="n"/>
      <c r="E31" s="41" t="n"/>
      <c r="F31" s="41" t="n"/>
      <c r="G31" s="41" t="n"/>
      <c r="H31" s="41" t="n"/>
      <c r="I31" s="2" t="n"/>
      <c r="J31" s="2" t="n"/>
    </row>
    <row r="32">
      <c r="A32" s="53" t="inlineStr">
        <is>
          <t>Касса</t>
        </is>
      </c>
      <c r="B32" s="54" t="n"/>
      <c r="C32" s="54" t="n"/>
      <c r="D32" s="54" t="n"/>
      <c r="E32" s="54" t="n"/>
      <c r="F32" s="54" t="n"/>
      <c r="G32" s="54" t="n"/>
      <c r="H32" s="54" t="n"/>
      <c r="I32" s="2" t="n"/>
      <c r="J32" s="2" t="n"/>
    </row>
    <row r="33">
      <c r="A33" s="55" t="inlineStr">
        <is>
          <t>Производство</t>
        </is>
      </c>
      <c r="B33" s="56" t="n"/>
      <c r="C33" s="56" t="n"/>
      <c r="D33" s="47" t="n"/>
      <c r="E33" s="55" t="inlineStr">
        <is>
          <t xml:space="preserve">Бухгалтерия </t>
        </is>
      </c>
      <c r="F33" s="56" t="n"/>
      <c r="G33" s="56" t="n"/>
      <c r="H33" s="47" t="n"/>
      <c r="I33" s="57" t="n"/>
      <c r="J33" s="58" t="n"/>
    </row>
    <row r="34">
      <c r="A34" s="59" t="inlineStr">
        <is>
          <t>Остаток на начало дня:</t>
        </is>
      </c>
      <c r="B34" s="60" t="n"/>
      <c r="C34" s="61" t="n"/>
      <c r="D34" s="62" t="n">
        <v>72976.44999999995</v>
      </c>
      <c r="E34" s="59" t="inlineStr">
        <is>
          <t>Остаток на начало дня:</t>
        </is>
      </c>
      <c r="F34" s="63" t="n"/>
      <c r="G34" s="61" t="n"/>
      <c r="H34" s="64" t="n">
        <v>0</v>
      </c>
      <c r="I34" s="65" t="n"/>
      <c r="J34" s="2" t="n"/>
    </row>
    <row r="35">
      <c r="A35" s="66" t="n"/>
      <c r="B35" s="67" t="n"/>
      <c r="C35" s="68" t="n"/>
      <c r="D35" s="68" t="n"/>
      <c r="E35" s="69" t="n"/>
      <c r="F35" s="70" t="n"/>
      <c r="G35" s="71" t="n"/>
      <c r="H35" s="72">
        <f>F35*G35</f>
        <v/>
      </c>
      <c r="I35" s="313" t="n"/>
      <c r="J35" s="313" t="n"/>
    </row>
    <row r="36">
      <c r="A36" s="66" t="n"/>
      <c r="B36" s="67" t="n"/>
      <c r="C36" s="68" t="n"/>
      <c r="D36" s="68" t="n"/>
      <c r="E36" s="69" t="n"/>
      <c r="F36" s="70" t="n"/>
      <c r="G36" s="71" t="n"/>
      <c r="H36" s="72">
        <f>F36*G36</f>
        <v/>
      </c>
      <c r="I36" s="2" t="n"/>
      <c r="J36" s="2" t="n"/>
    </row>
    <row r="37">
      <c r="A37" s="66" t="n"/>
      <c r="B37" s="67" t="n"/>
      <c r="C37" s="68" t="n"/>
      <c r="D37" s="68" t="n"/>
      <c r="E37" s="69" t="n"/>
      <c r="F37" s="70" t="n"/>
      <c r="G37" s="71" t="n"/>
      <c r="H37" s="72">
        <f>F37*G37</f>
        <v/>
      </c>
      <c r="I37" s="2" t="n"/>
      <c r="J37" s="2" t="n"/>
    </row>
    <row r="38">
      <c r="A38" s="66" t="n"/>
      <c r="B38" s="67" t="n"/>
      <c r="C38" s="68" t="n"/>
      <c r="D38" s="68" t="n"/>
      <c r="E38" s="69" t="n"/>
      <c r="F38" s="70" t="n"/>
      <c r="G38" s="71" t="n"/>
      <c r="H38" s="72">
        <f>F38*G38</f>
        <v/>
      </c>
      <c r="I38" s="2" t="n"/>
      <c r="J38" s="2" t="n"/>
    </row>
    <row r="39">
      <c r="A39" s="66" t="n"/>
      <c r="B39" s="73" t="n"/>
      <c r="C39" s="74" t="n"/>
      <c r="D39" s="75" t="n"/>
      <c r="E39" s="69" t="n"/>
      <c r="F39" s="70" t="n"/>
      <c r="G39" s="71" t="n"/>
      <c r="H39" s="72">
        <f>F39*G39</f>
        <v/>
      </c>
      <c r="I39" s="2" t="n"/>
      <c r="J39" s="2" t="n"/>
    </row>
    <row r="40">
      <c r="A40" s="76" t="n"/>
      <c r="B40" s="67" t="n"/>
      <c r="C40" s="68" t="n"/>
      <c r="D40" s="75" t="n"/>
      <c r="E40" s="77" t="inlineStr">
        <is>
          <t>Итого приход:</t>
        </is>
      </c>
      <c r="F40" s="78" t="n"/>
      <c r="G40" s="79" t="n"/>
      <c r="H40" s="80">
        <f>SUM(H35:H36)</f>
        <v/>
      </c>
      <c r="I40" s="2" t="n"/>
      <c r="J40" s="2" t="n"/>
    </row>
    <row r="41">
      <c r="A41" s="76" t="inlineStr">
        <is>
          <t>Расход за день:</t>
        </is>
      </c>
      <c r="B41" s="67" t="n"/>
      <c r="C41" s="79" t="n"/>
      <c r="D41" s="80" t="n"/>
      <c r="E41" s="76" t="inlineStr">
        <is>
          <t>Расход за день:</t>
        </is>
      </c>
      <c r="F41" s="78" t="n"/>
      <c r="G41" s="79" t="n"/>
      <c r="H41" s="80" t="n"/>
      <c r="I41" s="2" t="n"/>
      <c r="J41" s="2" t="n"/>
    </row>
    <row r="42">
      <c r="A42" s="69" t="n"/>
      <c r="B42" s="67" t="n"/>
      <c r="C42" s="68" t="n"/>
      <c r="D42" s="68" t="n"/>
      <c r="E42" s="76" t="n"/>
      <c r="F42" s="78" t="n"/>
      <c r="G42" s="79" t="n"/>
      <c r="H42" s="80" t="n"/>
      <c r="I42" s="2" t="n"/>
      <c r="J42" s="2" t="n"/>
    </row>
    <row r="43">
      <c r="A43" s="81" t="n"/>
      <c r="B43" s="67" t="n"/>
      <c r="C43" s="68" t="n"/>
      <c r="D43" s="68" t="n"/>
      <c r="E43" s="76" t="n"/>
      <c r="F43" s="78" t="n"/>
      <c r="G43" s="79" t="n"/>
      <c r="H43" s="72">
        <f>F43*G43</f>
        <v/>
      </c>
      <c r="I43" s="2" t="n"/>
      <c r="J43" s="2" t="n"/>
    </row>
    <row r="44">
      <c r="A44" s="81" t="n"/>
      <c r="B44" s="67" t="n"/>
      <c r="C44" s="68" t="n"/>
      <c r="D44" s="68" t="n"/>
      <c r="E44" s="76" t="n"/>
      <c r="F44" s="78" t="n"/>
      <c r="G44" s="79" t="n"/>
      <c r="H44" s="72" t="n"/>
      <c r="I44" s="2" t="n"/>
      <c r="J44" s="2" t="n"/>
    </row>
    <row r="45">
      <c r="A45" s="81" t="n"/>
      <c r="B45" s="67" t="n"/>
      <c r="C45" s="68" t="n"/>
      <c r="D45" s="68" t="n"/>
      <c r="E45" s="76" t="n"/>
      <c r="F45" s="78" t="n"/>
      <c r="G45" s="79" t="n"/>
      <c r="H45" s="72">
        <f>F45*G45</f>
        <v/>
      </c>
      <c r="I45" s="2" t="n"/>
      <c r="J45" s="2" t="n"/>
    </row>
    <row r="46">
      <c r="A46" s="81" t="n"/>
      <c r="B46" s="67" t="n"/>
      <c r="C46" s="68" t="n"/>
      <c r="D46" s="68" t="n"/>
      <c r="E46" s="76" t="n"/>
      <c r="F46" s="78" t="n"/>
      <c r="G46" s="79" t="n"/>
      <c r="H46" s="72">
        <f>F46*G46</f>
        <v/>
      </c>
      <c r="I46" s="2" t="n"/>
      <c r="J46" s="2" t="n"/>
    </row>
    <row r="47">
      <c r="A47" s="69" t="n"/>
      <c r="B47" s="67" t="n"/>
      <c r="C47" s="68" t="n"/>
      <c r="D47" s="74" t="n"/>
      <c r="E47" s="76" t="n"/>
      <c r="F47" s="78" t="n"/>
      <c r="G47" s="79" t="n"/>
      <c r="H47" s="72">
        <f>F47*G47</f>
        <v/>
      </c>
      <c r="I47" s="2" t="n"/>
      <c r="J47" s="2" t="n"/>
    </row>
    <row r="48">
      <c r="A48" s="69" t="n"/>
      <c r="B48" s="67" t="n"/>
      <c r="C48" s="68" t="n"/>
      <c r="D48" s="74" t="n"/>
      <c r="E48" s="76" t="n"/>
      <c r="F48" s="78" t="n"/>
      <c r="G48" s="79" t="n"/>
      <c r="H48" s="72">
        <f>F48*G48</f>
        <v/>
      </c>
      <c r="I48" s="2" t="n"/>
      <c r="J48" s="2" t="n"/>
    </row>
    <row r="49">
      <c r="A49" s="69" t="n"/>
      <c r="B49" s="67" t="n"/>
      <c r="C49" s="68" t="n"/>
      <c r="D49" s="74" t="n"/>
      <c r="E49" s="76" t="n"/>
      <c r="F49" s="78" t="n"/>
      <c r="G49" s="79" t="n"/>
      <c r="H49" s="72">
        <f>F49*G49</f>
        <v/>
      </c>
      <c r="I49" s="2" t="n"/>
      <c r="J49" s="2" t="n"/>
    </row>
    <row r="50">
      <c r="A50" s="69" t="n"/>
      <c r="B50" s="67" t="n"/>
      <c r="C50" s="68" t="n"/>
      <c r="D50" s="75" t="n"/>
      <c r="E50" s="76" t="n"/>
      <c r="F50" s="78" t="n"/>
      <c r="G50" s="79" t="n"/>
      <c r="H50" s="72">
        <f>F50*G50</f>
        <v/>
      </c>
      <c r="I50" s="313" t="n"/>
      <c r="J50" s="2" t="n"/>
    </row>
    <row r="51">
      <c r="A51" s="69" t="n"/>
      <c r="B51" s="67" t="n"/>
      <c r="C51" s="68" t="n"/>
      <c r="D51" s="75" t="n"/>
      <c r="E51" s="76" t="n"/>
      <c r="F51" s="78" t="n"/>
      <c r="G51" s="79" t="n"/>
      <c r="H51" s="72">
        <f>F51*G51</f>
        <v/>
      </c>
      <c r="I51" s="2" t="n"/>
      <c r="J51" s="2" t="n"/>
    </row>
    <row r="52">
      <c r="A52" s="69" t="n"/>
      <c r="B52" s="67" t="n"/>
      <c r="C52" s="68" t="n"/>
      <c r="D52" s="75" t="n"/>
      <c r="E52" s="76" t="n"/>
      <c r="F52" s="78" t="n"/>
      <c r="G52" s="79" t="n"/>
      <c r="H52" s="72">
        <f>F52*G52</f>
        <v/>
      </c>
      <c r="I52" s="2" t="n"/>
      <c r="J52" s="2" t="n"/>
    </row>
    <row r="53">
      <c r="A53" s="83" t="n"/>
      <c r="B53" s="67" t="n"/>
      <c r="C53" s="68" t="n"/>
      <c r="D53" s="84" t="n"/>
      <c r="E53" s="85" t="inlineStr">
        <is>
          <t>Итого расход:</t>
        </is>
      </c>
      <c r="F53" s="78" t="n"/>
      <c r="G53" s="79" t="n"/>
      <c r="H53" s="72">
        <f>F53*G53</f>
        <v/>
      </c>
      <c r="I53" s="86" t="n"/>
      <c r="J53" s="86" t="n"/>
    </row>
    <row r="54">
      <c r="A54" s="87" t="inlineStr">
        <is>
          <t>Остаток на конец дня:</t>
        </is>
      </c>
      <c r="B54" s="88" t="n"/>
      <c r="C54" s="89" t="n"/>
      <c r="D54" s="90">
        <f>SUM(D35,D36:D39,D34,)-SUM(D42:D53,)</f>
        <v/>
      </c>
      <c r="E54" s="87" t="inlineStr">
        <is>
          <t>Остаток на конец дня:</t>
        </is>
      </c>
      <c r="F54" s="91" t="n"/>
      <c r="G54" s="89" t="n"/>
      <c r="H54" s="92">
        <f>SUM(H34+H40-H53)</f>
        <v/>
      </c>
      <c r="I54" s="2" t="n"/>
      <c r="J54" s="2" t="n"/>
    </row>
    <row r="55">
      <c r="A55" s="93" t="n"/>
      <c r="B55" s="94" t="n"/>
      <c r="C55" s="43" t="n"/>
      <c r="D55" s="41" t="n"/>
      <c r="E55" s="41" t="n"/>
      <c r="F55" s="41" t="n"/>
      <c r="G55" s="2" t="n"/>
      <c r="H55" s="2" t="n"/>
      <c r="I55" s="2" t="n"/>
      <c r="J55" s="2" t="n"/>
    </row>
    <row r="56">
      <c r="A56" s="95" t="inlineStr">
        <is>
          <t>Расчётный счёт</t>
        </is>
      </c>
      <c r="B56" s="54" t="n"/>
      <c r="C56" s="54" t="n"/>
      <c r="D56" s="54" t="n"/>
      <c r="E56" s="54" t="n"/>
      <c r="F56" s="54" t="n"/>
      <c r="G56" s="54" t="n"/>
      <c r="H56" s="54" t="n"/>
      <c r="I56" s="2" t="n"/>
      <c r="J56" s="2" t="n"/>
    </row>
    <row r="57">
      <c r="A57" s="96" t="inlineStr">
        <is>
          <t>ВТБ</t>
        </is>
      </c>
      <c r="B57" s="279" t="inlineStr">
        <is>
          <t>ВТБ</t>
        </is>
      </c>
      <c r="C57" s="279" t="n"/>
      <c r="D57" s="47" t="n"/>
      <c r="E57" s="97" t="inlineStr">
        <is>
          <t>Альфабанк</t>
        </is>
      </c>
      <c r="F57" s="56" t="n"/>
      <c r="G57" s="56" t="n"/>
      <c r="H57" s="47" t="n"/>
      <c r="I57" s="330" t="inlineStr">
        <is>
          <t>Уралсиб</t>
        </is>
      </c>
    </row>
    <row r="58">
      <c r="A58" s="98" t="inlineStr">
        <is>
          <t>Остаток на начало дня:</t>
        </is>
      </c>
      <c r="B58" s="280" t="n"/>
      <c r="C58" s="290" t="n">
        <v>1106.18</v>
      </c>
      <c r="D58" s="56" t="n"/>
      <c r="E58" s="100" t="inlineStr">
        <is>
          <t>Остаток на начало дня:</t>
        </is>
      </c>
      <c r="F58" s="47" t="n"/>
      <c r="G58" s="101" t="n">
        <v>2428.5</v>
      </c>
      <c r="H58" s="47" t="n"/>
      <c r="I58" s="330" t="inlineStr">
        <is>
          <t>Остаток на начало дня :</t>
        </is>
      </c>
      <c r="J58" s="332" t="n"/>
    </row>
    <row r="59">
      <c r="A59" s="102" t="inlineStr">
        <is>
          <t>Поступление</t>
        </is>
      </c>
      <c r="B59" s="47" t="n"/>
      <c r="C59" s="102" t="inlineStr">
        <is>
          <t>Расход</t>
        </is>
      </c>
      <c r="D59" s="47" t="n"/>
      <c r="E59" s="102" t="inlineStr">
        <is>
          <t>Поступление</t>
        </is>
      </c>
      <c r="F59" s="47" t="n"/>
      <c r="G59" s="102" t="inlineStr">
        <is>
          <t>Расход</t>
        </is>
      </c>
      <c r="H59" s="47" t="n"/>
      <c r="I59" s="334" t="inlineStr">
        <is>
          <t xml:space="preserve">Поступление </t>
        </is>
      </c>
      <c r="J59" s="332" t="n"/>
    </row>
    <row r="60">
      <c r="A60" s="103" t="inlineStr">
        <is>
          <t>от кого</t>
        </is>
      </c>
      <c r="B60" s="103" t="inlineStr">
        <is>
          <t>сумма</t>
        </is>
      </c>
      <c r="C60" s="103" t="inlineStr">
        <is>
          <t>кому</t>
        </is>
      </c>
      <c r="D60" s="103" t="inlineStr">
        <is>
          <t>сумма</t>
        </is>
      </c>
      <c r="E60" s="103" t="inlineStr">
        <is>
          <t>от кого</t>
        </is>
      </c>
      <c r="F60" s="103" t="inlineStr">
        <is>
          <t>сумма</t>
        </is>
      </c>
      <c r="G60" s="336" t="inlineStr">
        <is>
          <t xml:space="preserve">кому </t>
        </is>
      </c>
      <c r="H60" s="103" t="inlineStr">
        <is>
          <t>сумма</t>
        </is>
      </c>
      <c r="I60" s="334" t="inlineStr">
        <is>
          <t xml:space="preserve">от кого </t>
        </is>
      </c>
      <c r="J60" s="334" t="inlineStr">
        <is>
          <t xml:space="preserve">сумма </t>
        </is>
      </c>
    </row>
    <row r="61">
      <c r="A61" s="104" t="n"/>
      <c r="B61" s="281" t="n"/>
      <c r="C61" s="106" t="n"/>
      <c r="D61" s="107" t="n"/>
      <c r="E61" s="108" t="n"/>
      <c r="F61" s="109" t="n"/>
      <c r="G61" s="110" t="n"/>
      <c r="H61" s="109" t="n"/>
      <c r="I61" s="338" t="n"/>
      <c r="J61" s="339" t="n"/>
    </row>
    <row r="62">
      <c r="A62" s="282" t="n"/>
      <c r="B62" s="281" t="n"/>
      <c r="C62" s="112" t="n"/>
      <c r="D62" s="107" t="n"/>
      <c r="E62" s="110" t="n"/>
      <c r="F62" s="109" t="n"/>
      <c r="G62" s="110" t="n"/>
      <c r="H62" s="109" t="n"/>
      <c r="I62" s="338" t="n"/>
      <c r="J62" s="338" t="n"/>
    </row>
    <row r="63">
      <c r="A63" s="111" t="n"/>
      <c r="B63" s="283" t="n"/>
      <c r="C63" s="113" t="n"/>
      <c r="D63" s="107" t="n"/>
      <c r="E63" s="110" t="n"/>
      <c r="F63" s="109" t="n"/>
      <c r="G63" s="114" t="n"/>
      <c r="H63" s="109" t="n"/>
      <c r="I63" s="338" t="n"/>
      <c r="J63" s="338" t="n"/>
    </row>
    <row r="64">
      <c r="A64" s="115" t="n"/>
      <c r="B64" s="283" t="n"/>
      <c r="C64" s="113" t="n"/>
      <c r="D64" s="107" t="n"/>
      <c r="E64" s="108" t="n"/>
      <c r="F64" s="116" t="n"/>
      <c r="G64" s="114" t="n"/>
      <c r="H64" s="109" t="n"/>
      <c r="I64" s="338" t="n"/>
      <c r="J64" s="338" t="n"/>
    </row>
    <row r="65">
      <c r="A65" s="117" t="n"/>
      <c r="B65" s="283" t="n"/>
      <c r="C65" s="113" t="n"/>
      <c r="D65" s="107" t="n"/>
      <c r="E65" s="118" t="n"/>
      <c r="F65" s="119" t="n"/>
      <c r="G65" s="120" t="n"/>
      <c r="H65" s="120" t="n"/>
      <c r="I65" s="338" t="n"/>
      <c r="J65" s="338" t="n"/>
    </row>
    <row r="66">
      <c r="A66" s="117" t="n"/>
      <c r="B66" s="283" t="n"/>
      <c r="C66" s="113" t="n"/>
      <c r="D66" s="107" t="n"/>
      <c r="E66" s="118" t="n"/>
      <c r="F66" s="119" t="n"/>
      <c r="G66" s="121" t="n"/>
      <c r="H66" s="120" t="n"/>
      <c r="I66" s="338" t="n"/>
      <c r="J66" s="338" t="n"/>
    </row>
    <row r="67">
      <c r="A67" s="122" t="n"/>
      <c r="B67" s="283" t="n"/>
      <c r="C67" s="113" t="n"/>
      <c r="D67" s="107" t="n"/>
      <c r="E67" s="118" t="n"/>
      <c r="F67" s="118" t="n"/>
      <c r="G67" s="123" t="n"/>
      <c r="H67" s="120" t="n"/>
      <c r="I67" s="338" t="n"/>
      <c r="J67" s="338" t="n"/>
    </row>
    <row r="68">
      <c r="A68" s="124" t="n"/>
      <c r="B68" s="284" t="n"/>
      <c r="C68" s="113" t="n"/>
      <c r="D68" s="107" t="n"/>
      <c r="E68" s="124" t="n"/>
      <c r="F68" s="118" t="n"/>
      <c r="G68" s="110" t="n"/>
      <c r="H68" s="120" t="n"/>
      <c r="I68" s="338" t="n"/>
      <c r="J68" s="338" t="n"/>
    </row>
    <row r="69">
      <c r="A69" s="124" t="n"/>
      <c r="B69" s="285" t="n"/>
      <c r="C69" s="112" t="n"/>
      <c r="D69" s="126" t="n"/>
      <c r="E69" s="124" t="n"/>
      <c r="F69" s="118" t="n"/>
      <c r="G69" s="110" t="n"/>
      <c r="H69" s="120" t="n"/>
      <c r="I69" s="338" t="n"/>
      <c r="J69" s="338" t="n"/>
    </row>
    <row r="70">
      <c r="A70" s="124" t="n"/>
      <c r="B70" s="285" t="n"/>
      <c r="C70" s="112" t="n"/>
      <c r="D70" s="126" t="n"/>
      <c r="E70" s="124" t="n"/>
      <c r="F70" s="118" t="n"/>
      <c r="G70" s="110" t="n"/>
      <c r="H70" s="120" t="n"/>
      <c r="I70" s="338" t="n"/>
      <c r="J70" s="338" t="n"/>
    </row>
    <row r="71">
      <c r="A71" s="124" t="n"/>
      <c r="B71" s="285" t="n"/>
      <c r="C71" s="112" t="n"/>
      <c r="D71" s="126" t="n"/>
      <c r="E71" s="124" t="n"/>
      <c r="F71" s="118" t="n"/>
      <c r="G71" s="110" t="n"/>
      <c r="H71" s="120" t="n"/>
      <c r="I71" s="338" t="n"/>
      <c r="J71" s="338" t="n"/>
    </row>
    <row r="72">
      <c r="A72" s="124" t="n"/>
      <c r="B72" s="285" t="n"/>
      <c r="C72" s="112" t="n"/>
      <c r="D72" s="343" t="n"/>
      <c r="E72" s="124" t="n"/>
      <c r="F72" s="118" t="n"/>
      <c r="G72" s="110" t="n"/>
      <c r="H72" s="120" t="n"/>
      <c r="I72" s="338" t="n"/>
      <c r="J72" s="338" t="n"/>
    </row>
    <row r="73">
      <c r="A73" s="124" t="n"/>
      <c r="B73" s="125" t="n"/>
      <c r="C73" s="110" t="n"/>
      <c r="D73" s="126" t="n"/>
      <c r="E73" s="124" t="n"/>
      <c r="F73" s="118" t="n"/>
      <c r="G73" s="110" t="n"/>
      <c r="H73" s="120" t="n"/>
      <c r="I73" s="338" t="n"/>
      <c r="J73" s="338" t="n"/>
    </row>
    <row r="74">
      <c r="A74" s="127" t="n"/>
      <c r="B74" s="128">
        <f>SUM(B61:B73)+C58</f>
        <v/>
      </c>
      <c r="C74" s="129" t="n"/>
      <c r="D74" s="128">
        <f>SUM(D61:D73)</f>
        <v/>
      </c>
      <c r="E74" s="130" t="n"/>
      <c r="F74" s="130">
        <f>SUM(F61:F73)</f>
        <v/>
      </c>
      <c r="G74" s="130" t="n"/>
      <c r="H74" s="130">
        <f>SUM(H61:H73)</f>
        <v/>
      </c>
      <c r="I74" s="344" t="n"/>
      <c r="J74" s="345" t="n"/>
    </row>
    <row r="75">
      <c r="A75" s="131" t="inlineStr">
        <is>
          <t>Остаток на конец дня:</t>
        </is>
      </c>
      <c r="B75" s="132">
        <f>B74-D74</f>
        <v/>
      </c>
      <c r="C75" s="56" t="n"/>
      <c r="D75" s="47" t="n"/>
      <c r="E75" s="100" t="inlineStr">
        <is>
          <t>Остаток на конец дня:</t>
        </is>
      </c>
      <c r="F75" s="101" t="n">
        <v>2428.5</v>
      </c>
      <c r="G75" s="56" t="n"/>
      <c r="H75" s="47" t="n"/>
      <c r="I75" s="330" t="inlineStr">
        <is>
          <t xml:space="preserve">Остаток на конец дня </t>
        </is>
      </c>
      <c r="J75" s="344" t="n"/>
    </row>
    <row r="76">
      <c r="A76" s="133" t="inlineStr">
        <is>
          <t>ИТОГО:</t>
        </is>
      </c>
      <c r="B76" s="47" t="n"/>
      <c r="C76" s="134" t="n">
        <v>3534.68</v>
      </c>
      <c r="D76" s="56" t="n"/>
      <c r="E76" s="56" t="n"/>
      <c r="F76" s="56" t="n"/>
      <c r="G76" s="56" t="n"/>
      <c r="H76" s="47" t="n"/>
      <c r="I76" s="257" t="n"/>
      <c r="J76" s="257" t="n"/>
    </row>
    <row r="77">
      <c r="A77" s="41" t="n"/>
      <c r="B77" s="94" t="n"/>
      <c r="C77" s="43" t="n"/>
      <c r="D77" s="41" t="n"/>
      <c r="E77" s="41" t="n"/>
      <c r="F77" s="41" t="n"/>
      <c r="G77" s="41" t="n"/>
      <c r="H77" s="93" t="n"/>
      <c r="I77" s="135" t="n"/>
      <c r="J77" s="135" t="n"/>
    </row>
    <row r="78">
      <c r="A78" s="136" t="n"/>
      <c r="B78" s="137" t="inlineStr">
        <is>
          <t>Реализация по безналичному расчёту</t>
        </is>
      </c>
      <c r="D78" s="2" t="n"/>
      <c r="E78" s="41" t="n"/>
      <c r="F78" s="41" t="n"/>
      <c r="G78" s="41" t="n"/>
      <c r="H78" s="138" t="n"/>
      <c r="I78" s="2" t="n"/>
      <c r="J78" s="2" t="n"/>
    </row>
    <row r="79">
      <c r="A79" s="139" t="inlineStr">
        <is>
          <t>Контрагент</t>
        </is>
      </c>
      <c r="B79" s="140" t="inlineStr">
        <is>
          <t>поставщик</t>
        </is>
      </c>
      <c r="C79" s="141" t="inlineStr">
        <is>
          <t>наименование</t>
        </is>
      </c>
      <c r="D79" s="142" t="inlineStr">
        <is>
          <t>вес упаковки, тарелки</t>
        </is>
      </c>
      <c r="E79" s="143" t="inlineStr">
        <is>
          <t>кол.-во пакетов, коробок</t>
        </is>
      </c>
      <c r="F79" s="144" t="inlineStr">
        <is>
          <t>кол-во мест в коробке/упаковке</t>
        </is>
      </c>
      <c r="G79" s="145" t="inlineStr">
        <is>
          <t>общий вес, кг.</t>
        </is>
      </c>
      <c r="H79" s="146" t="inlineStr">
        <is>
          <t>цена пакет, тарелка</t>
        </is>
      </c>
      <c r="I79" s="147" t="inlineStr">
        <is>
          <t>сумма</t>
        </is>
      </c>
      <c r="J79" s="348" t="inlineStr">
        <is>
          <t>Комментарий</t>
        </is>
      </c>
    </row>
    <row r="80">
      <c r="A80" s="244" t="inlineStr">
        <is>
          <t>Элемент трейд</t>
        </is>
      </c>
      <c r="B80" s="267" t="inlineStr">
        <is>
          <t>Снекпром</t>
        </is>
      </c>
      <c r="C80" s="268" t="inlineStr">
        <is>
          <t>Арахис в хрустящей корочке "Квадромикс", тарелка 200 г</t>
        </is>
      </c>
      <c r="D80" s="269" t="n">
        <v>0.2</v>
      </c>
      <c r="E80" s="51" t="n">
        <v>480</v>
      </c>
      <c r="F80" s="51" t="n">
        <v>18</v>
      </c>
      <c r="G80" s="349">
        <f>F80*E80*D80</f>
        <v/>
      </c>
      <c r="H80" s="350" t="n">
        <v>68</v>
      </c>
      <c r="I80" s="350">
        <f>H80*F80*E80</f>
        <v/>
      </c>
      <c r="J80" s="351" t="inlineStr">
        <is>
          <t>Пермь</t>
        </is>
      </c>
      <c r="K80" s="346" t="n"/>
    </row>
    <row r="81">
      <c r="A81" s="244" t="n"/>
      <c r="B81" s="267" t="n"/>
      <c r="C81" s="268" t="inlineStr">
        <is>
          <t>Ассорти арахиса жареного со специями, тарелка 200 г</t>
        </is>
      </c>
      <c r="D81" s="269" t="n">
        <v>0.2</v>
      </c>
      <c r="E81" s="51" t="n">
        <v>80</v>
      </c>
      <c r="F81" s="51" t="n">
        <v>18</v>
      </c>
      <c r="G81" s="349">
        <f>F81*E81*D81</f>
        <v/>
      </c>
      <c r="H81" s="350" t="n">
        <v>94.09999999999999</v>
      </c>
      <c r="I81" s="350">
        <f>H81*F81*E81</f>
        <v/>
      </c>
      <c r="J81" s="352" t="n"/>
    </row>
    <row r="82">
      <c r="A82" s="244" t="inlineStr">
        <is>
          <t>Элемент трейд</t>
        </is>
      </c>
      <c r="B82" s="267" t="inlineStr">
        <is>
          <t>Снекпром</t>
        </is>
      </c>
      <c r="C82" s="268" t="inlineStr">
        <is>
          <t>Арахис в хрустящей корочке "Квадромикс", тарелка 200 г</t>
        </is>
      </c>
      <c r="D82" s="269" t="n">
        <v>0.2</v>
      </c>
      <c r="E82" s="51" t="n">
        <v>640</v>
      </c>
      <c r="F82" s="51" t="n">
        <v>18</v>
      </c>
      <c r="G82" s="349">
        <f>F82*E82*D82</f>
        <v/>
      </c>
      <c r="H82" s="350" t="n">
        <v>72</v>
      </c>
      <c r="I82" s="350">
        <f>H82*F82*E82</f>
        <v/>
      </c>
      <c r="J82" s="353" t="inlineStr">
        <is>
          <t>Новосибирск</t>
        </is>
      </c>
      <c r="K82" s="343" t="n"/>
    </row>
    <row r="83">
      <c r="A83" s="244" t="inlineStr">
        <is>
          <t>Элемент трейд</t>
        </is>
      </c>
      <c r="B83" s="267" t="inlineStr">
        <is>
          <t>Снекпром</t>
        </is>
      </c>
      <c r="C83" s="268" t="inlineStr">
        <is>
          <t>Арахис в хрустящей корочке "Квадромикс", тарелка 200 г</t>
        </is>
      </c>
      <c r="D83" s="269" t="n">
        <v>0.2</v>
      </c>
      <c r="E83" s="51" t="n">
        <v>400</v>
      </c>
      <c r="F83" s="51" t="n">
        <v>18</v>
      </c>
      <c r="G83" s="349">
        <f>F83*E83*D83</f>
        <v/>
      </c>
      <c r="H83" s="350" t="n">
        <v>68</v>
      </c>
      <c r="I83" s="350">
        <f>H83*F83*E83</f>
        <v/>
      </c>
      <c r="J83" s="354" t="inlineStr">
        <is>
          <t>Екатеринбург</t>
        </is>
      </c>
      <c r="K83" s="347" t="n"/>
    </row>
    <row r="84">
      <c r="A84" s="244" t="n"/>
      <c r="B84" s="244" t="n"/>
      <c r="C84" s="268" t="inlineStr">
        <is>
          <t>Ассорти арахиса жареного со специями, тарелка 200 г</t>
        </is>
      </c>
      <c r="D84" s="269" t="n">
        <v>0.2</v>
      </c>
      <c r="E84" s="51" t="n">
        <v>80</v>
      </c>
      <c r="F84" s="51" t="n">
        <v>18</v>
      </c>
      <c r="G84" s="349">
        <f>F84*E84*D84</f>
        <v/>
      </c>
      <c r="H84" s="350" t="n">
        <v>94.09999999999999</v>
      </c>
      <c r="I84" s="350">
        <f>H84*F84*E84</f>
        <v/>
      </c>
      <c r="J84" s="352" t="n"/>
    </row>
    <row r="85">
      <c r="A85" s="244" t="inlineStr">
        <is>
          <t>Элемент трейд</t>
        </is>
      </c>
      <c r="B85" s="267" t="inlineStr">
        <is>
          <t>Снекпром</t>
        </is>
      </c>
      <c r="C85" s="268" t="inlineStr">
        <is>
          <t>Арахис в хрустящей корочке "Квадромикс", тарелка 200 г</t>
        </is>
      </c>
      <c r="D85" s="269" t="n">
        <v>0.2</v>
      </c>
      <c r="E85" s="51" t="n">
        <v>80</v>
      </c>
      <c r="F85" s="51" t="n">
        <v>18</v>
      </c>
      <c r="G85" s="349">
        <f>F85*E85*D85</f>
        <v/>
      </c>
      <c r="H85" s="350" t="n">
        <v>94.09999999999999</v>
      </c>
      <c r="I85" s="350">
        <f>H85*F85*E85</f>
        <v/>
      </c>
      <c r="J85" s="351" t="inlineStr">
        <is>
          <t>Уфа</t>
        </is>
      </c>
      <c r="K85" s="346" t="n"/>
    </row>
    <row r="86">
      <c r="A86" s="244" t="n"/>
      <c r="B86" s="244" t="n"/>
      <c r="C86" s="268" t="inlineStr">
        <is>
          <t>Ассорти арахиса жареного со специями, тарелка 200 г</t>
        </is>
      </c>
      <c r="D86" s="269" t="n">
        <v>0.2</v>
      </c>
      <c r="E86" s="51" t="n">
        <v>80</v>
      </c>
      <c r="F86" s="51" t="n">
        <v>18</v>
      </c>
      <c r="G86" s="349">
        <f>F86*E86*D86</f>
        <v/>
      </c>
      <c r="H86" s="350" t="n">
        <v>68</v>
      </c>
      <c r="I86" s="350">
        <f>H86*F86*E86</f>
        <v/>
      </c>
      <c r="J86" s="352" t="n"/>
    </row>
    <row r="87">
      <c r="A87" s="162" t="n"/>
      <c r="B87" s="163" t="n"/>
      <c r="C87" s="164" t="n"/>
      <c r="D87" s="165" t="n"/>
      <c r="E87" s="166" t="n"/>
      <c r="F87" s="167" t="n"/>
      <c r="G87" s="168" t="n"/>
      <c r="H87" s="169" t="n"/>
      <c r="I87" s="170" t="n"/>
      <c r="J87" s="161" t="n"/>
    </row>
    <row r="88">
      <c r="A88" s="162" t="n"/>
      <c r="B88" s="163" t="n"/>
      <c r="C88" s="171" t="n"/>
      <c r="D88" s="153" t="n"/>
      <c r="E88" s="172" t="n"/>
      <c r="F88" s="155" t="n"/>
      <c r="G88" s="168" t="n"/>
      <c r="H88" s="156" t="n"/>
      <c r="I88" s="170" t="n"/>
      <c r="J88" s="161" t="n"/>
    </row>
    <row r="89">
      <c r="A89" s="162" t="n"/>
      <c r="B89" s="163" t="n"/>
      <c r="C89" s="171" t="n"/>
      <c r="D89" s="153" t="n"/>
      <c r="E89" s="172" t="n"/>
      <c r="F89" s="155" t="n"/>
      <c r="G89" s="168" t="n"/>
      <c r="H89" s="156" t="n"/>
      <c r="I89" s="170" t="n"/>
      <c r="J89" s="161" t="n"/>
    </row>
    <row r="90">
      <c r="A90" s="162" t="n"/>
      <c r="B90" s="163" t="n"/>
      <c r="C90" s="171" t="n"/>
      <c r="D90" s="153" t="n"/>
      <c r="E90" s="172" t="n"/>
      <c r="F90" s="155" t="n"/>
      <c r="G90" s="168" t="n"/>
      <c r="H90" s="156" t="n"/>
      <c r="I90" s="170" t="n"/>
      <c r="J90" s="161" t="n"/>
    </row>
    <row r="91">
      <c r="A91" s="162" t="n"/>
      <c r="B91" s="163" t="n"/>
      <c r="C91" s="171" t="n"/>
      <c r="D91" s="153" t="n"/>
      <c r="E91" s="172" t="n"/>
      <c r="F91" s="155" t="n"/>
      <c r="G91" s="168" t="n"/>
      <c r="H91" s="156" t="n"/>
      <c r="I91" s="170" t="n"/>
      <c r="J91" s="161" t="n"/>
    </row>
    <row r="92">
      <c r="A92" s="173" t="n"/>
      <c r="B92" s="174" t="n"/>
      <c r="C92" s="175" t="n"/>
      <c r="D92" s="176" t="n"/>
      <c r="E92" s="177" t="n"/>
      <c r="F92" s="178" t="n"/>
      <c r="G92" s="179" t="n"/>
      <c r="H92" s="180" t="n"/>
      <c r="I92" s="181" t="n"/>
      <c r="J92" s="161" t="n"/>
    </row>
    <row r="93">
      <c r="A93" s="182" t="n"/>
      <c r="B93" s="163" t="n"/>
      <c r="C93" s="183" t="n"/>
      <c r="D93" s="184" t="n"/>
      <c r="E93" s="166" t="n"/>
      <c r="F93" s="167" t="n"/>
      <c r="G93" s="185">
        <f>D93*F93</f>
        <v/>
      </c>
      <c r="H93" s="186" t="n"/>
      <c r="I93" s="186">
        <f>F93*H93*E93</f>
        <v/>
      </c>
      <c r="J93" s="187" t="n"/>
    </row>
    <row r="94">
      <c r="A94" s="182" t="n"/>
      <c r="B94" s="163" t="n"/>
      <c r="C94" s="188" t="n"/>
      <c r="D94" s="189" t="n"/>
      <c r="E94" s="190" t="n"/>
      <c r="F94" s="189" t="n"/>
      <c r="G94" s="185">
        <f>D94*F94</f>
        <v/>
      </c>
      <c r="H94" s="191" t="n"/>
      <c r="I94" s="186">
        <f>F94*H94*E94</f>
        <v/>
      </c>
      <c r="J94" s="187" t="n"/>
    </row>
    <row r="95">
      <c r="A95" s="192" t="inlineStr">
        <is>
          <t>ИТОГО:</t>
        </is>
      </c>
      <c r="B95" s="193" t="n"/>
      <c r="C95" s="194" t="n"/>
      <c r="D95" s="195" t="n"/>
      <c r="E95" s="196">
        <f>SUM(E80:E94)</f>
        <v/>
      </c>
      <c r="F95" s="197">
        <f>SUM(F80:F92)</f>
        <v/>
      </c>
      <c r="G95" s="198">
        <f>SUM(G80:G87)</f>
        <v/>
      </c>
      <c r="H95" s="199" t="n"/>
      <c r="I95" s="199">
        <f>SUM(I80:I88)</f>
        <v/>
      </c>
      <c r="J95" s="200" t="n"/>
    </row>
    <row r="96">
      <c r="A96" s="2" t="n"/>
      <c r="B96" s="94" t="n"/>
      <c r="C96" s="43" t="n"/>
      <c r="D96" s="41" t="n"/>
      <c r="E96" s="41" t="n"/>
      <c r="F96" s="41" t="n"/>
      <c r="G96" s="41" t="n"/>
      <c r="H96" s="2" t="n"/>
      <c r="I96" s="2" t="n"/>
      <c r="J96" s="2" t="n"/>
    </row>
    <row r="97">
      <c r="A97" s="201" t="inlineStr">
        <is>
          <t>реализация Всего касса+безнал:</t>
        </is>
      </c>
      <c r="B97" s="202" t="inlineStr">
        <is>
          <t>кг</t>
        </is>
      </c>
      <c r="C97" s="203" t="inlineStr">
        <is>
          <t>на сумму</t>
        </is>
      </c>
      <c r="D97" s="41" t="n"/>
      <c r="E97" s="41" t="n"/>
      <c r="F97" s="41" t="n"/>
      <c r="G97" s="41" t="n"/>
      <c r="H97" s="2" t="n"/>
      <c r="I97" s="2" t="n"/>
      <c r="J97" s="2" t="n"/>
    </row>
    <row r="98">
      <c r="A98" s="204" t="n"/>
      <c r="B98" s="205">
        <f>E27+G95</f>
        <v/>
      </c>
      <c r="C98" s="206">
        <f>I27+H95+I95</f>
        <v/>
      </c>
      <c r="D98" s="41" t="n"/>
      <c r="E98" s="41" t="n"/>
      <c r="F98" s="41" t="n"/>
      <c r="G98" s="41" t="n"/>
      <c r="H98" s="2" t="n"/>
      <c r="I98" s="2" t="n"/>
      <c r="J98" s="2" t="n"/>
    </row>
    <row r="99">
      <c r="A99" s="207" t="inlineStr">
        <is>
          <t>Услуги оказывают нам (доставка сырья и комплектующих на склад, Товара покупателям)</t>
        </is>
      </c>
      <c r="B99" s="54" t="n"/>
      <c r="C99" s="54" t="n"/>
      <c r="D99" s="54" t="n"/>
      <c r="E99" s="54" t="n"/>
      <c r="F99" s="54" t="n"/>
      <c r="G99" s="54" t="n"/>
      <c r="H99" s="54" t="n"/>
      <c r="I99" s="291" t="n"/>
      <c r="J99" s="58" t="n"/>
    </row>
    <row r="100">
      <c r="A100" s="209" t="inlineStr">
        <is>
          <t>Контрагент</t>
        </is>
      </c>
      <c r="B100" s="210" t="inlineStr">
        <is>
          <t>вид услуги</t>
        </is>
      </c>
      <c r="C100" s="211" t="inlineStr">
        <is>
          <t>Кому / От кого</t>
        </is>
      </c>
      <c r="D100" s="212" t="inlineStr">
        <is>
          <t>наименование</t>
        </is>
      </c>
      <c r="E100" s="213" t="inlineStr">
        <is>
          <t xml:space="preserve">город доставки </t>
        </is>
      </c>
      <c r="F100" s="214" t="inlineStr">
        <is>
          <t>цена</t>
        </is>
      </c>
      <c r="G100" s="213" t="inlineStr">
        <is>
          <t>сумма</t>
        </is>
      </c>
      <c r="H100" s="212" t="inlineStr">
        <is>
          <t>за тонну</t>
        </is>
      </c>
      <c r="I100" s="291" t="n"/>
      <c r="J100" s="58" t="n"/>
    </row>
    <row r="101">
      <c r="A101" s="215" t="inlineStr">
        <is>
          <t>Промстеклоснаб</t>
        </is>
      </c>
      <c r="B101" s="60" t="inlineStr">
        <is>
          <t>доставка</t>
        </is>
      </c>
      <c r="C101" s="63" t="inlineStr">
        <is>
          <t>Элемент трейд</t>
        </is>
      </c>
      <c r="D101" s="226" t="n"/>
      <c r="E101" s="317" t="inlineStr">
        <is>
          <t>Большое Толбино</t>
        </is>
      </c>
      <c r="F101" s="62" t="n">
        <v>16000</v>
      </c>
      <c r="G101" s="218">
        <f>F101</f>
        <v/>
      </c>
      <c r="H101" s="305" t="n"/>
      <c r="I101" s="291" t="n"/>
      <c r="J101" s="58" t="n"/>
    </row>
    <row r="102">
      <c r="A102" s="215" t="inlineStr">
        <is>
          <t xml:space="preserve">ФМ </t>
        </is>
      </c>
      <c r="B102" s="60" t="inlineStr">
        <is>
          <t>доставка</t>
        </is>
      </c>
      <c r="C102" s="63" t="inlineStr">
        <is>
          <t>Элемент трейд</t>
        </is>
      </c>
      <c r="D102" s="226" t="n"/>
      <c r="E102" s="217" t="inlineStr">
        <is>
          <t>Пермь</t>
        </is>
      </c>
      <c r="F102" s="62" t="n">
        <v>40572</v>
      </c>
      <c r="G102" s="218">
        <f>F102</f>
        <v/>
      </c>
      <c r="H102" s="305" t="n"/>
      <c r="I102" s="315" t="n"/>
      <c r="J102" s="58" t="n"/>
    </row>
    <row r="103">
      <c r="A103" s="215" t="inlineStr">
        <is>
          <t>ФМ</t>
        </is>
      </c>
      <c r="B103" s="60" t="inlineStr">
        <is>
          <t>доставка</t>
        </is>
      </c>
      <c r="C103" s="63" t="inlineStr">
        <is>
          <t>Элемент трейд</t>
        </is>
      </c>
      <c r="D103" s="226" t="n"/>
      <c r="E103" s="217" t="inlineStr">
        <is>
          <t>Новосибирск</t>
        </is>
      </c>
      <c r="F103" s="223" t="n">
        <v>96480</v>
      </c>
      <c r="G103" s="218">
        <f>F103</f>
        <v/>
      </c>
      <c r="H103" s="305" t="n"/>
      <c r="I103" s="2" t="n"/>
      <c r="J103" s="2" t="n"/>
    </row>
    <row r="104">
      <c r="A104" s="215" t="inlineStr">
        <is>
          <t>ФМ</t>
        </is>
      </c>
      <c r="B104" s="60" t="inlineStr">
        <is>
          <t>доставка</t>
        </is>
      </c>
      <c r="C104" s="63" t="inlineStr">
        <is>
          <t>Элемент трейд</t>
        </is>
      </c>
      <c r="D104" s="222" t="n"/>
      <c r="E104" s="274" t="inlineStr">
        <is>
          <t>Екатеринбург</t>
        </is>
      </c>
      <c r="F104" s="223" t="n">
        <v>43560</v>
      </c>
      <c r="G104" s="218">
        <f>F104</f>
        <v/>
      </c>
      <c r="H104" s="219" t="n"/>
      <c r="I104" s="2" t="n"/>
      <c r="J104" s="2" t="n"/>
    </row>
    <row r="105">
      <c r="A105" s="215" t="inlineStr">
        <is>
          <t>ФМ</t>
        </is>
      </c>
      <c r="B105" s="60" t="inlineStr">
        <is>
          <t>доставка</t>
        </is>
      </c>
      <c r="C105" s="63" t="inlineStr">
        <is>
          <t>Элемент трейд</t>
        </is>
      </c>
      <c r="D105" s="226" t="n"/>
      <c r="E105" s="274" t="inlineStr">
        <is>
          <t>Уфа</t>
        </is>
      </c>
      <c r="F105" s="223" t="n">
        <v>12720</v>
      </c>
      <c r="G105" s="218">
        <f>F105</f>
        <v/>
      </c>
      <c r="H105" s="219" t="n"/>
      <c r="I105" s="2" t="n"/>
      <c r="J105" s="2" t="n"/>
    </row>
    <row r="106">
      <c r="A106" s="215" t="n"/>
      <c r="B106" s="60" t="n"/>
      <c r="C106" s="63" t="n"/>
      <c r="D106" s="226" t="n"/>
      <c r="E106" s="227" t="n"/>
      <c r="F106" s="223" t="n"/>
      <c r="G106" s="218">
        <f>F106</f>
        <v/>
      </c>
      <c r="H106" s="219" t="n"/>
      <c r="I106" s="2" t="n"/>
      <c r="J106" s="2" t="n"/>
    </row>
    <row r="107">
      <c r="A107" s="220" t="n"/>
      <c r="B107" s="60" t="n"/>
      <c r="C107" s="221" t="n"/>
      <c r="D107" s="226" t="n"/>
      <c r="E107" s="227" t="n"/>
      <c r="F107" s="223" t="n"/>
      <c r="G107" s="218">
        <f>F107</f>
        <v/>
      </c>
      <c r="H107" s="219" t="n"/>
      <c r="I107" s="2" t="n"/>
      <c r="J107" s="2" t="n"/>
    </row>
    <row r="108">
      <c r="A108" s="220" t="n"/>
      <c r="B108" s="60" t="n"/>
      <c r="C108" s="221" t="n"/>
      <c r="D108" s="226" t="n"/>
      <c r="E108" s="227" t="n"/>
      <c r="F108" s="223" t="n"/>
      <c r="G108" s="218">
        <f>F108</f>
        <v/>
      </c>
      <c r="H108" s="228" t="n"/>
      <c r="I108" s="2" t="n"/>
      <c r="J108" s="2" t="n"/>
    </row>
    <row r="109">
      <c r="A109" s="229" t="inlineStr">
        <is>
          <t>ИТОГО:</t>
        </is>
      </c>
      <c r="B109" s="230" t="n"/>
      <c r="C109" s="231" t="n"/>
      <c r="D109" s="232" t="n"/>
      <c r="E109" s="233">
        <f>SUM(E101:E108)</f>
        <v/>
      </c>
      <c r="F109" s="234" t="n"/>
      <c r="G109" s="235">
        <f>SUM(G101:G108)</f>
        <v/>
      </c>
      <c r="H109" s="235" t="n"/>
      <c r="I109" s="2" t="n"/>
      <c r="J109" s="2" t="n"/>
    </row>
    <row r="110">
      <c r="A110" s="41" t="n"/>
      <c r="B110" s="94" t="n"/>
      <c r="C110" s="43" t="n"/>
      <c r="D110" s="41" t="n"/>
      <c r="E110" s="41" t="n"/>
      <c r="F110" s="41" t="n"/>
      <c r="G110" s="41" t="n"/>
      <c r="H110" s="41" t="n"/>
      <c r="I110" s="2" t="n"/>
      <c r="J110" s="2" t="n"/>
    </row>
    <row r="111">
      <c r="A111" s="236" t="inlineStr">
        <is>
          <t>Услуги оказываем мы</t>
        </is>
      </c>
      <c r="B111" s="54" t="n"/>
      <c r="C111" s="54" t="n"/>
      <c r="D111" s="54" t="n"/>
      <c r="E111" s="54" t="n"/>
      <c r="F111" s="54" t="n"/>
      <c r="G111" s="54" t="n"/>
      <c r="H111" s="54" t="n"/>
      <c r="I111" s="237" t="n"/>
      <c r="J111" s="2" t="n"/>
    </row>
    <row r="112">
      <c r="A112" s="209" t="inlineStr">
        <is>
          <t>Контрагент</t>
        </is>
      </c>
      <c r="B112" s="238" t="inlineStr">
        <is>
          <t>вид услуги</t>
        </is>
      </c>
      <c r="C112" s="239" t="inlineStr">
        <is>
          <t>наименование</t>
        </is>
      </c>
      <c r="D112" s="240" t="inlineStr">
        <is>
          <t>вес, кг, шт</t>
        </is>
      </c>
      <c r="E112" s="240" t="inlineStr">
        <is>
          <t>цена</t>
        </is>
      </c>
      <c r="F112" s="240" t="inlineStr">
        <is>
          <t>сумма</t>
        </is>
      </c>
      <c r="G112" s="213" t="inlineStr">
        <is>
          <t>№УПД</t>
        </is>
      </c>
      <c r="H112" s="213" t="n"/>
      <c r="I112" s="2" t="n"/>
      <c r="J112" s="2" t="n"/>
    </row>
    <row r="113">
      <c r="A113" s="275" t="n"/>
      <c r="B113" s="276" t="n"/>
      <c r="C113" s="243" t="n"/>
      <c r="D113" s="244" t="n"/>
      <c r="E113" s="277" t="n"/>
      <c r="F113" s="278" t="n"/>
      <c r="G113" s="247" t="n"/>
      <c r="H113" s="248" t="n"/>
      <c r="I113" s="2" t="n"/>
      <c r="J113" s="2" t="n"/>
    </row>
    <row r="114">
      <c r="A114" s="249" t="n"/>
      <c r="B114" s="250" t="n"/>
      <c r="C114" s="251" t="n"/>
      <c r="D114" s="252" t="n"/>
      <c r="E114" s="253" t="n"/>
      <c r="F114" s="254">
        <f>D114*E114</f>
        <v/>
      </c>
      <c r="G114" s="255" t="n"/>
      <c r="H114" s="256" t="n"/>
      <c r="I114" s="2" t="n"/>
      <c r="J114" s="2" t="n"/>
    </row>
    <row r="115">
      <c r="A115" s="257" t="n"/>
      <c r="B115" s="258" t="n"/>
      <c r="C115" s="257" t="n"/>
      <c r="D115" s="257" t="n"/>
      <c r="E115" s="257" t="n"/>
      <c r="F115" s="254">
        <f>D115*E115</f>
        <v/>
      </c>
      <c r="G115" s="257" t="n"/>
      <c r="H115" s="257" t="n"/>
      <c r="I115" s="2" t="n"/>
      <c r="J115" s="2" t="n"/>
    </row>
    <row r="116">
      <c r="A116" s="249" t="n"/>
      <c r="B116" s="258" t="n"/>
      <c r="C116" s="257" t="n"/>
      <c r="D116" s="259" t="n"/>
      <c r="E116" s="257" t="n"/>
      <c r="F116" s="260" t="n"/>
      <c r="G116" s="257" t="n"/>
      <c r="H116" s="257" t="n"/>
      <c r="I116" s="2" t="n"/>
      <c r="J116" s="2" t="n"/>
    </row>
    <row r="117">
      <c r="A117" s="2" t="n"/>
      <c r="B117" s="261" t="n"/>
      <c r="C117" s="2" t="n"/>
      <c r="D117" s="2" t="n"/>
      <c r="E117" s="2" t="n"/>
      <c r="F117" s="262" t="n"/>
      <c r="G117" s="2" t="n"/>
      <c r="H117" s="2" t="n"/>
      <c r="I117" s="263" t="n"/>
      <c r="J117" s="264" t="n"/>
    </row>
  </sheetData>
  <mergeCells count="17">
    <mergeCell ref="A56:H56"/>
    <mergeCell ref="A1:J1"/>
    <mergeCell ref="K85:K86"/>
    <mergeCell ref="J83:J84"/>
    <mergeCell ref="K9:K10"/>
    <mergeCell ref="J85:J86"/>
    <mergeCell ref="K83:K84"/>
    <mergeCell ref="A99:H99"/>
    <mergeCell ref="K4:K5"/>
    <mergeCell ref="I59:J59"/>
    <mergeCell ref="K7:K8"/>
    <mergeCell ref="J80:J81"/>
    <mergeCell ref="A2:J2"/>
    <mergeCell ref="A32:H32"/>
    <mergeCell ref="A111:H111"/>
    <mergeCell ref="K80:K81"/>
    <mergeCell ref="I58:J5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8.875" customWidth="1" min="6" max="6"/>
    <col width="9.625" customWidth="1" min="7" max="7"/>
    <col width="11.125" customWidth="1" min="8" max="8"/>
    <col width="18.2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n"/>
      <c r="C4" s="268" t="n"/>
      <c r="D4" s="269" t="n"/>
      <c r="E4" s="17" t="n"/>
      <c r="F4" s="17" t="n"/>
      <c r="G4" s="270" t="n"/>
      <c r="H4" s="19" t="n"/>
      <c r="I4" s="19" t="n"/>
      <c r="J4" s="20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44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244" t="n"/>
      <c r="C7" s="268" t="n"/>
      <c r="D7" s="269" t="n"/>
      <c r="E7" s="17" t="n"/>
      <c r="F7" s="17" t="n"/>
      <c r="G7" s="270" t="n"/>
      <c r="H7" s="19" t="n"/>
      <c r="I7" s="19" t="n"/>
      <c r="J7" s="20" t="n"/>
    </row>
    <row r="8">
      <c r="A8" s="13" t="n"/>
      <c r="B8" s="244" t="n"/>
      <c r="C8" s="268" t="n"/>
      <c r="D8" s="269" t="n"/>
      <c r="E8" s="17" t="n"/>
      <c r="F8" s="17" t="n"/>
      <c r="G8" s="270" t="n"/>
      <c r="H8" s="19" t="n"/>
      <c r="I8" s="19" t="n"/>
      <c r="J8" s="20" t="n"/>
    </row>
    <row r="9">
      <c r="A9" s="13" t="n"/>
      <c r="B9" s="244" t="n"/>
      <c r="C9" s="268" t="n"/>
      <c r="D9" s="269" t="n"/>
      <c r="E9" s="17" t="n"/>
      <c r="F9" s="17" t="n"/>
      <c r="G9" s="270" t="n"/>
      <c r="H9" s="19" t="n"/>
      <c r="I9" s="19" t="n"/>
      <c r="J9" s="20" t="n"/>
    </row>
    <row r="10">
      <c r="A10" s="13" t="n"/>
      <c r="B10" s="267" t="n"/>
      <c r="C10" s="267" t="n"/>
      <c r="D10" s="269" t="n"/>
      <c r="E10" s="17" t="n"/>
      <c r="F10" s="17" t="n"/>
      <c r="G10" s="270" t="n"/>
      <c r="H10" s="19" t="n"/>
      <c r="I10" s="19" t="n"/>
      <c r="J10" s="20" t="n"/>
    </row>
    <row r="11">
      <c r="A11" s="13" t="n"/>
      <c r="B11" s="30" t="n"/>
      <c r="C11" s="267" t="n"/>
      <c r="D11" s="269" t="n"/>
      <c r="E11" s="17" t="n"/>
      <c r="F11" s="17" t="n"/>
      <c r="G11" s="270" t="n"/>
      <c r="H11" s="19" t="n"/>
      <c r="I11" s="19" t="n"/>
      <c r="J11" s="20" t="n"/>
    </row>
    <row r="12">
      <c r="A12" s="13" t="n"/>
      <c r="B12" s="30" t="n"/>
      <c r="C12" s="268" t="n"/>
      <c r="D12" s="269" t="n"/>
      <c r="E12" s="17" t="n"/>
      <c r="F12" s="17" t="n"/>
      <c r="G12" s="270" t="n"/>
      <c r="H12" s="19" t="n"/>
      <c r="I12" s="19" t="n"/>
      <c r="J12" s="20" t="n"/>
    </row>
    <row r="13">
      <c r="A13" s="13" t="n"/>
      <c r="B13" s="30" t="n"/>
      <c r="C13" s="268" t="n"/>
      <c r="D13" s="269" t="n"/>
      <c r="E13" s="17" t="n"/>
      <c r="F13" s="17" t="n"/>
      <c r="G13" s="270" t="n"/>
      <c r="H13" s="19" t="n"/>
      <c r="I13" s="19" t="n"/>
      <c r="J13" s="20" t="n"/>
    </row>
    <row r="14">
      <c r="A14" s="13" t="n"/>
      <c r="B14" s="30" t="n"/>
      <c r="C14" s="268" t="n"/>
      <c r="D14" s="269" t="n"/>
      <c r="E14" s="17" t="n"/>
      <c r="F14" s="17" t="n"/>
      <c r="G14" s="270" t="n"/>
      <c r="H14" s="19" t="n"/>
      <c r="I14" s="19" t="n"/>
      <c r="J14" s="20" t="n"/>
    </row>
    <row r="15">
      <c r="A15" s="13" t="n"/>
      <c r="B15" s="30" t="n"/>
      <c r="C15" s="268" t="n"/>
      <c r="D15" s="269" t="n"/>
      <c r="E15" s="17" t="n"/>
      <c r="F15" s="17" t="n"/>
      <c r="G15" s="270" t="n"/>
      <c r="H15" s="19" t="n"/>
      <c r="I15" s="19" t="n"/>
      <c r="J15" s="20" t="n"/>
    </row>
    <row r="16">
      <c r="A16" s="13" t="n"/>
      <c r="B16" s="30" t="n"/>
      <c r="C16" s="268" t="n"/>
      <c r="D16" s="269" t="n"/>
      <c r="E16" s="17" t="n"/>
      <c r="F16" s="17" t="n"/>
      <c r="G16" s="270" t="n"/>
      <c r="H16" s="19" t="n"/>
      <c r="I16" s="19" t="n"/>
      <c r="J16" s="20" t="n"/>
    </row>
    <row r="17">
      <c r="A17" s="13" t="n"/>
      <c r="B17" s="30" t="n"/>
      <c r="C17" s="268" t="n"/>
      <c r="D17" s="269" t="n"/>
      <c r="E17" s="17" t="n"/>
      <c r="F17" s="17" t="n"/>
      <c r="G17" s="270" t="n"/>
      <c r="H17" s="19" t="n"/>
      <c r="I17" s="19" t="n"/>
      <c r="J17" s="20" t="n"/>
    </row>
    <row r="18">
      <c r="A18" s="13" t="n"/>
      <c r="B18" s="267" t="n"/>
      <c r="C18" s="268" t="n"/>
      <c r="D18" s="269" t="n"/>
      <c r="E18" s="16" t="n"/>
      <c r="F18" s="17" t="n"/>
      <c r="G18" s="270" t="n"/>
      <c r="H18" s="19" t="n"/>
      <c r="I18" s="19" t="n"/>
      <c r="J18" s="20" t="n"/>
    </row>
    <row r="19">
      <c r="A19" s="13" t="n"/>
      <c r="B19" s="30" t="n"/>
      <c r="C19" s="268" t="n"/>
      <c r="D19" s="269" t="n"/>
      <c r="E19" s="16" t="n"/>
      <c r="F19" s="17" t="n"/>
      <c r="G19" s="270" t="n"/>
      <c r="H19" s="19" t="n"/>
      <c r="I19" s="19" t="n"/>
      <c r="J19" s="20" t="n"/>
    </row>
    <row r="20">
      <c r="A20" s="13" t="n"/>
      <c r="B20" s="30" t="n"/>
      <c r="C20" s="268" t="n"/>
      <c r="D20" s="269" t="n"/>
      <c r="E20" s="16" t="n"/>
      <c r="F20" s="17" t="n"/>
      <c r="G20" s="270" t="n"/>
      <c r="H20" s="19" t="n"/>
      <c r="I20" s="19" t="n"/>
      <c r="J20" s="20" t="n"/>
    </row>
    <row r="21">
      <c r="A21" s="13" t="n"/>
      <c r="B21" s="30" t="n"/>
      <c r="C21" s="268" t="n"/>
      <c r="D21" s="269" t="n"/>
      <c r="E21" s="16" t="n"/>
      <c r="F21" s="17" t="n"/>
      <c r="G21" s="270" t="n"/>
      <c r="H21" s="19" t="n"/>
      <c r="I21" s="19" t="n"/>
      <c r="J21" s="20" t="n"/>
    </row>
    <row r="22">
      <c r="A22" s="13" t="n"/>
      <c r="B22" s="30" t="n"/>
      <c r="C22" s="268" t="n"/>
      <c r="D22" s="269" t="n"/>
      <c r="E22" s="16" t="n"/>
      <c r="F22" s="17" t="n"/>
      <c r="G22" s="270" t="n"/>
      <c r="H22" s="19" t="n"/>
      <c r="I22" s="19" t="n"/>
      <c r="J22" s="20" t="n"/>
    </row>
    <row r="23">
      <c r="A23" s="13" t="n"/>
      <c r="B23" s="30" t="n"/>
      <c r="C23" s="268" t="n"/>
      <c r="D23" s="269" t="n"/>
      <c r="E23" s="16" t="n"/>
      <c r="F23" s="17" t="n"/>
      <c r="G23" s="270" t="n"/>
      <c r="H23" s="19" t="n"/>
      <c r="I23" s="19" t="n"/>
      <c r="J23" s="20" t="n"/>
    </row>
    <row r="24">
      <c r="A24" s="13" t="n"/>
      <c r="B24" s="30" t="n"/>
      <c r="C24" s="21" t="n"/>
      <c r="D24" s="26" t="n"/>
      <c r="E24" s="16" t="n"/>
      <c r="F24" s="17" t="n"/>
      <c r="G24" s="270" t="n"/>
      <c r="H24" s="19" t="n"/>
      <c r="I24" s="19" t="n"/>
      <c r="J24" s="20" t="n"/>
    </row>
    <row r="25">
      <c r="A25" s="13" t="n"/>
      <c r="B25" s="30" t="n"/>
      <c r="C25" s="21" t="n"/>
      <c r="D25" s="26" t="n"/>
      <c r="E25" s="16" t="n"/>
      <c r="F25" s="17" t="n"/>
      <c r="G25" s="270" t="n"/>
      <c r="H25" s="19" t="n"/>
      <c r="I25" s="19" t="n"/>
      <c r="J25" s="20" t="n"/>
    </row>
    <row r="26">
      <c r="A26" s="29" t="n"/>
      <c r="B26" s="30" t="n"/>
      <c r="C26" s="21" t="n"/>
      <c r="D26" s="26" t="n"/>
      <c r="E26" s="16" t="n"/>
      <c r="F26" s="17" t="n"/>
      <c r="G26" s="270" t="n"/>
      <c r="H26" s="19" t="n"/>
      <c r="I26" s="19" t="n"/>
      <c r="J26" s="32" t="n"/>
    </row>
    <row r="27">
      <c r="A27" s="33" t="n"/>
      <c r="B27" s="34" t="n"/>
      <c r="C27" s="35" t="n"/>
      <c r="D27" s="33" t="n"/>
      <c r="E27" s="36">
        <f>SUM(E4:E26)</f>
        <v/>
      </c>
      <c r="F27" s="36">
        <f>SUM(F4:F26)</f>
        <v/>
      </c>
      <c r="G27" s="37">
        <f>SUM(G4:G26)</f>
        <v/>
      </c>
      <c r="H27" s="38" t="n"/>
      <c r="I27" s="39">
        <f>SUM(I4:I26)</f>
        <v/>
      </c>
      <c r="J27" s="40" t="n"/>
    </row>
    <row r="28">
      <c r="A28" s="41" t="n"/>
      <c r="B28" s="42" t="n"/>
      <c r="C28" s="43" t="n"/>
      <c r="D28" s="41" t="n"/>
      <c r="E28" s="41" t="n"/>
      <c r="F28" s="41" t="n"/>
      <c r="G28" s="41" t="n"/>
      <c r="H28" s="41" t="n"/>
      <c r="I28" s="2" t="n"/>
      <c r="J28" s="2" t="n"/>
    </row>
    <row r="29">
      <c r="A29" s="44" t="inlineStr">
        <is>
          <t xml:space="preserve">Поступление от </t>
        </is>
      </c>
      <c r="B29" s="45" t="inlineStr">
        <is>
          <t>сумма</t>
        </is>
      </c>
      <c r="C29" s="46" t="inlineStr">
        <is>
          <t>примечание</t>
        </is>
      </c>
      <c r="D29" s="47" t="n"/>
      <c r="E29" s="41" t="n"/>
      <c r="F29" s="41" t="n"/>
      <c r="G29" s="41" t="n"/>
      <c r="H29" s="41" t="n"/>
      <c r="I29" s="2" t="n"/>
      <c r="J29" s="2" t="n"/>
    </row>
    <row r="30">
      <c r="A30" s="48" t="n"/>
      <c r="B30" s="49" t="n"/>
      <c r="C30" s="50" t="n"/>
      <c r="D30" s="47" t="n"/>
      <c r="E30" s="41" t="n"/>
      <c r="F30" s="41" t="n"/>
      <c r="G30" s="41" t="n"/>
      <c r="H30" s="41" t="n"/>
      <c r="I30" s="2" t="n"/>
      <c r="J30" s="2" t="n"/>
    </row>
    <row r="31">
      <c r="A31" s="29" t="n"/>
      <c r="B31" s="51" t="n"/>
      <c r="C31" s="52" t="n"/>
      <c r="D31" s="47" t="n"/>
      <c r="E31" s="41" t="n"/>
      <c r="F31" s="41" t="n"/>
      <c r="G31" s="41" t="n"/>
      <c r="H31" s="41" t="n"/>
      <c r="I31" s="2" t="n"/>
      <c r="J31" s="2" t="n"/>
    </row>
    <row r="32">
      <c r="A32" s="53" t="inlineStr">
        <is>
          <t>Касса</t>
        </is>
      </c>
      <c r="B32" s="54" t="n"/>
      <c r="C32" s="54" t="n"/>
      <c r="D32" s="54" t="n"/>
      <c r="E32" s="54" t="n"/>
      <c r="F32" s="54" t="n"/>
      <c r="G32" s="54" t="n"/>
      <c r="H32" s="54" t="n"/>
      <c r="I32" s="2" t="n"/>
      <c r="J32" s="2" t="n"/>
    </row>
    <row r="33">
      <c r="A33" s="55" t="inlineStr">
        <is>
          <t>Производство</t>
        </is>
      </c>
      <c r="B33" s="56" t="n"/>
      <c r="C33" s="56" t="n"/>
      <c r="D33" s="47" t="n"/>
      <c r="E33" s="55" t="inlineStr">
        <is>
          <t xml:space="preserve">Бухгалтерия </t>
        </is>
      </c>
      <c r="F33" s="56" t="n"/>
      <c r="G33" s="56" t="n"/>
      <c r="H33" s="47" t="n"/>
      <c r="I33" s="57" t="n"/>
      <c r="J33" s="58" t="n"/>
    </row>
    <row r="34">
      <c r="A34" s="59" t="inlineStr">
        <is>
          <t>Остаток на начало дня:</t>
        </is>
      </c>
      <c r="B34" s="60" t="n"/>
      <c r="C34" s="61" t="n"/>
      <c r="D34" s="62" t="n">
        <v>104976.45</v>
      </c>
      <c r="E34" s="59" t="inlineStr">
        <is>
          <t>Остаток на начало дня:</t>
        </is>
      </c>
      <c r="F34" s="63" t="n"/>
      <c r="G34" s="61" t="n"/>
      <c r="H34" s="64" t="n">
        <v>0</v>
      </c>
      <c r="I34" s="65" t="n"/>
      <c r="J34" s="2" t="n"/>
    </row>
    <row r="35">
      <c r="A35" s="66" t="n"/>
      <c r="B35" s="67" t="n"/>
      <c r="C35" s="68" t="n"/>
      <c r="D35" s="68" t="n"/>
      <c r="E35" s="69" t="n"/>
      <c r="F35" s="70" t="n"/>
      <c r="G35" s="71" t="n"/>
      <c r="H35" s="72">
        <f>F35*G35</f>
        <v/>
      </c>
      <c r="I35" s="313" t="n"/>
      <c r="J35" s="313" t="n"/>
    </row>
    <row r="36">
      <c r="A36" s="66" t="n"/>
      <c r="B36" s="67" t="n"/>
      <c r="C36" s="68" t="n"/>
      <c r="D36" s="68" t="n"/>
      <c r="E36" s="69" t="n"/>
      <c r="F36" s="70" t="n"/>
      <c r="G36" s="71" t="n"/>
      <c r="H36" s="72">
        <f>F36*G36</f>
        <v/>
      </c>
      <c r="I36" s="2" t="n"/>
      <c r="J36" s="2" t="n"/>
    </row>
    <row r="37">
      <c r="A37" s="66" t="n"/>
      <c r="B37" s="67" t="n"/>
      <c r="C37" s="68" t="n"/>
      <c r="D37" s="68" t="n"/>
      <c r="E37" s="69" t="n"/>
      <c r="F37" s="70" t="n"/>
      <c r="G37" s="71" t="n"/>
      <c r="H37" s="72">
        <f>F37*G37</f>
        <v/>
      </c>
      <c r="I37" s="2" t="n"/>
      <c r="J37" s="2" t="n"/>
    </row>
    <row r="38">
      <c r="A38" s="66" t="n"/>
      <c r="B38" s="67" t="n"/>
      <c r="C38" s="68" t="n"/>
      <c r="D38" s="68" t="n"/>
      <c r="E38" s="69" t="n"/>
      <c r="F38" s="70" t="n"/>
      <c r="G38" s="71" t="n"/>
      <c r="H38" s="72">
        <f>F38*G38</f>
        <v/>
      </c>
      <c r="I38" s="2" t="n"/>
      <c r="J38" s="2" t="n"/>
    </row>
    <row r="39">
      <c r="A39" s="66" t="n"/>
      <c r="B39" s="73" t="n"/>
      <c r="C39" s="74" t="n"/>
      <c r="D39" s="75" t="n"/>
      <c r="E39" s="69" t="n"/>
      <c r="F39" s="70" t="n"/>
      <c r="G39" s="71" t="n"/>
      <c r="H39" s="72">
        <f>F39*G39</f>
        <v/>
      </c>
      <c r="I39" s="2" t="n"/>
      <c r="J39" s="2" t="n"/>
    </row>
    <row r="40">
      <c r="A40" s="76" t="n"/>
      <c r="B40" s="67" t="n"/>
      <c r="C40" s="68" t="n"/>
      <c r="D40" s="75" t="n"/>
      <c r="E40" s="77" t="inlineStr">
        <is>
          <t>Итого приход:</t>
        </is>
      </c>
      <c r="F40" s="78" t="n"/>
      <c r="G40" s="79" t="n"/>
      <c r="H40" s="80">
        <f>SUM(H35:H36)</f>
        <v/>
      </c>
      <c r="I40" s="2" t="n"/>
      <c r="J40" s="2" t="n"/>
    </row>
    <row r="41">
      <c r="A41" s="76" t="inlineStr">
        <is>
          <t>Расход за день:</t>
        </is>
      </c>
      <c r="B41" s="67" t="n"/>
      <c r="C41" s="79" t="n"/>
      <c r="D41" s="80" t="n"/>
      <c r="E41" s="76" t="inlineStr">
        <is>
          <t>Расход за день:</t>
        </is>
      </c>
      <c r="F41" s="78" t="n"/>
      <c r="G41" s="79" t="n"/>
      <c r="H41" s="80" t="n"/>
      <c r="I41" s="2" t="n"/>
      <c r="J41" s="2" t="n"/>
    </row>
    <row r="42">
      <c r="A42" s="69" t="inlineStr">
        <is>
          <t>работа Третьяков Евгений (фасовка Бистром)</t>
        </is>
      </c>
      <c r="B42" s="67" t="n"/>
      <c r="C42" s="68" t="n">
        <v>30000</v>
      </c>
      <c r="D42" s="68" t="n">
        <v>30000</v>
      </c>
      <c r="E42" s="76" t="n"/>
      <c r="F42" s="78" t="n"/>
      <c r="G42" s="79" t="n"/>
      <c r="H42" s="80" t="n"/>
      <c r="I42" s="2" t="n"/>
      <c r="J42" s="2" t="n"/>
    </row>
    <row r="43">
      <c r="A43" s="81" t="inlineStr">
        <is>
          <t>уборка</t>
        </is>
      </c>
      <c r="B43" s="67" t="n"/>
      <c r="C43" s="68" t="n">
        <v>2000</v>
      </c>
      <c r="D43" s="68" t="n">
        <v>2000</v>
      </c>
      <c r="E43" s="76" t="n"/>
      <c r="F43" s="78" t="n"/>
      <c r="G43" s="79" t="n"/>
      <c r="H43" s="72">
        <f>F43*G43</f>
        <v/>
      </c>
      <c r="I43" s="2" t="n"/>
      <c r="J43" s="2" t="n"/>
    </row>
    <row r="44">
      <c r="A44" s="81" t="n"/>
      <c r="B44" s="67" t="n"/>
      <c r="C44" s="68" t="n"/>
      <c r="D44" s="68" t="n"/>
      <c r="E44" s="76" t="n"/>
      <c r="F44" s="78" t="n"/>
      <c r="G44" s="79" t="n"/>
      <c r="H44" s="72" t="n"/>
      <c r="I44" s="2" t="n"/>
      <c r="J44" s="2" t="n"/>
    </row>
    <row r="45">
      <c r="A45" s="81" t="n"/>
      <c r="B45" s="67" t="n"/>
      <c r="C45" s="68" t="n"/>
      <c r="D45" s="68" t="n"/>
      <c r="E45" s="76" t="n"/>
      <c r="F45" s="78" t="n"/>
      <c r="G45" s="79" t="n"/>
      <c r="H45" s="72">
        <f>F45*G45</f>
        <v/>
      </c>
      <c r="I45" s="2" t="n"/>
      <c r="J45" s="2" t="n"/>
    </row>
    <row r="46">
      <c r="A46" s="81" t="n"/>
      <c r="B46" s="67" t="n"/>
      <c r="C46" s="68" t="n"/>
      <c r="D46" s="68" t="n"/>
      <c r="E46" s="76" t="n"/>
      <c r="F46" s="78" t="n"/>
      <c r="G46" s="79" t="n"/>
      <c r="H46" s="72">
        <f>F46*G46</f>
        <v/>
      </c>
      <c r="I46" s="2" t="n"/>
      <c r="J46" s="2" t="n"/>
    </row>
    <row r="47">
      <c r="A47" s="69" t="n"/>
      <c r="B47" s="67" t="n"/>
      <c r="C47" s="68" t="n"/>
      <c r="D47" s="74" t="n"/>
      <c r="E47" s="76" t="n"/>
      <c r="F47" s="78" t="n"/>
      <c r="G47" s="79" t="n"/>
      <c r="H47" s="72">
        <f>F47*G47</f>
        <v/>
      </c>
      <c r="I47" s="2" t="n"/>
      <c r="J47" s="2" t="n"/>
    </row>
    <row r="48">
      <c r="A48" s="69" t="n"/>
      <c r="B48" s="67" t="n"/>
      <c r="C48" s="68" t="n"/>
      <c r="D48" s="74" t="n"/>
      <c r="E48" s="76" t="n"/>
      <c r="F48" s="78" t="n"/>
      <c r="G48" s="79" t="n"/>
      <c r="H48" s="72">
        <f>F48*G48</f>
        <v/>
      </c>
      <c r="I48" s="2" t="n"/>
      <c r="J48" s="2" t="n"/>
    </row>
    <row r="49">
      <c r="A49" s="69" t="n"/>
      <c r="B49" s="67" t="n"/>
      <c r="C49" s="68" t="n"/>
      <c r="D49" s="74" t="n"/>
      <c r="E49" s="76" t="n"/>
      <c r="F49" s="78" t="n"/>
      <c r="G49" s="79" t="n"/>
      <c r="H49" s="72">
        <f>F49*G49</f>
        <v/>
      </c>
      <c r="I49" s="2" t="n"/>
      <c r="J49" s="2" t="n"/>
    </row>
    <row r="50">
      <c r="A50" s="69" t="n"/>
      <c r="B50" s="67" t="n"/>
      <c r="C50" s="68" t="n"/>
      <c r="D50" s="75" t="n"/>
      <c r="E50" s="76" t="n"/>
      <c r="F50" s="78" t="n"/>
      <c r="G50" s="79" t="n"/>
      <c r="H50" s="72">
        <f>F50*G50</f>
        <v/>
      </c>
      <c r="I50" s="313" t="n"/>
      <c r="J50" s="2" t="n"/>
    </row>
    <row r="51">
      <c r="A51" s="69" t="n"/>
      <c r="B51" s="67" t="n"/>
      <c r="C51" s="68" t="n"/>
      <c r="D51" s="75" t="n"/>
      <c r="E51" s="76" t="n"/>
      <c r="F51" s="78" t="n"/>
      <c r="G51" s="79" t="n"/>
      <c r="H51" s="72">
        <f>F51*G51</f>
        <v/>
      </c>
      <c r="I51" s="2" t="n"/>
      <c r="J51" s="2" t="n"/>
    </row>
    <row r="52">
      <c r="A52" s="69" t="n"/>
      <c r="B52" s="67" t="n"/>
      <c r="C52" s="68" t="n"/>
      <c r="D52" s="75" t="n"/>
      <c r="E52" s="76" t="n"/>
      <c r="F52" s="78" t="n"/>
      <c r="G52" s="79" t="n"/>
      <c r="H52" s="72">
        <f>F52*G52</f>
        <v/>
      </c>
      <c r="I52" s="2" t="n"/>
      <c r="J52" s="2" t="n"/>
    </row>
    <row r="53">
      <c r="A53" s="83" t="n"/>
      <c r="B53" s="67" t="n"/>
      <c r="C53" s="68" t="n"/>
      <c r="D53" s="84" t="n"/>
      <c r="E53" s="85" t="inlineStr">
        <is>
          <t>Итого расход:</t>
        </is>
      </c>
      <c r="F53" s="78" t="n"/>
      <c r="G53" s="79" t="n"/>
      <c r="H53" s="72">
        <f>F53*G53</f>
        <v/>
      </c>
      <c r="I53" s="86" t="n"/>
      <c r="J53" s="86" t="n"/>
    </row>
    <row r="54">
      <c r="A54" s="87" t="inlineStr">
        <is>
          <t>Остаток на конец дня:</t>
        </is>
      </c>
      <c r="B54" s="88" t="n"/>
      <c r="C54" s="89" t="n"/>
      <c r="D54" s="90">
        <f>SUM(D35,D36:D39,D34,)-SUM(D42:D53,)</f>
        <v/>
      </c>
      <c r="E54" s="87" t="inlineStr">
        <is>
          <t>Остаток на конец дня:</t>
        </is>
      </c>
      <c r="F54" s="91" t="n"/>
      <c r="G54" s="89" t="n"/>
      <c r="H54" s="92">
        <f>SUM(H34+H40-H53)</f>
        <v/>
      </c>
      <c r="I54" s="2" t="n"/>
      <c r="J54" s="2" t="n"/>
    </row>
    <row r="55">
      <c r="A55" s="93" t="n"/>
      <c r="B55" s="94" t="n"/>
      <c r="C55" s="43" t="n"/>
      <c r="D55" s="41" t="n"/>
      <c r="E55" s="41" t="n"/>
      <c r="F55" s="41" t="n"/>
      <c r="G55" s="2" t="n"/>
      <c r="H55" s="2" t="n"/>
      <c r="I55" s="2" t="n"/>
      <c r="J55" s="2" t="n"/>
    </row>
    <row r="56">
      <c r="A56" s="95" t="inlineStr">
        <is>
          <t>Расчётный счёт</t>
        </is>
      </c>
      <c r="B56" s="54" t="n"/>
      <c r="C56" s="54" t="n"/>
      <c r="D56" s="54" t="n"/>
      <c r="E56" s="54" t="n"/>
      <c r="F56" s="54" t="n"/>
      <c r="G56" s="54" t="n"/>
      <c r="H56" s="54" t="n"/>
      <c r="I56" s="2" t="n"/>
      <c r="J56" s="2" t="n"/>
    </row>
    <row r="57">
      <c r="A57" s="96" t="inlineStr">
        <is>
          <t>ВТБ</t>
        </is>
      </c>
      <c r="B57" s="279" t="inlineStr">
        <is>
          <t>ВТБ</t>
        </is>
      </c>
      <c r="C57" s="279" t="n"/>
      <c r="D57" s="47" t="n"/>
      <c r="E57" s="97" t="inlineStr">
        <is>
          <t>Альфабанк</t>
        </is>
      </c>
      <c r="F57" s="56" t="n"/>
      <c r="G57" s="56" t="n"/>
      <c r="H57" s="47" t="n"/>
      <c r="I57" s="330" t="inlineStr">
        <is>
          <t>Уралсиб</t>
        </is>
      </c>
    </row>
    <row r="58">
      <c r="A58" s="98" t="inlineStr">
        <is>
          <t>Остаток на начало дня:</t>
        </is>
      </c>
      <c r="B58" s="280" t="n"/>
      <c r="C58" s="290" t="n">
        <v>1106.18</v>
      </c>
      <c r="D58" s="56" t="n"/>
      <c r="E58" s="100" t="inlineStr">
        <is>
          <t>Остаток на начало дня:</t>
        </is>
      </c>
      <c r="F58" s="47" t="n"/>
      <c r="G58" s="101" t="n">
        <v>2428.5</v>
      </c>
      <c r="H58" s="47" t="n"/>
      <c r="I58" s="330" t="inlineStr">
        <is>
          <t>Остаток на начало дня :</t>
        </is>
      </c>
      <c r="J58" s="332" t="n"/>
    </row>
    <row r="59">
      <c r="A59" s="102" t="inlineStr">
        <is>
          <t>Поступление</t>
        </is>
      </c>
      <c r="B59" s="47" t="n"/>
      <c r="C59" s="102" t="inlineStr">
        <is>
          <t>Расход</t>
        </is>
      </c>
      <c r="D59" s="47" t="n"/>
      <c r="E59" s="102" t="inlineStr">
        <is>
          <t>Поступление</t>
        </is>
      </c>
      <c r="F59" s="47" t="n"/>
      <c r="G59" s="102" t="inlineStr">
        <is>
          <t>Расход</t>
        </is>
      </c>
      <c r="H59" s="47" t="n"/>
      <c r="I59" s="334" t="inlineStr">
        <is>
          <t xml:space="preserve">Поступление </t>
        </is>
      </c>
      <c r="J59" s="332" t="n"/>
    </row>
    <row r="60">
      <c r="A60" s="103" t="inlineStr">
        <is>
          <t>от кого</t>
        </is>
      </c>
      <c r="B60" s="103" t="inlineStr">
        <is>
          <t>сумма</t>
        </is>
      </c>
      <c r="C60" s="103" t="inlineStr">
        <is>
          <t>кому</t>
        </is>
      </c>
      <c r="D60" s="103" t="inlineStr">
        <is>
          <t>сумма</t>
        </is>
      </c>
      <c r="E60" s="103" t="inlineStr">
        <is>
          <t>от кого</t>
        </is>
      </c>
      <c r="F60" s="103" t="inlineStr">
        <is>
          <t>сумма</t>
        </is>
      </c>
      <c r="G60" s="336" t="inlineStr">
        <is>
          <t xml:space="preserve">кому </t>
        </is>
      </c>
      <c r="H60" s="103" t="inlineStr">
        <is>
          <t>сумма</t>
        </is>
      </c>
      <c r="I60" s="334" t="inlineStr">
        <is>
          <t xml:space="preserve">от кого </t>
        </is>
      </c>
      <c r="J60" s="334" t="inlineStr">
        <is>
          <t xml:space="preserve">сумма </t>
        </is>
      </c>
    </row>
    <row r="61">
      <c r="A61" s="104" t="n"/>
      <c r="B61" s="281" t="n"/>
      <c r="C61" s="106" t="n"/>
      <c r="D61" s="107" t="n"/>
      <c r="E61" s="108" t="n"/>
      <c r="F61" s="109" t="n"/>
      <c r="G61" s="110" t="n"/>
      <c r="H61" s="109" t="n"/>
      <c r="I61" s="338" t="n"/>
      <c r="J61" s="339" t="n"/>
    </row>
    <row r="62">
      <c r="A62" s="282" t="n"/>
      <c r="B62" s="281" t="n"/>
      <c r="C62" s="112" t="n"/>
      <c r="D62" s="107" t="n"/>
      <c r="E62" s="110" t="n"/>
      <c r="F62" s="109" t="n"/>
      <c r="G62" s="110" t="n"/>
      <c r="H62" s="109" t="n"/>
      <c r="I62" s="338" t="n"/>
      <c r="J62" s="338" t="n"/>
    </row>
    <row r="63">
      <c r="A63" s="111" t="n"/>
      <c r="B63" s="283" t="n"/>
      <c r="C63" s="113" t="n"/>
      <c r="D63" s="107" t="n"/>
      <c r="E63" s="110" t="n"/>
      <c r="F63" s="109" t="n"/>
      <c r="G63" s="114" t="n"/>
      <c r="H63" s="109" t="n"/>
      <c r="I63" s="338" t="n"/>
      <c r="J63" s="338" t="n"/>
    </row>
    <row r="64">
      <c r="A64" s="115" t="n"/>
      <c r="B64" s="283" t="n"/>
      <c r="C64" s="113" t="n"/>
      <c r="D64" s="107" t="n"/>
      <c r="E64" s="108" t="n"/>
      <c r="F64" s="116" t="n"/>
      <c r="G64" s="114" t="n"/>
      <c r="H64" s="109" t="n"/>
      <c r="I64" s="338" t="n"/>
      <c r="J64" s="338" t="n"/>
    </row>
    <row r="65">
      <c r="A65" s="117" t="n"/>
      <c r="B65" s="283" t="n"/>
      <c r="C65" s="113" t="n"/>
      <c r="D65" s="107" t="n"/>
      <c r="E65" s="118" t="n"/>
      <c r="F65" s="119" t="n"/>
      <c r="G65" s="120" t="n"/>
      <c r="H65" s="120" t="n"/>
      <c r="I65" s="338" t="n"/>
      <c r="J65" s="338" t="n"/>
    </row>
    <row r="66">
      <c r="A66" s="117" t="n"/>
      <c r="B66" s="283" t="n"/>
      <c r="C66" s="113" t="n"/>
      <c r="D66" s="107" t="n"/>
      <c r="E66" s="118" t="n"/>
      <c r="F66" s="119" t="n"/>
      <c r="G66" s="121" t="n"/>
      <c r="H66" s="120" t="n"/>
      <c r="I66" s="338" t="n"/>
      <c r="J66" s="338" t="n"/>
    </row>
    <row r="67">
      <c r="A67" s="122" t="n"/>
      <c r="B67" s="283" t="n"/>
      <c r="C67" s="113" t="n"/>
      <c r="D67" s="107" t="n"/>
      <c r="E67" s="118" t="n"/>
      <c r="F67" s="118" t="n"/>
      <c r="G67" s="123" t="n"/>
      <c r="H67" s="120" t="n"/>
      <c r="I67" s="338" t="n"/>
      <c r="J67" s="338" t="n"/>
    </row>
    <row r="68">
      <c r="A68" s="124" t="n"/>
      <c r="B68" s="284" t="n"/>
      <c r="C68" s="113" t="n"/>
      <c r="D68" s="107" t="n"/>
      <c r="E68" s="124" t="n"/>
      <c r="F68" s="118" t="n"/>
      <c r="G68" s="110" t="n"/>
      <c r="H68" s="120" t="n"/>
      <c r="I68" s="338" t="n"/>
      <c r="J68" s="338" t="n"/>
    </row>
    <row r="69">
      <c r="A69" s="124" t="n"/>
      <c r="B69" s="285" t="n"/>
      <c r="C69" s="112" t="n"/>
      <c r="D69" s="126" t="n"/>
      <c r="E69" s="124" t="n"/>
      <c r="F69" s="118" t="n"/>
      <c r="G69" s="110" t="n"/>
      <c r="H69" s="120" t="n"/>
      <c r="I69" s="338" t="n"/>
      <c r="J69" s="338" t="n"/>
    </row>
    <row r="70">
      <c r="A70" s="124" t="n"/>
      <c r="B70" s="285" t="n"/>
      <c r="C70" s="112" t="n"/>
      <c r="D70" s="126" t="n"/>
      <c r="E70" s="124" t="n"/>
      <c r="F70" s="118" t="n"/>
      <c r="G70" s="110" t="n"/>
      <c r="H70" s="120" t="n"/>
      <c r="I70" s="338" t="n"/>
      <c r="J70" s="338" t="n"/>
    </row>
    <row r="71">
      <c r="A71" s="124" t="n"/>
      <c r="B71" s="285" t="n"/>
      <c r="C71" s="112" t="n"/>
      <c r="D71" s="126" t="n"/>
      <c r="E71" s="124" t="n"/>
      <c r="F71" s="118" t="n"/>
      <c r="G71" s="110" t="n"/>
      <c r="H71" s="120" t="n"/>
      <c r="I71" s="338" t="n"/>
      <c r="J71" s="338" t="n"/>
    </row>
    <row r="72">
      <c r="A72" s="124" t="n"/>
      <c r="B72" s="285" t="n"/>
      <c r="C72" s="112" t="n"/>
      <c r="D72" s="343" t="n"/>
      <c r="E72" s="124" t="n"/>
      <c r="F72" s="118" t="n"/>
      <c r="G72" s="110" t="n"/>
      <c r="H72" s="120" t="n"/>
      <c r="I72" s="338" t="n"/>
      <c r="J72" s="338" t="n"/>
    </row>
    <row r="73">
      <c r="A73" s="124" t="n"/>
      <c r="B73" s="125" t="n"/>
      <c r="C73" s="110" t="n"/>
      <c r="D73" s="126" t="n"/>
      <c r="E73" s="124" t="n"/>
      <c r="F73" s="118" t="n"/>
      <c r="G73" s="110" t="n"/>
      <c r="H73" s="120" t="n"/>
      <c r="I73" s="338" t="n"/>
      <c r="J73" s="338" t="n"/>
    </row>
    <row r="74">
      <c r="A74" s="127" t="n"/>
      <c r="B74" s="128">
        <f>SUM(B61:B73)+C58</f>
        <v/>
      </c>
      <c r="C74" s="129" t="n"/>
      <c r="D74" s="128">
        <f>SUM(D61:D73)</f>
        <v/>
      </c>
      <c r="E74" s="130" t="n"/>
      <c r="F74" s="130">
        <f>SUM(F61:F73)</f>
        <v/>
      </c>
      <c r="G74" s="130" t="n"/>
      <c r="H74" s="130">
        <f>SUM(H61:H73)</f>
        <v/>
      </c>
      <c r="I74" s="344" t="n"/>
      <c r="J74" s="345" t="n"/>
    </row>
    <row r="75">
      <c r="A75" s="131" t="inlineStr">
        <is>
          <t>Остаток на конец дня:</t>
        </is>
      </c>
      <c r="B75" s="132">
        <f>B74-D74</f>
        <v/>
      </c>
      <c r="C75" s="56" t="n"/>
      <c r="D75" s="47" t="n"/>
      <c r="E75" s="100" t="inlineStr">
        <is>
          <t>Остаток на конец дня:</t>
        </is>
      </c>
      <c r="F75" s="101" t="n">
        <v>2428.5</v>
      </c>
      <c r="G75" s="56" t="n"/>
      <c r="H75" s="47" t="n"/>
      <c r="I75" s="330" t="inlineStr">
        <is>
          <t xml:space="preserve">Остаток на конец дня </t>
        </is>
      </c>
      <c r="J75" s="344" t="n"/>
    </row>
    <row r="76">
      <c r="A76" s="133" t="inlineStr">
        <is>
          <t>ИТОГО:</t>
        </is>
      </c>
      <c r="B76" s="47" t="n"/>
      <c r="C76" s="134" t="n">
        <v>3534.68</v>
      </c>
      <c r="D76" s="56" t="n"/>
      <c r="E76" s="56" t="n"/>
      <c r="F76" s="56" t="n"/>
      <c r="G76" s="56" t="n"/>
      <c r="H76" s="47" t="n"/>
      <c r="I76" s="257" t="n"/>
      <c r="J76" s="257" t="n"/>
    </row>
    <row r="77">
      <c r="A77" s="41" t="n"/>
      <c r="B77" s="94" t="n"/>
      <c r="C77" s="43" t="n"/>
      <c r="D77" s="41" t="n"/>
      <c r="E77" s="41" t="n"/>
      <c r="F77" s="41" t="n"/>
      <c r="G77" s="41" t="n"/>
      <c r="H77" s="93" t="n"/>
      <c r="I77" s="135" t="n"/>
      <c r="J77" s="135" t="n"/>
    </row>
    <row r="78">
      <c r="A78" s="136" t="n"/>
      <c r="B78" s="137" t="inlineStr">
        <is>
          <t>Реализация по безналичному расчёту</t>
        </is>
      </c>
      <c r="D78" s="2" t="n"/>
      <c r="E78" s="41" t="n"/>
      <c r="F78" s="41" t="n"/>
      <c r="G78" s="41" t="n"/>
      <c r="H78" s="138" t="n"/>
      <c r="I78" s="2" t="n"/>
      <c r="J78" s="2" t="n"/>
    </row>
    <row r="79">
      <c r="A79" s="139" t="inlineStr">
        <is>
          <t>Контрагент</t>
        </is>
      </c>
      <c r="B79" s="140" t="inlineStr">
        <is>
          <t>поставщик</t>
        </is>
      </c>
      <c r="C79" s="141" t="inlineStr">
        <is>
          <t>наименование</t>
        </is>
      </c>
      <c r="D79" s="142" t="inlineStr">
        <is>
          <t>вес упаковки, тарелки</t>
        </is>
      </c>
      <c r="E79" s="143" t="inlineStr">
        <is>
          <t>кол.-во пакетов, коробок</t>
        </is>
      </c>
      <c r="F79" s="144" t="inlineStr">
        <is>
          <t>кол-во мест в коробке/упаковке</t>
        </is>
      </c>
      <c r="G79" s="145" t="inlineStr">
        <is>
          <t>общий вес, кг.</t>
        </is>
      </c>
      <c r="H79" s="146" t="inlineStr">
        <is>
          <t>цена пакет, тарелка</t>
        </is>
      </c>
      <c r="I79" s="147" t="inlineStr">
        <is>
          <t>сумма</t>
        </is>
      </c>
      <c r="J79" s="148" t="inlineStr">
        <is>
          <t>Комментарий</t>
        </is>
      </c>
    </row>
    <row r="80">
      <c r="A80" s="150" t="n"/>
      <c r="B80" s="151" t="n"/>
      <c r="C80" s="272" t="n"/>
      <c r="D80" s="155" t="n"/>
      <c r="E80" s="154" t="n"/>
      <c r="F80" s="155" t="n"/>
      <c r="G80" s="154" t="n"/>
      <c r="H80" s="156" t="n"/>
      <c r="I80" s="156" t="n"/>
      <c r="J80" s="157" t="n"/>
    </row>
    <row r="81">
      <c r="A81" s="150" t="n"/>
      <c r="B81" s="151" t="n"/>
      <c r="C81" s="158" t="n"/>
      <c r="D81" s="155" t="n"/>
      <c r="E81" s="154" t="n"/>
      <c r="F81" s="155" t="n"/>
      <c r="G81" s="154" t="n"/>
      <c r="H81" s="156" t="n"/>
      <c r="I81" s="156" t="n"/>
      <c r="J81" s="322" t="n"/>
    </row>
    <row r="82">
      <c r="A82" s="150" t="n"/>
      <c r="B82" s="151" t="n"/>
      <c r="C82" s="158" t="n"/>
      <c r="D82" s="155" t="n"/>
      <c r="E82" s="154" t="n"/>
      <c r="F82" s="155" t="n"/>
      <c r="G82" s="154" t="n"/>
      <c r="H82" s="156" t="n"/>
      <c r="I82" s="156" t="n"/>
      <c r="J82" s="159" t="n"/>
    </row>
    <row r="83">
      <c r="A83" s="150" t="n"/>
      <c r="B83" s="151" t="n"/>
      <c r="C83" s="158" t="n"/>
      <c r="D83" s="153" t="n"/>
      <c r="E83" s="154" t="n"/>
      <c r="F83" s="155" t="n"/>
      <c r="G83" s="154" t="n"/>
      <c r="H83" s="156" t="n"/>
      <c r="I83" s="156" t="n"/>
      <c r="J83" s="159" t="n"/>
    </row>
    <row r="84">
      <c r="A84" s="150" t="n"/>
      <c r="B84" s="151" t="n"/>
      <c r="C84" s="152" t="n"/>
      <c r="D84" s="153" t="n"/>
      <c r="E84" s="154" t="n"/>
      <c r="F84" s="155" t="n"/>
      <c r="G84" s="154" t="n"/>
      <c r="H84" s="156" t="n"/>
      <c r="I84" s="156" t="n"/>
      <c r="J84" s="159" t="n"/>
    </row>
    <row r="85">
      <c r="A85" s="150" t="n"/>
      <c r="B85" s="151" t="n"/>
      <c r="C85" s="152" t="n"/>
      <c r="D85" s="153" t="n"/>
      <c r="E85" s="154" t="n"/>
      <c r="F85" s="155" t="n"/>
      <c r="G85" s="154" t="n"/>
      <c r="H85" s="156" t="n"/>
      <c r="I85" s="156" t="n"/>
      <c r="J85" s="159" t="n"/>
    </row>
    <row r="86">
      <c r="A86" s="150" t="n"/>
      <c r="B86" s="150" t="n"/>
      <c r="C86" s="160" t="n"/>
      <c r="D86" s="153" t="n"/>
      <c r="E86" s="154" t="n"/>
      <c r="F86" s="155" t="n"/>
      <c r="G86" s="154" t="n"/>
      <c r="H86" s="156" t="n"/>
      <c r="I86" s="156" t="n"/>
      <c r="J86" s="161" t="n"/>
    </row>
    <row r="87">
      <c r="A87" s="162" t="n"/>
      <c r="B87" s="163" t="n"/>
      <c r="C87" s="164" t="n"/>
      <c r="D87" s="165" t="n"/>
      <c r="E87" s="166" t="n"/>
      <c r="F87" s="167" t="n"/>
      <c r="G87" s="168" t="n"/>
      <c r="H87" s="169" t="n"/>
      <c r="I87" s="170" t="n"/>
      <c r="J87" s="161" t="n"/>
    </row>
    <row r="88">
      <c r="A88" s="162" t="n"/>
      <c r="B88" s="163" t="n"/>
      <c r="C88" s="171" t="n"/>
      <c r="D88" s="153" t="n"/>
      <c r="E88" s="172" t="n"/>
      <c r="F88" s="155" t="n"/>
      <c r="G88" s="168" t="n"/>
      <c r="H88" s="156" t="n"/>
      <c r="I88" s="170" t="n"/>
      <c r="J88" s="161" t="n"/>
    </row>
    <row r="89">
      <c r="A89" s="162" t="n"/>
      <c r="B89" s="163" t="n"/>
      <c r="C89" s="171" t="n"/>
      <c r="D89" s="153" t="n"/>
      <c r="E89" s="172" t="n"/>
      <c r="F89" s="155" t="n"/>
      <c r="G89" s="168" t="n"/>
      <c r="H89" s="156" t="n"/>
      <c r="I89" s="170" t="n"/>
      <c r="J89" s="161" t="n"/>
    </row>
    <row r="90">
      <c r="A90" s="162" t="n"/>
      <c r="B90" s="163" t="n"/>
      <c r="C90" s="171" t="n"/>
      <c r="D90" s="153" t="n"/>
      <c r="E90" s="172" t="n"/>
      <c r="F90" s="155" t="n"/>
      <c r="G90" s="168" t="n"/>
      <c r="H90" s="156" t="n"/>
      <c r="I90" s="170" t="n"/>
      <c r="J90" s="161" t="n"/>
    </row>
    <row r="91">
      <c r="A91" s="162" t="n"/>
      <c r="B91" s="163" t="n"/>
      <c r="C91" s="171" t="n"/>
      <c r="D91" s="153" t="n"/>
      <c r="E91" s="172" t="n"/>
      <c r="F91" s="155" t="n"/>
      <c r="G91" s="168" t="n"/>
      <c r="H91" s="156" t="n"/>
      <c r="I91" s="170" t="n"/>
      <c r="J91" s="161" t="n"/>
    </row>
    <row r="92">
      <c r="A92" s="173" t="n"/>
      <c r="B92" s="174" t="n"/>
      <c r="C92" s="175" t="n"/>
      <c r="D92" s="176" t="n"/>
      <c r="E92" s="177" t="n"/>
      <c r="F92" s="178" t="n"/>
      <c r="G92" s="179" t="n"/>
      <c r="H92" s="180" t="n"/>
      <c r="I92" s="181" t="n"/>
      <c r="J92" s="161" t="n"/>
    </row>
    <row r="93">
      <c r="A93" s="182" t="n"/>
      <c r="B93" s="163" t="n"/>
      <c r="C93" s="183" t="n"/>
      <c r="D93" s="184" t="n"/>
      <c r="E93" s="166" t="n"/>
      <c r="F93" s="167" t="n"/>
      <c r="G93" s="185">
        <f>D93*F93</f>
        <v/>
      </c>
      <c r="H93" s="186" t="n"/>
      <c r="I93" s="186">
        <f>F93*H93*E93</f>
        <v/>
      </c>
      <c r="J93" s="187" t="n"/>
    </row>
    <row r="94">
      <c r="A94" s="182" t="n"/>
      <c r="B94" s="163" t="n"/>
      <c r="C94" s="188" t="n"/>
      <c r="D94" s="189" t="n"/>
      <c r="E94" s="190" t="n"/>
      <c r="F94" s="189" t="n"/>
      <c r="G94" s="185">
        <f>D94*F94</f>
        <v/>
      </c>
      <c r="H94" s="191" t="n"/>
      <c r="I94" s="186">
        <f>F94*H94*E94</f>
        <v/>
      </c>
      <c r="J94" s="187" t="n"/>
    </row>
    <row r="95">
      <c r="A95" s="192" t="inlineStr">
        <is>
          <t>ИТОГО:</t>
        </is>
      </c>
      <c r="B95" s="193" t="n"/>
      <c r="C95" s="194" t="n"/>
      <c r="D95" s="195" t="n"/>
      <c r="E95" s="196">
        <f>SUM(E80:E94)</f>
        <v/>
      </c>
      <c r="F95" s="197">
        <f>SUM(F80:F92)</f>
        <v/>
      </c>
      <c r="G95" s="198">
        <f>SUM(G80:G87)</f>
        <v/>
      </c>
      <c r="H95" s="199" t="n"/>
      <c r="I95" s="199">
        <f>SUM(I80:I88)</f>
        <v/>
      </c>
      <c r="J95" s="200" t="n"/>
    </row>
    <row r="96">
      <c r="A96" s="2" t="n"/>
      <c r="B96" s="94" t="n"/>
      <c r="C96" s="43" t="n"/>
      <c r="D96" s="41" t="n"/>
      <c r="E96" s="41" t="n"/>
      <c r="F96" s="41" t="n"/>
      <c r="G96" s="41" t="n"/>
      <c r="H96" s="2" t="n"/>
      <c r="I96" s="2" t="n"/>
      <c r="J96" s="2" t="n"/>
    </row>
    <row r="97">
      <c r="A97" s="201" t="inlineStr">
        <is>
          <t>реализация Всего касса+безнал:</t>
        </is>
      </c>
      <c r="B97" s="202" t="inlineStr">
        <is>
          <t>кг</t>
        </is>
      </c>
      <c r="C97" s="203" t="inlineStr">
        <is>
          <t>на сумму</t>
        </is>
      </c>
      <c r="D97" s="41" t="n"/>
      <c r="E97" s="41" t="n"/>
      <c r="F97" s="41" t="n"/>
      <c r="G97" s="41" t="n"/>
      <c r="H97" s="2" t="n"/>
      <c r="I97" s="2" t="n"/>
      <c r="J97" s="2" t="n"/>
    </row>
    <row r="98">
      <c r="A98" s="204" t="n"/>
      <c r="B98" s="205">
        <f>E27+G95</f>
        <v/>
      </c>
      <c r="C98" s="206">
        <f>I27+H95+I95</f>
        <v/>
      </c>
      <c r="D98" s="41" t="n"/>
      <c r="E98" s="41" t="n"/>
      <c r="F98" s="41" t="n"/>
      <c r="G98" s="41" t="n"/>
      <c r="H98" s="2" t="n"/>
      <c r="I98" s="2" t="n"/>
      <c r="J98" s="2" t="n"/>
    </row>
    <row r="99">
      <c r="A99" s="207" t="inlineStr">
        <is>
          <t>Услуги оказывают нам (доставка сырья и комплектующих на склад, Товара покупателям)</t>
        </is>
      </c>
      <c r="B99" s="54" t="n"/>
      <c r="C99" s="54" t="n"/>
      <c r="D99" s="54" t="n"/>
      <c r="E99" s="54" t="n"/>
      <c r="F99" s="54" t="n"/>
      <c r="G99" s="54" t="n"/>
      <c r="H99" s="54" t="n"/>
      <c r="I99" s="291" t="n"/>
      <c r="J99" s="58" t="n"/>
    </row>
    <row r="100">
      <c r="A100" s="209" t="inlineStr">
        <is>
          <t>Контрагент</t>
        </is>
      </c>
      <c r="B100" s="210" t="inlineStr">
        <is>
          <t>вид услуги</t>
        </is>
      </c>
      <c r="C100" s="211" t="inlineStr">
        <is>
          <t>Кому / От кого</t>
        </is>
      </c>
      <c r="D100" s="212" t="inlineStr">
        <is>
          <t>наименование</t>
        </is>
      </c>
      <c r="E100" s="213" t="inlineStr">
        <is>
          <t xml:space="preserve">город доставки </t>
        </is>
      </c>
      <c r="F100" s="214" t="inlineStr">
        <is>
          <t>цена</t>
        </is>
      </c>
      <c r="G100" s="213" t="inlineStr">
        <is>
          <t>сумма</t>
        </is>
      </c>
      <c r="H100" s="212" t="inlineStr">
        <is>
          <t>за тонну</t>
        </is>
      </c>
      <c r="I100" s="291" t="n"/>
      <c r="J100" s="58" t="n"/>
    </row>
    <row r="101">
      <c r="A101" s="215" t="n"/>
      <c r="B101" s="60" t="n"/>
      <c r="C101" s="63" t="n"/>
      <c r="D101" s="226" t="n"/>
      <c r="E101" s="317" t="n"/>
      <c r="F101" s="62" t="n"/>
      <c r="G101" s="218" t="n">
        <v>0</v>
      </c>
      <c r="H101" s="305" t="n"/>
      <c r="I101" s="291" t="n"/>
      <c r="J101" s="58" t="n"/>
    </row>
    <row r="102">
      <c r="A102" s="215" t="n"/>
      <c r="B102" s="60" t="n"/>
      <c r="C102" s="63" t="n"/>
      <c r="D102" s="226" t="n"/>
      <c r="E102" s="217" t="n"/>
      <c r="F102" s="62" t="n"/>
      <c r="G102" s="218" t="n">
        <v>0</v>
      </c>
      <c r="H102" s="305" t="n"/>
      <c r="I102" s="315" t="n"/>
      <c r="J102" s="58" t="n"/>
    </row>
    <row r="103">
      <c r="A103" s="220" t="n"/>
      <c r="B103" s="60" t="n"/>
      <c r="C103" s="63" t="n"/>
      <c r="D103" s="226" t="n"/>
      <c r="E103" s="274" t="n"/>
      <c r="F103" s="223" t="n"/>
      <c r="G103" s="218" t="n">
        <v>0</v>
      </c>
      <c r="H103" s="305" t="n"/>
      <c r="I103" s="2" t="n"/>
      <c r="J103" s="2" t="n"/>
    </row>
    <row r="104">
      <c r="A104" s="220" t="n"/>
      <c r="B104" s="60" t="n"/>
      <c r="C104" s="221" t="n"/>
      <c r="D104" s="222" t="n"/>
      <c r="E104" s="274" t="n"/>
      <c r="F104" s="223" t="n"/>
      <c r="G104" s="218" t="n">
        <v>0</v>
      </c>
      <c r="H104" s="219" t="n"/>
      <c r="I104" s="2" t="n"/>
      <c r="J104" s="2" t="n"/>
    </row>
    <row r="105">
      <c r="A105" s="220" t="n"/>
      <c r="B105" s="60" t="n"/>
      <c r="C105" s="221" t="n"/>
      <c r="D105" s="226" t="n"/>
      <c r="E105" s="274" t="n"/>
      <c r="F105" s="223" t="n"/>
      <c r="G105" s="218" t="n">
        <v>0</v>
      </c>
      <c r="H105" s="219" t="n"/>
      <c r="I105" s="2" t="n"/>
      <c r="J105" s="2" t="n"/>
    </row>
    <row r="106">
      <c r="A106" s="220" t="n"/>
      <c r="B106" s="60" t="n"/>
      <c r="C106" s="221" t="n"/>
      <c r="D106" s="226" t="n"/>
      <c r="E106" s="227" t="n"/>
      <c r="F106" s="223" t="n"/>
      <c r="G106" s="218">
        <f>F106+F1224</f>
        <v/>
      </c>
      <c r="H106" s="219" t="n"/>
      <c r="I106" s="2" t="n"/>
      <c r="J106" s="2" t="n"/>
    </row>
    <row r="107">
      <c r="A107" s="220" t="n"/>
      <c r="B107" s="60" t="n"/>
      <c r="C107" s="221" t="n"/>
      <c r="D107" s="226" t="n"/>
      <c r="E107" s="227" t="n"/>
      <c r="F107" s="223" t="n"/>
      <c r="G107" s="218">
        <f>F107+F1225</f>
        <v/>
      </c>
      <c r="H107" s="219" t="n"/>
      <c r="I107" s="2" t="n"/>
      <c r="J107" s="2" t="n"/>
    </row>
    <row r="108">
      <c r="A108" s="220" t="n"/>
      <c r="B108" s="60" t="n"/>
      <c r="C108" s="221" t="n"/>
      <c r="D108" s="226" t="n"/>
      <c r="E108" s="227" t="n"/>
      <c r="F108" s="223" t="n"/>
      <c r="G108" s="218">
        <f>F108+F1226</f>
        <v/>
      </c>
      <c r="H108" s="228" t="n"/>
      <c r="I108" s="2" t="n"/>
      <c r="J108" s="2" t="n"/>
    </row>
    <row r="109">
      <c r="A109" s="229" t="inlineStr">
        <is>
          <t>ИТОГО:</t>
        </is>
      </c>
      <c r="B109" s="230" t="n"/>
      <c r="C109" s="231" t="n"/>
      <c r="D109" s="232" t="n"/>
      <c r="E109" s="233">
        <f>SUM(E101:E108)</f>
        <v/>
      </c>
      <c r="F109" s="234" t="n"/>
      <c r="G109" s="235">
        <f>SUM(G101:G108)</f>
        <v/>
      </c>
      <c r="H109" s="235" t="n"/>
      <c r="I109" s="2" t="n"/>
      <c r="J109" s="2" t="n"/>
    </row>
    <row r="110">
      <c r="A110" s="41" t="n"/>
      <c r="B110" s="94" t="n"/>
      <c r="C110" s="43" t="n"/>
      <c r="D110" s="41" t="n"/>
      <c r="E110" s="41" t="n"/>
      <c r="F110" s="41" t="n"/>
      <c r="G110" s="41" t="n"/>
      <c r="H110" s="41" t="n"/>
      <c r="I110" s="2" t="n"/>
      <c r="J110" s="2" t="n"/>
    </row>
    <row r="111">
      <c r="A111" s="236" t="inlineStr">
        <is>
          <t>Услуги оказываем мы</t>
        </is>
      </c>
      <c r="B111" s="54" t="n"/>
      <c r="C111" s="54" t="n"/>
      <c r="D111" s="54" t="n"/>
      <c r="E111" s="54" t="n"/>
      <c r="F111" s="54" t="n"/>
      <c r="G111" s="54" t="n"/>
      <c r="H111" s="54" t="n"/>
      <c r="I111" s="237" t="n"/>
      <c r="J111" s="2" t="n"/>
    </row>
    <row r="112">
      <c r="A112" s="209" t="inlineStr">
        <is>
          <t>Контрагент</t>
        </is>
      </c>
      <c r="B112" s="238" t="inlineStr">
        <is>
          <t>вид услуги</t>
        </is>
      </c>
      <c r="C112" s="239" t="inlineStr">
        <is>
          <t>наименование</t>
        </is>
      </c>
      <c r="D112" s="240" t="inlineStr">
        <is>
          <t>вес, кг, шт</t>
        </is>
      </c>
      <c r="E112" s="240" t="inlineStr">
        <is>
          <t>цена</t>
        </is>
      </c>
      <c r="F112" s="240" t="inlineStr">
        <is>
          <t>сумма</t>
        </is>
      </c>
      <c r="G112" s="213" t="inlineStr">
        <is>
          <t>№УПД</t>
        </is>
      </c>
      <c r="H112" s="213" t="n"/>
      <c r="I112" s="2" t="n"/>
      <c r="J112" s="2" t="n"/>
    </row>
    <row r="113">
      <c r="A113" s="275" t="n"/>
      <c r="B113" s="276" t="n"/>
      <c r="C113" s="243" t="n"/>
      <c r="D113" s="244" t="n"/>
      <c r="E113" s="277" t="n"/>
      <c r="F113" s="278" t="n"/>
      <c r="G113" s="247" t="n"/>
      <c r="H113" s="248" t="n"/>
      <c r="I113" s="2" t="n"/>
      <c r="J113" s="2" t="n"/>
    </row>
    <row r="114">
      <c r="A114" s="249" t="n"/>
      <c r="B114" s="250" t="n"/>
      <c r="C114" s="251" t="n"/>
      <c r="D114" s="252" t="n"/>
      <c r="E114" s="253" t="n"/>
      <c r="F114" s="254">
        <f>D114*E114</f>
        <v/>
      </c>
      <c r="G114" s="255" t="n"/>
      <c r="H114" s="256" t="n"/>
      <c r="I114" s="2" t="n"/>
      <c r="J114" s="2" t="n"/>
    </row>
    <row r="115">
      <c r="A115" s="257" t="n"/>
      <c r="B115" s="258" t="n"/>
      <c r="C115" s="257" t="n"/>
      <c r="D115" s="257" t="n"/>
      <c r="E115" s="257" t="n"/>
      <c r="F115" s="254">
        <f>D115*E115</f>
        <v/>
      </c>
      <c r="G115" s="257" t="n"/>
      <c r="H115" s="257" t="n"/>
      <c r="I115" s="2" t="n"/>
      <c r="J115" s="2" t="n"/>
    </row>
    <row r="116">
      <c r="A116" s="249" t="n"/>
      <c r="B116" s="258" t="n"/>
      <c r="C116" s="257" t="n"/>
      <c r="D116" s="259" t="n"/>
      <c r="E116" s="257" t="n"/>
      <c r="F116" s="260" t="n"/>
      <c r="G116" s="257" t="n"/>
      <c r="H116" s="257" t="n"/>
      <c r="I116" s="2" t="n"/>
      <c r="J116" s="2" t="n"/>
    </row>
    <row r="117">
      <c r="A117" s="2" t="n"/>
      <c r="B117" s="261" t="n"/>
      <c r="C117" s="2" t="n"/>
      <c r="D117" s="2" t="n"/>
      <c r="E117" s="2" t="n"/>
      <c r="F117" s="262" t="n"/>
      <c r="G117" s="2" t="n"/>
      <c r="H117" s="2" t="n"/>
      <c r="I117" s="263" t="n"/>
      <c r="J117" s="264" t="n"/>
    </row>
  </sheetData>
  <mergeCells count="8">
    <mergeCell ref="A56:H56"/>
    <mergeCell ref="A1:J1"/>
    <mergeCell ref="A99:H99"/>
    <mergeCell ref="I59:J59"/>
    <mergeCell ref="A2:J2"/>
    <mergeCell ref="A32:H32"/>
    <mergeCell ref="A111:H111"/>
    <mergeCell ref="I58:J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12" customWidth="1" min="6" max="6"/>
    <col width="9.625" customWidth="1" min="7" max="7"/>
    <col width="11.125" customWidth="1" min="8" max="8"/>
    <col width="18.2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поступление ч/л</t>
        </is>
      </c>
      <c r="B4" s="267" t="inlineStr">
        <is>
          <t>Снекпром</t>
        </is>
      </c>
      <c r="C4" s="268" t="inlineStr">
        <is>
          <t>бочка железная</t>
        </is>
      </c>
      <c r="D4" s="269" t="n">
        <v>1</v>
      </c>
      <c r="E4" s="17" t="n"/>
      <c r="F4" s="17" t="n"/>
      <c r="G4" s="270" t="n"/>
      <c r="H4" s="19" t="n">
        <v>800</v>
      </c>
      <c r="I4" s="19" t="n">
        <v>800</v>
      </c>
      <c r="J4" s="20" t="n"/>
    </row>
    <row r="5">
      <c r="A5" s="13" t="n"/>
      <c r="B5" s="267" t="n"/>
      <c r="C5" s="268" t="inlineStr">
        <is>
          <t>квадромикс 200 гр</t>
        </is>
      </c>
      <c r="D5" s="269" t="n">
        <v>0.2</v>
      </c>
      <c r="E5" s="17" t="n">
        <v>3</v>
      </c>
      <c r="F5" s="17" t="n">
        <v>18</v>
      </c>
      <c r="G5" s="270">
        <f>E5*D5</f>
        <v/>
      </c>
      <c r="H5" s="19" t="n">
        <v>75</v>
      </c>
      <c r="I5" s="19">
        <f>H5*E5</f>
        <v/>
      </c>
      <c r="J5" s="20" t="n"/>
    </row>
    <row r="6">
      <c r="A6" s="13" t="n"/>
      <c r="B6" s="267" t="n"/>
      <c r="C6" s="268" t="inlineStr">
        <is>
          <t>арахис ассорти 200 гр</t>
        </is>
      </c>
      <c r="D6" s="269" t="n">
        <v>0.2</v>
      </c>
      <c r="E6" s="17" t="n">
        <v>14</v>
      </c>
      <c r="F6" s="17" t="n">
        <v>18</v>
      </c>
      <c r="G6" s="270">
        <f>E6*D6</f>
        <v/>
      </c>
      <c r="H6" s="19" t="n">
        <v>85</v>
      </c>
      <c r="I6" s="19">
        <f>H6*E6</f>
        <v/>
      </c>
      <c r="J6" s="20" t="n"/>
    </row>
    <row r="7">
      <c r="A7" s="13" t="n"/>
      <c r="B7" s="30" t="n"/>
      <c r="C7" s="268" t="inlineStr">
        <is>
          <t>арахис в хрустящей оболочке васаби</t>
        </is>
      </c>
      <c r="D7" s="269" t="n">
        <v>1</v>
      </c>
      <c r="E7" s="17" t="n">
        <v>1</v>
      </c>
      <c r="F7" s="17" t="n">
        <v>1</v>
      </c>
      <c r="G7" s="270" t="n">
        <v>1</v>
      </c>
      <c r="H7" s="19" t="n">
        <v>190</v>
      </c>
      <c r="I7" s="19">
        <f>H7*E7</f>
        <v/>
      </c>
      <c r="J7" s="20" t="n"/>
    </row>
    <row r="8">
      <c r="A8" s="13" t="n"/>
      <c r="B8" s="30" t="n"/>
      <c r="C8" s="268" t="inlineStr">
        <is>
          <t>арахис в хрустящей оболочке сыр</t>
        </is>
      </c>
      <c r="D8" s="269" t="n">
        <v>1</v>
      </c>
      <c r="E8" s="17" t="n">
        <v>1</v>
      </c>
      <c r="F8" s="17" t="n">
        <v>1</v>
      </c>
      <c r="G8" s="270" t="n">
        <v>1</v>
      </c>
      <c r="H8" s="19" t="n">
        <v>190</v>
      </c>
      <c r="I8" s="19">
        <f>H8*E8</f>
        <v/>
      </c>
      <c r="J8" s="20" t="n"/>
    </row>
    <row r="9">
      <c r="A9" s="13" t="n"/>
      <c r="B9" s="30" t="n"/>
      <c r="C9" s="268" t="inlineStr">
        <is>
          <t>арахис ж/с</t>
        </is>
      </c>
      <c r="D9" s="269" t="n">
        <v>2.55</v>
      </c>
      <c r="E9" s="17" t="n"/>
      <c r="F9" s="17" t="n"/>
      <c r="G9" s="270" t="n"/>
      <c r="H9" s="19" t="n">
        <v>196</v>
      </c>
      <c r="I9" s="19">
        <f>H9*D9</f>
        <v/>
      </c>
      <c r="J9" s="20" t="n"/>
    </row>
    <row r="10">
      <c r="A10" s="13" t="inlineStr">
        <is>
          <t>поступление от ИП Супрунов</t>
        </is>
      </c>
      <c r="B10" s="30" t="n"/>
      <c r="C10" s="268" t="inlineStr">
        <is>
          <t>квадромикс 200 гр</t>
        </is>
      </c>
      <c r="D10" s="269" t="n">
        <v>0.2</v>
      </c>
      <c r="E10" s="17" t="n">
        <v>180</v>
      </c>
      <c r="F10" s="17" t="n">
        <v>18</v>
      </c>
      <c r="G10" s="270">
        <f>E10*D10</f>
        <v/>
      </c>
      <c r="H10" s="19" t="n">
        <v>85</v>
      </c>
      <c r="I10" s="19">
        <f>H10*E10</f>
        <v/>
      </c>
      <c r="J10" s="20" t="n"/>
    </row>
    <row r="11">
      <c r="A11" s="13" t="n"/>
      <c r="B11" s="30" t="n"/>
      <c r="C11" s="268" t="inlineStr">
        <is>
          <t>арахис ассорти 200 гр</t>
        </is>
      </c>
      <c r="D11" s="269" t="n">
        <v>0.2</v>
      </c>
      <c r="E11" s="17" t="n">
        <v>180</v>
      </c>
      <c r="F11" s="17" t="n">
        <v>18</v>
      </c>
      <c r="G11" s="270">
        <f>E11*D11</f>
        <v/>
      </c>
      <c r="H11" s="19" t="n">
        <v>75</v>
      </c>
      <c r="I11" s="19">
        <f>H11*E11</f>
        <v/>
      </c>
      <c r="J11" s="20" t="n"/>
    </row>
    <row r="12">
      <c r="A12" s="13" t="n"/>
      <c r="B12" s="30" t="n"/>
      <c r="C12" s="268" t="inlineStr">
        <is>
          <t>васаби 110 гр</t>
        </is>
      </c>
      <c r="D12" s="269" t="n">
        <v>0.11</v>
      </c>
      <c r="E12" s="17" t="n">
        <v>10</v>
      </c>
      <c r="F12" s="17" t="n">
        <v>10</v>
      </c>
      <c r="G12" s="270">
        <f>E12*D12</f>
        <v/>
      </c>
      <c r="H12" s="19" t="n">
        <v>35</v>
      </c>
      <c r="I12" s="19">
        <f>H12*E12</f>
        <v/>
      </c>
      <c r="J12" s="20" t="n"/>
    </row>
    <row r="13">
      <c r="A13" s="13" t="n"/>
      <c r="B13" s="30" t="n"/>
      <c r="C13" s="268" t="inlineStr">
        <is>
          <t>барбекю 110 гр</t>
        </is>
      </c>
      <c r="D13" s="269" t="n">
        <v>0.11</v>
      </c>
      <c r="E13" s="17" t="n">
        <v>30</v>
      </c>
      <c r="F13" s="17" t="n">
        <v>10</v>
      </c>
      <c r="G13" s="270">
        <f>E13*D13</f>
        <v/>
      </c>
      <c r="H13" s="19" t="n">
        <v>35</v>
      </c>
      <c r="I13" s="19">
        <f>H13*E13</f>
        <v/>
      </c>
      <c r="J13" s="20" t="n"/>
    </row>
    <row r="14">
      <c r="A14" s="13" t="n"/>
      <c r="B14" s="30" t="n"/>
      <c r="C14" s="268" t="inlineStr">
        <is>
          <t>сыр лук 110 гр</t>
        </is>
      </c>
      <c r="D14" s="269" t="n">
        <v>0.11</v>
      </c>
      <c r="E14" s="16" t="n">
        <v>20</v>
      </c>
      <c r="F14" s="17" t="n">
        <v>10</v>
      </c>
      <c r="G14" s="270" t="n">
        <v>2.55</v>
      </c>
      <c r="H14" s="19" t="n">
        <v>35</v>
      </c>
      <c r="I14" s="19">
        <f>H14*E14</f>
        <v/>
      </c>
      <c r="J14" s="20" t="n"/>
    </row>
    <row r="15">
      <c r="A15" s="13" t="n"/>
      <c r="B15" s="30" t="n"/>
      <c r="C15" s="268" t="inlineStr">
        <is>
          <t>арахис в корочке бекон</t>
        </is>
      </c>
      <c r="D15" s="269" t="n">
        <v>0.5</v>
      </c>
      <c r="E15" s="16" t="n">
        <v>12</v>
      </c>
      <c r="F15" s="17" t="n">
        <v>12</v>
      </c>
      <c r="G15" s="270">
        <f>D15*F15</f>
        <v/>
      </c>
      <c r="H15" s="19" t="n">
        <v>110</v>
      </c>
      <c r="I15" s="19">
        <f>H15*E15</f>
        <v/>
      </c>
      <c r="J15" s="20" t="n"/>
    </row>
    <row r="16">
      <c r="A16" s="13" t="n"/>
      <c r="B16" s="30" t="n"/>
      <c r="C16" s="268" t="inlineStr">
        <is>
          <t>арахис в корочке васаби</t>
        </is>
      </c>
      <c r="D16" s="269" t="n">
        <v>0.5</v>
      </c>
      <c r="E16" s="16" t="n">
        <v>24</v>
      </c>
      <c r="F16" s="17" t="n">
        <v>12</v>
      </c>
      <c r="G16" s="270">
        <f>D16*F16</f>
        <v/>
      </c>
      <c r="H16" s="19" t="n">
        <v>110</v>
      </c>
      <c r="I16" s="19">
        <f>H16*E16</f>
        <v/>
      </c>
      <c r="J16" s="20" t="n"/>
    </row>
    <row r="17">
      <c r="A17" s="13" t="n"/>
      <c r="B17" s="30" t="n"/>
      <c r="C17" s="268" t="inlineStr">
        <is>
          <t>арахис в корочке мексиканский соус</t>
        </is>
      </c>
      <c r="D17" s="269" t="n">
        <v>0.5</v>
      </c>
      <c r="E17" s="16" t="n">
        <v>12</v>
      </c>
      <c r="F17" s="17" t="n">
        <v>12</v>
      </c>
      <c r="G17" s="270">
        <f>D17*F17</f>
        <v/>
      </c>
      <c r="H17" s="19" t="n">
        <v>110</v>
      </c>
      <c r="I17" s="19">
        <f>H17*E17</f>
        <v/>
      </c>
      <c r="J17" s="20" t="n"/>
    </row>
    <row r="18">
      <c r="A18" s="13" t="n"/>
      <c r="B18" s="30" t="n"/>
      <c r="C18" s="268" t="inlineStr">
        <is>
          <t>арахис в корочке барбекю</t>
        </is>
      </c>
      <c r="D18" s="269" t="n">
        <v>0.5</v>
      </c>
      <c r="E18" s="16" t="n">
        <v>12</v>
      </c>
      <c r="F18" s="17" t="n">
        <v>12</v>
      </c>
      <c r="G18" s="270">
        <f>D18*F18</f>
        <v/>
      </c>
      <c r="H18" s="19" t="n">
        <v>110</v>
      </c>
      <c r="I18" s="19">
        <f>H18*E18</f>
        <v/>
      </c>
      <c r="J18" s="20" t="n"/>
    </row>
    <row r="19">
      <c r="A19" s="13" t="n"/>
      <c r="B19" s="30" t="n"/>
      <c r="C19" s="268" t="inlineStr">
        <is>
          <t>арахис в корочке сыр</t>
        </is>
      </c>
      <c r="D19" s="269" t="n">
        <v>0.5</v>
      </c>
      <c r="E19" s="16" t="n">
        <v>24</v>
      </c>
      <c r="F19" s="17" t="n">
        <v>12</v>
      </c>
      <c r="G19" s="270">
        <f>D19*F19</f>
        <v/>
      </c>
      <c r="H19" s="19" t="n">
        <v>110</v>
      </c>
      <c r="I19" s="19">
        <f>H19*E19</f>
        <v/>
      </c>
      <c r="J19" s="20" t="n"/>
    </row>
    <row r="20">
      <c r="A20" s="13" t="n"/>
      <c r="B20" s="30" t="n"/>
      <c r="C20" s="268" t="n"/>
      <c r="D20" s="26" t="n"/>
      <c r="E20" s="16" t="n"/>
      <c r="F20" s="17" t="n"/>
      <c r="G20" s="270" t="n"/>
      <c r="H20" s="19" t="n"/>
      <c r="I20" s="19" t="n"/>
      <c r="J20" s="20" t="n"/>
    </row>
    <row r="21">
      <c r="A21" s="13" t="n"/>
      <c r="B21" s="30" t="n"/>
      <c r="C21" s="21" t="n"/>
      <c r="D21" s="26" t="n"/>
      <c r="E21" s="16" t="n"/>
      <c r="F21" s="17" t="n"/>
      <c r="G21" s="270" t="n"/>
      <c r="H21" s="19" t="n"/>
      <c r="I21" s="19" t="n"/>
      <c r="J21" s="20" t="n"/>
    </row>
    <row r="22">
      <c r="A22" s="13" t="n"/>
      <c r="B22" s="30" t="n"/>
      <c r="C22" s="21" t="n"/>
      <c r="D22" s="26" t="n"/>
      <c r="E22" s="16" t="n"/>
      <c r="F22" s="17" t="n"/>
      <c r="G22" s="270" t="n"/>
      <c r="H22" s="19" t="n"/>
      <c r="I22" s="19" t="n"/>
      <c r="J22" s="20" t="n"/>
    </row>
    <row r="23">
      <c r="A23" s="29" t="n"/>
      <c r="B23" s="30" t="n"/>
      <c r="C23" s="21" t="n"/>
      <c r="D23" s="26" t="n"/>
      <c r="E23" s="16" t="n"/>
      <c r="F23" s="17" t="n"/>
      <c r="G23" s="270">
        <f>D23*F23</f>
        <v/>
      </c>
      <c r="H23" s="19" t="n"/>
      <c r="I23" s="19">
        <f>H23*E23</f>
        <v/>
      </c>
      <c r="J23" s="32" t="n"/>
    </row>
    <row r="24">
      <c r="A24" s="33" t="n"/>
      <c r="B24" s="34" t="n"/>
      <c r="C24" s="35" t="n"/>
      <c r="D24" s="33" t="n"/>
      <c r="E24" s="36">
        <f>SUM(E4:E23)</f>
        <v/>
      </c>
      <c r="F24" s="36">
        <f>SUM(F4:F23)</f>
        <v/>
      </c>
      <c r="G24" s="37">
        <f>SUM(G4:G23)</f>
        <v/>
      </c>
      <c r="H24" s="38" t="n"/>
      <c r="I24" s="39">
        <f>SUM(I4:I23)</f>
        <v/>
      </c>
      <c r="J24" s="40" t="n"/>
    </row>
    <row r="25">
      <c r="A25" s="41" t="n"/>
      <c r="B25" s="42" t="n"/>
      <c r="C25" s="43" t="n"/>
      <c r="D25" s="41" t="n"/>
      <c r="E25" s="41" t="n"/>
      <c r="F25" s="41" t="n"/>
      <c r="G25" s="41" t="n"/>
      <c r="H25" s="41" t="n"/>
      <c r="I25" s="2" t="n"/>
      <c r="J25" s="2" t="n"/>
    </row>
    <row r="26">
      <c r="A26" s="44" t="inlineStr">
        <is>
          <t xml:space="preserve">Поступление от </t>
        </is>
      </c>
      <c r="B26" s="45" t="inlineStr">
        <is>
          <t>сумма</t>
        </is>
      </c>
      <c r="C26" s="46" t="inlineStr">
        <is>
          <t>примечание</t>
        </is>
      </c>
      <c r="D26" s="47" t="n"/>
      <c r="E26" s="41" t="n"/>
      <c r="F26" s="41" t="n"/>
      <c r="G26" s="41" t="n"/>
      <c r="H26" s="41" t="n"/>
      <c r="I26" s="2" t="n"/>
      <c r="J26" s="2" t="n"/>
    </row>
    <row r="27">
      <c r="A27" s="48" t="n"/>
      <c r="B27" s="49" t="n"/>
      <c r="C27" s="50" t="n"/>
      <c r="D27" s="47" t="n"/>
      <c r="E27" s="41" t="n"/>
      <c r="F27" s="41" t="n"/>
      <c r="G27" s="41" t="n"/>
      <c r="H27" s="41" t="n"/>
      <c r="I27" s="2" t="n"/>
      <c r="J27" s="2" t="n"/>
    </row>
    <row r="28">
      <c r="A28" s="29" t="n"/>
      <c r="B28" s="51" t="n"/>
      <c r="C28" s="52" t="n"/>
      <c r="D28" s="47" t="n"/>
      <c r="E28" s="41" t="n"/>
      <c r="F28" s="41" t="n"/>
      <c r="G28" s="41" t="n"/>
      <c r="H28" s="41" t="n"/>
      <c r="I28" s="2" t="n"/>
      <c r="J28" s="2" t="n"/>
    </row>
    <row r="29">
      <c r="A29" s="53" t="inlineStr">
        <is>
          <t>Касса</t>
        </is>
      </c>
      <c r="B29" s="54" t="n"/>
      <c r="C29" s="54" t="n"/>
      <c r="D29" s="54" t="n"/>
      <c r="E29" s="54" t="n"/>
      <c r="F29" s="54" t="n"/>
      <c r="G29" s="54" t="n"/>
      <c r="H29" s="54" t="n"/>
      <c r="I29" s="2" t="n"/>
      <c r="J29" s="2" t="n"/>
    </row>
    <row r="30">
      <c r="A30" s="55" t="inlineStr">
        <is>
          <t>Производство</t>
        </is>
      </c>
      <c r="B30" s="56" t="n"/>
      <c r="C30" s="56" t="n"/>
      <c r="D30" s="47" t="n"/>
      <c r="E30" s="55" t="inlineStr">
        <is>
          <t xml:space="preserve">Бухгалтерия </t>
        </is>
      </c>
      <c r="F30" s="56" t="n"/>
      <c r="G30" s="56" t="n"/>
      <c r="H30" s="47" t="n"/>
      <c r="I30" s="57" t="n"/>
      <c r="J30" s="58" t="n"/>
    </row>
    <row r="31">
      <c r="A31" s="59" t="inlineStr">
        <is>
          <t>Остаток на начало дня:</t>
        </is>
      </c>
      <c r="B31" s="60" t="n"/>
      <c r="C31" s="61" t="n"/>
      <c r="D31" s="62" t="n">
        <v>72976.44999999995</v>
      </c>
      <c r="E31" s="59" t="inlineStr">
        <is>
          <t>Остаток на начало дня:</t>
        </is>
      </c>
      <c r="F31" s="63" t="n"/>
      <c r="G31" s="61" t="n"/>
      <c r="H31" s="64" t="n">
        <v>0</v>
      </c>
      <c r="I31" s="65" t="n"/>
      <c r="J31" s="2" t="n"/>
    </row>
    <row r="32">
      <c r="A32" s="66" t="inlineStr">
        <is>
          <t>поступление ИП Супрунов</t>
        </is>
      </c>
      <c r="B32" s="67" t="n"/>
      <c r="C32" s="68" t="n">
        <v>40140</v>
      </c>
      <c r="D32" s="68" t="n">
        <v>40140</v>
      </c>
      <c r="E32" s="69" t="n"/>
      <c r="F32" s="70" t="n"/>
      <c r="G32" s="71" t="n"/>
      <c r="H32" s="72">
        <f>F32*G32</f>
        <v/>
      </c>
      <c r="I32" s="313" t="n"/>
      <c r="J32" s="313" t="n"/>
    </row>
    <row r="33">
      <c r="A33" s="66" t="inlineStr">
        <is>
          <t>поступление ч/л</t>
        </is>
      </c>
      <c r="B33" s="67" t="n"/>
      <c r="C33" s="68" t="n">
        <v>3094.8</v>
      </c>
      <c r="D33" s="68" t="n">
        <v>3094.8</v>
      </c>
      <c r="E33" s="69" t="n"/>
      <c r="F33" s="70" t="n"/>
      <c r="G33" s="71" t="n"/>
      <c r="H33" s="72">
        <f>F33*G33</f>
        <v/>
      </c>
      <c r="I33" s="2" t="n"/>
      <c r="J33" s="2" t="n"/>
    </row>
    <row r="34">
      <c r="A34" s="66" t="n"/>
      <c r="B34" s="67" t="n"/>
      <c r="C34" s="68" t="n"/>
      <c r="D34" s="68" t="n"/>
      <c r="E34" s="69" t="n"/>
      <c r="F34" s="70" t="n"/>
      <c r="G34" s="71" t="n"/>
      <c r="H34" s="72">
        <f>F34*G34</f>
        <v/>
      </c>
      <c r="I34" s="2" t="n"/>
      <c r="J34" s="2" t="n"/>
    </row>
    <row r="35">
      <c r="A35" s="66" t="n"/>
      <c r="B35" s="67" t="n"/>
      <c r="C35" s="68" t="n"/>
      <c r="D35" s="68" t="n"/>
      <c r="E35" s="69" t="n"/>
      <c r="F35" s="70" t="n"/>
      <c r="G35" s="71" t="n"/>
      <c r="H35" s="72">
        <f>F35*G35</f>
        <v/>
      </c>
      <c r="I35" s="2" t="n"/>
      <c r="J35" s="2" t="n"/>
    </row>
    <row r="36">
      <c r="A36" s="66" t="n"/>
      <c r="B36" s="73" t="n"/>
      <c r="C36" s="74" t="n"/>
      <c r="D36" s="75" t="n"/>
      <c r="E36" s="69" t="n"/>
      <c r="F36" s="70" t="n"/>
      <c r="G36" s="71" t="n"/>
      <c r="H36" s="72">
        <f>F36*G36</f>
        <v/>
      </c>
      <c r="I36" s="2" t="n"/>
      <c r="J36" s="2" t="n"/>
    </row>
    <row r="37">
      <c r="A37" s="76" t="n"/>
      <c r="B37" s="67" t="n"/>
      <c r="C37" s="68" t="n"/>
      <c r="D37" s="75" t="n"/>
      <c r="E37" s="77" t="inlineStr">
        <is>
          <t>Итого приход:</t>
        </is>
      </c>
      <c r="F37" s="78" t="n"/>
      <c r="G37" s="79" t="n"/>
      <c r="H37" s="80">
        <f>SUM(H32:H33)</f>
        <v/>
      </c>
      <c r="I37" s="2" t="n"/>
      <c r="J37" s="2" t="n"/>
    </row>
    <row r="38">
      <c r="A38" s="76" t="inlineStr">
        <is>
          <t>Расход за день:</t>
        </is>
      </c>
      <c r="B38" s="67" t="n"/>
      <c r="C38" s="79" t="n"/>
      <c r="D38" s="80" t="n"/>
      <c r="E38" s="76" t="inlineStr">
        <is>
          <t>Расход за день:</t>
        </is>
      </c>
      <c r="F38" s="78" t="n"/>
      <c r="G38" s="79" t="n"/>
      <c r="H38" s="80" t="n"/>
      <c r="I38" s="2" t="n"/>
      <c r="J38" s="2" t="n"/>
    </row>
    <row r="39">
      <c r="A39" s="69" t="inlineStr">
        <is>
          <t>почта</t>
        </is>
      </c>
      <c r="B39" s="67" t="n"/>
      <c r="C39" s="68" t="n">
        <v>650</v>
      </c>
      <c r="D39" s="68" t="n">
        <v>650</v>
      </c>
      <c r="E39" s="76" t="n"/>
      <c r="F39" s="78" t="n"/>
      <c r="G39" s="79" t="n"/>
      <c r="H39" s="80" t="n"/>
      <c r="I39" s="2" t="n"/>
      <c r="J39" s="2" t="n"/>
    </row>
    <row r="40">
      <c r="A40" s="81" t="inlineStr">
        <is>
          <t>уборка</t>
        </is>
      </c>
      <c r="B40" s="67" t="n"/>
      <c r="C40" s="68" t="n">
        <v>6000</v>
      </c>
      <c r="D40" s="68" t="n">
        <v>6000</v>
      </c>
      <c r="E40" s="76" t="n"/>
      <c r="F40" s="78" t="n"/>
      <c r="G40" s="79" t="n"/>
      <c r="H40" s="72">
        <f>F40*G40</f>
        <v/>
      </c>
      <c r="I40" s="2" t="n"/>
      <c r="J40" s="2" t="n"/>
    </row>
    <row r="41">
      <c r="A41" s="81" t="inlineStr">
        <is>
          <t>з/п Фетисова (рассчет)</t>
        </is>
      </c>
      <c r="B41" s="67" t="n"/>
      <c r="C41" s="68" t="n">
        <v>10300</v>
      </c>
      <c r="D41" s="68" t="n">
        <v>10300</v>
      </c>
      <c r="E41" s="76" t="n"/>
      <c r="F41" s="78" t="n"/>
      <c r="G41" s="79" t="n"/>
      <c r="H41" s="72" t="n"/>
      <c r="I41" s="2" t="n"/>
      <c r="J41" s="2" t="n"/>
    </row>
    <row r="42">
      <c r="A42" s="81" t="inlineStr">
        <is>
          <t>сетка от комаров</t>
        </is>
      </c>
      <c r="B42" s="67" t="n"/>
      <c r="C42" s="68" t="n">
        <v>413</v>
      </c>
      <c r="D42" s="68" t="n">
        <v>413</v>
      </c>
      <c r="E42" s="76" t="n"/>
      <c r="F42" s="78" t="n"/>
      <c r="G42" s="79" t="n"/>
      <c r="H42" s="72">
        <f>F42*G42</f>
        <v/>
      </c>
      <c r="I42" s="2" t="n"/>
      <c r="J42" s="2" t="n"/>
    </row>
    <row r="43">
      <c r="A43" s="81" t="n"/>
      <c r="B43" s="67" t="n"/>
      <c r="C43" s="68" t="n"/>
      <c r="D43" s="68" t="n"/>
      <c r="E43" s="76" t="n"/>
      <c r="F43" s="78" t="n"/>
      <c r="G43" s="79" t="n"/>
      <c r="H43" s="72">
        <f>F43*G43</f>
        <v/>
      </c>
      <c r="I43" s="2" t="n"/>
      <c r="J43" s="2" t="n"/>
    </row>
    <row r="44">
      <c r="A44" s="69" t="n"/>
      <c r="B44" s="67" t="n"/>
      <c r="C44" s="68" t="n"/>
      <c r="D44" s="74" t="n"/>
      <c r="E44" s="76" t="n"/>
      <c r="F44" s="78" t="n"/>
      <c r="G44" s="79" t="n"/>
      <c r="H44" s="72">
        <f>F44*G44</f>
        <v/>
      </c>
      <c r="I44" s="2" t="n"/>
      <c r="J44" s="2" t="n"/>
    </row>
    <row r="45">
      <c r="A45" s="69" t="n"/>
      <c r="B45" s="67" t="n"/>
      <c r="C45" s="68" t="n"/>
      <c r="D45" s="74" t="n"/>
      <c r="E45" s="76" t="n"/>
      <c r="F45" s="78" t="n"/>
      <c r="G45" s="79" t="n"/>
      <c r="H45" s="72">
        <f>F45*G45</f>
        <v/>
      </c>
      <c r="I45" s="2" t="n"/>
      <c r="J45" s="2" t="n"/>
    </row>
    <row r="46">
      <c r="A46" s="69" t="n"/>
      <c r="B46" s="67" t="n"/>
      <c r="C46" s="68" t="n"/>
      <c r="D46" s="74" t="n"/>
      <c r="E46" s="76" t="n"/>
      <c r="F46" s="78" t="n"/>
      <c r="G46" s="79" t="n"/>
      <c r="H46" s="72">
        <f>F46*G46</f>
        <v/>
      </c>
      <c r="I46" s="2" t="n"/>
      <c r="J46" s="2" t="n"/>
    </row>
    <row r="47">
      <c r="A47" s="69" t="n"/>
      <c r="B47" s="67" t="n"/>
      <c r="C47" s="68" t="n"/>
      <c r="D47" s="75" t="n"/>
      <c r="E47" s="76" t="n"/>
      <c r="F47" s="78" t="n"/>
      <c r="G47" s="79" t="n"/>
      <c r="H47" s="72">
        <f>F47*G47</f>
        <v/>
      </c>
      <c r="I47" s="313" t="n"/>
      <c r="J47" s="2" t="n"/>
    </row>
    <row r="48">
      <c r="A48" s="69" t="n"/>
      <c r="B48" s="67" t="n"/>
      <c r="C48" s="68" t="n"/>
      <c r="D48" s="75" t="n"/>
      <c r="E48" s="76" t="n"/>
      <c r="F48" s="78" t="n"/>
      <c r="G48" s="79" t="n"/>
      <c r="H48" s="72">
        <f>F48*G48</f>
        <v/>
      </c>
      <c r="I48" s="2" t="n"/>
      <c r="J48" s="2" t="n"/>
    </row>
    <row r="49">
      <c r="A49" s="69" t="n"/>
      <c r="B49" s="67" t="n"/>
      <c r="C49" s="68" t="n"/>
      <c r="D49" s="75" t="n"/>
      <c r="E49" s="76" t="n"/>
      <c r="F49" s="78" t="n"/>
      <c r="G49" s="79" t="n"/>
      <c r="H49" s="72">
        <f>F49*G49</f>
        <v/>
      </c>
      <c r="I49" s="2" t="n"/>
      <c r="J49" s="2" t="n"/>
    </row>
    <row r="50">
      <c r="A50" s="83" t="n"/>
      <c r="B50" s="67" t="n"/>
      <c r="C50" s="68" t="n"/>
      <c r="D50" s="84" t="n"/>
      <c r="E50" s="85" t="inlineStr">
        <is>
          <t>Итого расход:</t>
        </is>
      </c>
      <c r="F50" s="78" t="n"/>
      <c r="G50" s="79" t="n"/>
      <c r="H50" s="72">
        <f>F50*G50</f>
        <v/>
      </c>
      <c r="I50" s="86" t="n"/>
      <c r="J50" s="86" t="n"/>
    </row>
    <row r="51">
      <c r="A51" s="87" t="inlineStr">
        <is>
          <t>Остаток на конец дня:</t>
        </is>
      </c>
      <c r="B51" s="88" t="n"/>
      <c r="C51" s="89" t="n"/>
      <c r="D51" s="90">
        <f>SUM(D32,D33:D36,D31,)-SUM(D39:D50,)</f>
        <v/>
      </c>
      <c r="E51" s="87" t="inlineStr">
        <is>
          <t>Остаток на конец дня:</t>
        </is>
      </c>
      <c r="F51" s="91" t="n"/>
      <c r="G51" s="89" t="n"/>
      <c r="H51" s="92">
        <f>SUM(H31+H37-H50)</f>
        <v/>
      </c>
      <c r="I51" s="2" t="n"/>
      <c r="J51" s="2" t="n"/>
    </row>
    <row r="52">
      <c r="A52" s="93" t="n"/>
      <c r="B52" s="94" t="n"/>
      <c r="C52" s="43" t="n"/>
      <c r="D52" s="41" t="n"/>
      <c r="E52" s="41" t="n"/>
      <c r="F52" s="41" t="n"/>
      <c r="G52" s="2" t="n"/>
      <c r="H52" s="2" t="n"/>
      <c r="I52" s="2" t="n"/>
      <c r="J52" s="2" t="n"/>
    </row>
    <row r="53">
      <c r="A53" s="95" t="inlineStr">
        <is>
          <t>Расчётный счёт</t>
        </is>
      </c>
      <c r="B53" s="54" t="n"/>
      <c r="C53" s="54" t="n"/>
      <c r="D53" s="54" t="n"/>
      <c r="E53" s="54" t="n"/>
      <c r="F53" s="54" t="n"/>
      <c r="G53" s="54" t="n"/>
      <c r="H53" s="54" t="n"/>
      <c r="I53" s="2" t="n"/>
      <c r="J53" s="2" t="n"/>
    </row>
    <row r="54">
      <c r="A54" s="96" t="inlineStr">
        <is>
          <t>ВТБ</t>
        </is>
      </c>
      <c r="B54" s="279" t="inlineStr">
        <is>
          <t>ВТБ</t>
        </is>
      </c>
      <c r="C54" s="279" t="n"/>
      <c r="D54" s="47" t="n"/>
      <c r="E54" s="97" t="inlineStr">
        <is>
          <t>Альфабанк</t>
        </is>
      </c>
      <c r="F54" s="56" t="n"/>
      <c r="G54" s="56" t="n"/>
      <c r="H54" s="47" t="n"/>
      <c r="I54" s="330" t="inlineStr">
        <is>
          <t>Уралсиб</t>
        </is>
      </c>
    </row>
    <row r="55">
      <c r="A55" s="98" t="inlineStr">
        <is>
          <t>Остаток на начало дня:</t>
        </is>
      </c>
      <c r="B55" s="280" t="n"/>
      <c r="C55" s="290" t="n">
        <v>1106.18</v>
      </c>
      <c r="D55" s="56" t="n"/>
      <c r="E55" s="100" t="inlineStr">
        <is>
          <t>Остаток на начало дня:</t>
        </is>
      </c>
      <c r="F55" s="47" t="n"/>
      <c r="G55" s="101" t="n">
        <v>2428.5</v>
      </c>
      <c r="H55" s="47" t="n"/>
      <c r="I55" s="330" t="inlineStr">
        <is>
          <t>Остаток на начало дня :</t>
        </is>
      </c>
      <c r="J55" s="332" t="n"/>
    </row>
    <row r="56">
      <c r="A56" s="102" t="inlineStr">
        <is>
          <t>Поступление</t>
        </is>
      </c>
      <c r="B56" s="47" t="n"/>
      <c r="C56" s="102" t="inlineStr">
        <is>
          <t>Расход</t>
        </is>
      </c>
      <c r="D56" s="47" t="n"/>
      <c r="E56" s="102" t="inlineStr">
        <is>
          <t>Поступление</t>
        </is>
      </c>
      <c r="F56" s="47" t="n"/>
      <c r="G56" s="102" t="inlineStr">
        <is>
          <t>Расход</t>
        </is>
      </c>
      <c r="H56" s="47" t="n"/>
      <c r="I56" s="334" t="inlineStr">
        <is>
          <t xml:space="preserve">Поступление </t>
        </is>
      </c>
      <c r="J56" s="332" t="n"/>
    </row>
    <row r="57">
      <c r="A57" s="103" t="inlineStr">
        <is>
          <t>от кого</t>
        </is>
      </c>
      <c r="B57" s="103" t="inlineStr">
        <is>
          <t>сумма</t>
        </is>
      </c>
      <c r="C57" s="103" t="inlineStr">
        <is>
          <t>кому</t>
        </is>
      </c>
      <c r="D57" s="103" t="inlineStr">
        <is>
          <t>сумма</t>
        </is>
      </c>
      <c r="E57" s="103" t="inlineStr">
        <is>
          <t>от кого</t>
        </is>
      </c>
      <c r="F57" s="103" t="inlineStr">
        <is>
          <t>сумма</t>
        </is>
      </c>
      <c r="G57" s="336" t="inlineStr">
        <is>
          <t xml:space="preserve">кому </t>
        </is>
      </c>
      <c r="H57" s="103" t="inlineStr">
        <is>
          <t>сумма</t>
        </is>
      </c>
      <c r="I57" s="334" t="inlineStr">
        <is>
          <t xml:space="preserve">от кого </t>
        </is>
      </c>
      <c r="J57" s="334" t="inlineStr">
        <is>
          <t xml:space="preserve">сумма </t>
        </is>
      </c>
    </row>
    <row r="58">
      <c r="A58" s="104" t="inlineStr">
        <is>
          <t xml:space="preserve">ООО Белторгфуд </t>
        </is>
      </c>
      <c r="B58" s="281" t="n">
        <v>1700000</v>
      </c>
      <c r="C58" s="106" t="n"/>
      <c r="D58" s="107" t="n"/>
      <c r="E58" s="108" t="n"/>
      <c r="F58" s="109" t="n"/>
      <c r="G58" s="110" t="n"/>
      <c r="H58" s="109" t="n"/>
      <c r="I58" s="338" t="n"/>
      <c r="J58" s="339" t="n"/>
    </row>
    <row r="59">
      <c r="A59" s="282" t="n"/>
      <c r="B59" s="281" t="n"/>
      <c r="C59" s="112" t="inlineStr">
        <is>
          <t>ООО Стэк  обслуживание 1С</t>
        </is>
      </c>
      <c r="D59" s="107" t="n">
        <v>7500</v>
      </c>
      <c r="E59" s="110" t="n"/>
      <c r="F59" s="109" t="n"/>
      <c r="G59" s="110" t="n"/>
      <c r="H59" s="109" t="n"/>
      <c r="I59" s="338" t="n"/>
      <c r="J59" s="338" t="n"/>
    </row>
    <row r="60">
      <c r="A60" s="111" t="n"/>
      <c r="B60" s="283" t="n"/>
      <c r="C60" s="113" t="inlineStr">
        <is>
          <t xml:space="preserve">ООО Мастер строй за мешки ,материалы </t>
        </is>
      </c>
      <c r="D60" s="107" t="n">
        <v>7570</v>
      </c>
      <c r="E60" s="110" t="n"/>
      <c r="F60" s="109" t="n"/>
      <c r="G60" s="114" t="n"/>
      <c r="H60" s="109" t="n"/>
      <c r="I60" s="338" t="n"/>
      <c r="J60" s="338" t="n"/>
    </row>
    <row r="61">
      <c r="A61" s="115" t="n"/>
      <c r="B61" s="283" t="n"/>
      <c r="C61" s="113" t="inlineStr">
        <is>
          <t xml:space="preserve">ООО Интернет решения  за спецодежду ,хохзтовары </t>
        </is>
      </c>
      <c r="D61" s="107" t="n">
        <v>21678</v>
      </c>
      <c r="E61" s="108" t="n"/>
      <c r="F61" s="116" t="n"/>
      <c r="G61" s="114" t="n"/>
      <c r="H61" s="109" t="n"/>
      <c r="I61" s="338" t="n"/>
      <c r="J61" s="338" t="n"/>
    </row>
    <row r="62">
      <c r="A62" s="117" t="n"/>
      <c r="B62" s="283" t="n"/>
      <c r="C62" s="113" t="inlineStr">
        <is>
          <t xml:space="preserve">ООО Промстеклоснаб за транспортные услуги   </t>
        </is>
      </c>
      <c r="D62" s="107" t="n">
        <v>29000</v>
      </c>
      <c r="E62" s="118" t="n"/>
      <c r="F62" s="119" t="n"/>
      <c r="G62" s="120" t="n"/>
      <c r="H62" s="120" t="n"/>
      <c r="I62" s="338" t="n"/>
      <c r="J62" s="338" t="n"/>
    </row>
    <row r="63">
      <c r="A63" s="117" t="n"/>
      <c r="B63" s="283" t="n"/>
      <c r="C63" s="113" t="inlineStr">
        <is>
          <t xml:space="preserve">ИП Харламова за услуги по предоставлению персонала </t>
        </is>
      </c>
      <c r="D63" s="107" t="n">
        <v>302760</v>
      </c>
      <c r="E63" s="118" t="n"/>
      <c r="F63" s="119" t="n"/>
      <c r="G63" s="121" t="n"/>
      <c r="H63" s="120" t="n"/>
      <c r="I63" s="338" t="n"/>
      <c r="J63" s="338" t="n"/>
    </row>
    <row r="64">
      <c r="A64" s="122" t="n"/>
      <c r="B64" s="283" t="n"/>
      <c r="C64" s="113" t="inlineStr">
        <is>
          <t>Размещение на депозите  1325800</t>
        </is>
      </c>
      <c r="D64" s="107" t="n">
        <v>0</v>
      </c>
      <c r="E64" s="118" t="n"/>
      <c r="F64" s="118" t="n"/>
      <c r="G64" s="123" t="n"/>
      <c r="H64" s="120" t="n"/>
      <c r="I64" s="338" t="n"/>
      <c r="J64" s="338" t="n"/>
    </row>
    <row r="65">
      <c r="A65" s="122" t="n"/>
      <c r="B65" s="355" t="n"/>
      <c r="C65" s="113" t="inlineStr">
        <is>
          <t>Аурум Фуд</t>
        </is>
      </c>
      <c r="D65" s="107" t="n"/>
      <c r="E65" s="118" t="n"/>
      <c r="F65" s="118" t="n"/>
      <c r="G65" s="123" t="n"/>
      <c r="H65" s="120" t="n"/>
      <c r="I65" s="338" t="n"/>
      <c r="J65" s="338" t="n"/>
    </row>
    <row r="66">
      <c r="A66" s="122" t="n"/>
      <c r="B66" s="355" t="n"/>
      <c r="C66" s="113" t="inlineStr">
        <is>
          <t>Золотой Снек (тарелки, гофрокороба)</t>
        </is>
      </c>
      <c r="D66" s="107" t="n"/>
      <c r="E66" s="118" t="n"/>
      <c r="F66" s="118" t="n"/>
      <c r="G66" s="123" t="n"/>
      <c r="H66" s="120" t="n"/>
      <c r="I66" s="338" t="n"/>
      <c r="J66" s="338" t="n"/>
    </row>
    <row r="67">
      <c r="A67" s="122" t="n"/>
      <c r="B67" s="355" t="n"/>
      <c r="C67" s="113" t="inlineStr">
        <is>
          <t>Интернет Решения</t>
        </is>
      </c>
      <c r="D67" s="107" t="n"/>
      <c r="E67" s="118" t="n"/>
      <c r="F67" s="118" t="n"/>
      <c r="G67" s="123" t="n"/>
      <c r="H67" s="120" t="n"/>
      <c r="I67" s="338" t="n"/>
      <c r="J67" s="338" t="n"/>
    </row>
    <row r="68">
      <c r="A68" s="122" t="n"/>
      <c r="B68" s="355" t="n"/>
      <c r="C68" s="113" t="inlineStr">
        <is>
          <t>Лейбл Стик (этикетки)</t>
        </is>
      </c>
      <c r="D68" s="107" t="n"/>
      <c r="E68" s="118" t="n"/>
      <c r="F68" s="118" t="n"/>
      <c r="G68" s="123" t="n"/>
      <c r="H68" s="120" t="n"/>
      <c r="I68" s="338" t="n"/>
      <c r="J68" s="338" t="n"/>
    </row>
    <row r="69">
      <c r="A69" s="122" t="n"/>
      <c r="B69" s="355" t="n"/>
      <c r="C69" s="113" t="inlineStr">
        <is>
          <t>ТД Л-Пак (гофроящики)</t>
        </is>
      </c>
      <c r="D69" s="107" t="n"/>
      <c r="E69" s="118" t="n"/>
      <c r="F69" s="118" t="n"/>
      <c r="G69" s="123" t="n"/>
      <c r="H69" s="120" t="n"/>
      <c r="I69" s="338" t="n"/>
      <c r="J69" s="338" t="n"/>
    </row>
    <row r="70">
      <c r="A70" s="122" t="n"/>
      <c r="B70" s="355" t="n"/>
      <c r="C70" s="113" t="inlineStr">
        <is>
          <t>Тара.ру (гофроящики)</t>
        </is>
      </c>
      <c r="D70" s="107" t="n"/>
      <c r="E70" s="118" t="n"/>
      <c r="F70" s="118" t="n"/>
      <c r="G70" s="123" t="n"/>
      <c r="H70" s="120" t="n"/>
      <c r="I70" s="338" t="n"/>
      <c r="J70" s="338" t="n"/>
    </row>
    <row r="71">
      <c r="A71" s="122" t="n"/>
      <c r="B71" s="355" t="n"/>
      <c r="C71" s="113" t="inlineStr">
        <is>
          <t>НИКА (лотки)</t>
        </is>
      </c>
      <c r="D71" s="107" t="n"/>
      <c r="E71" s="118" t="n"/>
      <c r="F71" s="118" t="n"/>
      <c r="G71" s="123" t="n"/>
      <c r="H71" s="120" t="n"/>
      <c r="I71" s="338" t="n"/>
      <c r="J71" s="338" t="n"/>
    </row>
    <row r="72">
      <c r="A72" s="122" t="n"/>
      <c r="B72" s="355" t="n"/>
      <c r="C72" s="113" t="inlineStr">
        <is>
          <t>Ф-Граф (пленки)</t>
        </is>
      </c>
      <c r="D72" s="107" t="n"/>
      <c r="E72" s="118" t="n"/>
      <c r="F72" s="118" t="n"/>
      <c r="G72" s="123" t="n"/>
      <c r="H72" s="120" t="n"/>
      <c r="I72" s="338" t="n"/>
      <c r="J72" s="338" t="n"/>
    </row>
    <row r="73">
      <c r="A73" s="124" t="n"/>
      <c r="B73" s="284" t="n"/>
      <c r="C73" s="113" t="inlineStr">
        <is>
          <t>СЗ-Гофра</t>
        </is>
      </c>
      <c r="D73" s="107" t="n"/>
      <c r="E73" s="124" t="n"/>
      <c r="F73" s="118" t="n"/>
      <c r="G73" s="110" t="n"/>
      <c r="H73" s="120" t="n"/>
      <c r="I73" s="338" t="n"/>
      <c r="J73" s="338" t="n"/>
    </row>
    <row r="74">
      <c r="A74" s="124" t="n"/>
      <c r="B74" s="285" t="n"/>
      <c r="C74" s="112" t="inlineStr">
        <is>
          <t>Упак Ареал</t>
        </is>
      </c>
      <c r="D74" s="107" t="n">
        <v>6728.28</v>
      </c>
      <c r="E74" s="124" t="n"/>
      <c r="F74" s="118" t="n"/>
      <c r="G74" s="110" t="n"/>
      <c r="H74" s="120" t="n"/>
      <c r="I74" s="338" t="n"/>
      <c r="J74" s="338" t="n"/>
    </row>
    <row r="75">
      <c r="A75" s="124" t="n"/>
      <c r="B75" s="285" t="n"/>
      <c r="C75" s="112" t="inlineStr">
        <is>
          <t>РусУпак</t>
        </is>
      </c>
      <c r="D75" s="126" t="n"/>
      <c r="E75" s="124" t="n"/>
      <c r="F75" s="118" t="n"/>
      <c r="G75" s="110" t="n"/>
      <c r="H75" s="120" t="n"/>
      <c r="I75" s="338" t="n"/>
      <c r="J75" s="338" t="n"/>
    </row>
    <row r="76">
      <c r="A76" s="124" t="n"/>
      <c r="B76" s="285" t="n"/>
      <c r="C76" s="112" t="inlineStr">
        <is>
          <t>Пластик (тарелки)</t>
        </is>
      </c>
      <c r="D76" s="126" t="n"/>
      <c r="E76" s="124" t="n"/>
      <c r="F76" s="118" t="n"/>
      <c r="G76" s="110" t="n"/>
      <c r="H76" s="120" t="n"/>
      <c r="I76" s="338" t="n"/>
      <c r="J76" s="338" t="n"/>
    </row>
    <row r="77">
      <c r="A77" s="124" t="n"/>
      <c r="B77" s="285" t="n"/>
      <c r="C77" s="112" t="inlineStr">
        <is>
          <t>Полимаркет (этикетки)</t>
        </is>
      </c>
      <c r="D77" s="343" t="n"/>
      <c r="E77" s="124" t="n"/>
      <c r="F77" s="118" t="n"/>
      <c r="G77" s="110" t="n"/>
      <c r="H77" s="120" t="n"/>
      <c r="I77" s="338" t="n"/>
      <c r="J77" s="338" t="n"/>
    </row>
    <row r="78">
      <c r="A78" s="124" t="n"/>
      <c r="B78" s="125" t="n"/>
      <c r="C78" s="112" t="inlineStr">
        <is>
          <t>Приопак</t>
        </is>
      </c>
      <c r="D78" s="126" t="n"/>
      <c r="E78" s="124" t="n"/>
      <c r="F78" s="118" t="n"/>
      <c r="G78" s="110" t="n"/>
      <c r="H78" s="120" t="n"/>
      <c r="I78" s="338" t="n"/>
      <c r="J78" s="338" t="n"/>
    </row>
    <row r="79">
      <c r="A79" s="127" t="n"/>
      <c r="B79" s="128">
        <f>SUM(B58:B78)+C55</f>
        <v/>
      </c>
      <c r="C79" s="129" t="n"/>
      <c r="D79" s="128">
        <f>SUM(D58:D78)</f>
        <v/>
      </c>
      <c r="E79" s="130" t="n"/>
      <c r="F79" s="130">
        <f>SUM(F58:F78)</f>
        <v/>
      </c>
      <c r="G79" s="130" t="n"/>
      <c r="H79" s="130">
        <f>SUM(H58:H78)</f>
        <v/>
      </c>
      <c r="I79" s="344" t="n"/>
      <c r="J79" s="345" t="n"/>
    </row>
    <row r="80">
      <c r="A80" s="131" t="inlineStr">
        <is>
          <t>Остаток на конец дня:</t>
        </is>
      </c>
      <c r="B80" s="132">
        <f>B79-D79</f>
        <v/>
      </c>
      <c r="C80" s="56" t="n"/>
      <c r="D80" s="47" t="n"/>
      <c r="E80" s="100" t="inlineStr">
        <is>
          <t>Остаток на конец дня:</t>
        </is>
      </c>
      <c r="F80" s="101" t="n">
        <v>2428.5</v>
      </c>
      <c r="G80" s="56" t="n"/>
      <c r="H80" s="47" t="n"/>
      <c r="I80" s="330" t="inlineStr">
        <is>
          <t xml:space="preserve">Остаток на конец дня </t>
        </is>
      </c>
      <c r="J80" s="344" t="n"/>
    </row>
    <row r="81">
      <c r="A81" s="133" t="inlineStr">
        <is>
          <t>ИТОГО:</t>
        </is>
      </c>
      <c r="B81" s="47" t="n"/>
      <c r="C81" s="134" t="n">
        <v>1328298.4</v>
      </c>
      <c r="D81" s="56" t="n"/>
      <c r="E81" s="56" t="n"/>
      <c r="F81" s="56" t="n"/>
      <c r="G81" s="56" t="n"/>
      <c r="H81" s="47" t="n"/>
      <c r="I81" s="257" t="n"/>
      <c r="J81" s="257" t="n"/>
    </row>
    <row r="82">
      <c r="A82" s="41" t="n"/>
      <c r="B82" s="94" t="n"/>
      <c r="C82" s="43" t="n"/>
      <c r="D82" s="41" t="n"/>
      <c r="E82" s="41" t="n"/>
      <c r="F82" s="41" t="n"/>
      <c r="G82" s="41" t="n"/>
      <c r="H82" s="93" t="n"/>
      <c r="I82" s="135" t="n"/>
      <c r="J82" s="135" t="n"/>
    </row>
    <row r="83">
      <c r="A83" s="136" t="n"/>
      <c r="B83" s="137" t="inlineStr">
        <is>
          <t>Реализация по безналичному расчёту</t>
        </is>
      </c>
      <c r="D83" s="2" t="n"/>
      <c r="E83" s="41" t="n"/>
      <c r="F83" s="41" t="n"/>
      <c r="G83" s="41" t="n"/>
      <c r="H83" s="138" t="n"/>
      <c r="I83" s="2" t="n"/>
      <c r="J83" s="2" t="n"/>
    </row>
    <row r="84">
      <c r="A84" s="139" t="inlineStr">
        <is>
          <t>Контрагент</t>
        </is>
      </c>
      <c r="B84" s="140" t="inlineStr">
        <is>
          <t>поставщик</t>
        </is>
      </c>
      <c r="C84" s="141" t="inlineStr">
        <is>
          <t>наименование</t>
        </is>
      </c>
      <c r="D84" s="142" t="inlineStr">
        <is>
          <t>вес упаковки, тарелки</t>
        </is>
      </c>
      <c r="E84" s="143" t="inlineStr">
        <is>
          <t>кол.-во пакетов, коробок</t>
        </is>
      </c>
      <c r="F84" s="144" t="inlineStr">
        <is>
          <t>кол-во мест в коробке/упаковке</t>
        </is>
      </c>
      <c r="G84" s="145" t="inlineStr">
        <is>
          <t>общий вес, кг.</t>
        </is>
      </c>
      <c r="H84" s="146" t="inlineStr">
        <is>
          <t>цена пакет, тарелка</t>
        </is>
      </c>
      <c r="I84" s="147" t="inlineStr">
        <is>
          <t>сумма</t>
        </is>
      </c>
      <c r="J84" s="348" t="inlineStr">
        <is>
          <t>Комментарий</t>
        </is>
      </c>
    </row>
    <row r="85">
      <c r="A85" s="244" t="n"/>
      <c r="B85" s="267" t="n"/>
      <c r="C85" s="268" t="n"/>
      <c r="D85" s="269" t="n"/>
      <c r="E85" s="51" t="n"/>
      <c r="F85" s="51" t="n"/>
      <c r="G85" s="349" t="n"/>
      <c r="H85" s="350" t="n"/>
      <c r="I85" s="350" t="n"/>
      <c r="J85" s="351" t="n"/>
    </row>
    <row r="86">
      <c r="A86" s="244" t="n"/>
      <c r="B86" s="267" t="n"/>
      <c r="C86" s="268" t="n"/>
      <c r="D86" s="269" t="n"/>
      <c r="E86" s="51" t="n"/>
      <c r="F86" s="51" t="n"/>
      <c r="G86" s="349" t="n"/>
      <c r="H86" s="350" t="n"/>
      <c r="I86" s="350" t="n"/>
      <c r="J86" s="352" t="n"/>
    </row>
    <row r="87">
      <c r="A87" s="244" t="n"/>
      <c r="B87" s="267" t="n"/>
      <c r="C87" s="268" t="n"/>
      <c r="D87" s="269" t="n"/>
      <c r="E87" s="51" t="n"/>
      <c r="F87" s="51" t="n"/>
      <c r="G87" s="349" t="n"/>
      <c r="H87" s="350" t="n"/>
      <c r="I87" s="350" t="n"/>
      <c r="J87" s="353" t="n"/>
    </row>
    <row r="88">
      <c r="A88" s="244" t="n"/>
      <c r="B88" s="267" t="n"/>
      <c r="C88" s="268" t="n"/>
      <c r="D88" s="269" t="n"/>
      <c r="E88" s="51" t="n"/>
      <c r="F88" s="51" t="n"/>
      <c r="G88" s="349" t="n"/>
      <c r="H88" s="350" t="n"/>
      <c r="I88" s="350" t="n"/>
      <c r="J88" s="354" t="n"/>
    </row>
    <row r="89">
      <c r="A89" s="244" t="n"/>
      <c r="B89" s="244" t="n"/>
      <c r="C89" s="268" t="n"/>
      <c r="D89" s="269" t="n"/>
      <c r="E89" s="51" t="n"/>
      <c r="F89" s="51" t="n"/>
      <c r="G89" s="349" t="n"/>
      <c r="H89" s="350" t="n"/>
      <c r="I89" s="350" t="n"/>
      <c r="J89" s="352" t="n"/>
    </row>
    <row r="90">
      <c r="A90" s="244" t="n"/>
      <c r="B90" s="267" t="n"/>
      <c r="C90" s="268" t="n"/>
      <c r="D90" s="269" t="n"/>
      <c r="E90" s="51" t="n"/>
      <c r="F90" s="51" t="n"/>
      <c r="G90" s="349" t="n"/>
      <c r="H90" s="350" t="n"/>
      <c r="I90" s="350" t="n"/>
      <c r="J90" s="351" t="n"/>
    </row>
    <row r="91">
      <c r="A91" s="244" t="n"/>
      <c r="B91" s="244" t="n"/>
      <c r="C91" s="268" t="n"/>
      <c r="D91" s="269" t="n"/>
      <c r="E91" s="51" t="n"/>
      <c r="F91" s="51" t="n"/>
      <c r="G91" s="349" t="n"/>
      <c r="H91" s="350" t="n"/>
      <c r="I91" s="350" t="n"/>
      <c r="J91" s="352" t="n"/>
    </row>
    <row r="92">
      <c r="A92" s="162" t="n"/>
      <c r="B92" s="163" t="n"/>
      <c r="C92" s="164" t="n"/>
      <c r="D92" s="165" t="n"/>
      <c r="E92" s="166" t="n"/>
      <c r="F92" s="167" t="n"/>
      <c r="G92" s="168" t="n"/>
      <c r="H92" s="169" t="n"/>
      <c r="I92" s="170" t="n"/>
      <c r="J92" s="161" t="n"/>
    </row>
    <row r="93">
      <c r="A93" s="162" t="n"/>
      <c r="B93" s="163" t="n"/>
      <c r="C93" s="171" t="n"/>
      <c r="D93" s="153" t="n"/>
      <c r="E93" s="172" t="n"/>
      <c r="F93" s="155" t="n"/>
      <c r="G93" s="168" t="n"/>
      <c r="H93" s="156" t="n"/>
      <c r="I93" s="170" t="n"/>
      <c r="J93" s="161" t="n"/>
    </row>
    <row r="94">
      <c r="A94" s="162" t="n"/>
      <c r="B94" s="163" t="n"/>
      <c r="C94" s="171" t="n"/>
      <c r="D94" s="153" t="n"/>
      <c r="E94" s="172" t="n"/>
      <c r="F94" s="155" t="n"/>
      <c r="G94" s="168" t="n"/>
      <c r="H94" s="156" t="n"/>
      <c r="I94" s="170" t="n"/>
      <c r="J94" s="161" t="n"/>
    </row>
    <row r="95">
      <c r="A95" s="162" t="n"/>
      <c r="B95" s="163" t="n"/>
      <c r="C95" s="171" t="n"/>
      <c r="D95" s="153" t="n"/>
      <c r="E95" s="172" t="n"/>
      <c r="F95" s="155" t="n"/>
      <c r="G95" s="168" t="n"/>
      <c r="H95" s="156" t="n"/>
      <c r="I95" s="170" t="n"/>
      <c r="J95" s="161" t="n"/>
    </row>
    <row r="96">
      <c r="A96" s="162" t="n"/>
      <c r="B96" s="163" t="n"/>
      <c r="C96" s="171" t="n"/>
      <c r="D96" s="153" t="n"/>
      <c r="E96" s="172" t="n"/>
      <c r="F96" s="155" t="n"/>
      <c r="G96" s="168" t="n"/>
      <c r="H96" s="156" t="n"/>
      <c r="I96" s="170" t="n"/>
      <c r="J96" s="161" t="n"/>
    </row>
    <row r="97">
      <c r="A97" s="173" t="n"/>
      <c r="B97" s="174" t="n"/>
      <c r="C97" s="175" t="n"/>
      <c r="D97" s="176" t="n"/>
      <c r="E97" s="177" t="n"/>
      <c r="F97" s="178" t="n"/>
      <c r="G97" s="179" t="n"/>
      <c r="H97" s="180" t="n"/>
      <c r="I97" s="181" t="n"/>
      <c r="J97" s="161" t="n"/>
    </row>
    <row r="98">
      <c r="A98" s="182" t="n"/>
      <c r="B98" s="163" t="n"/>
      <c r="C98" s="183" t="n"/>
      <c r="D98" s="184" t="n"/>
      <c r="E98" s="166" t="n"/>
      <c r="F98" s="167" t="n"/>
      <c r="G98" s="185">
        <f>D98*F98</f>
        <v/>
      </c>
      <c r="H98" s="186" t="n"/>
      <c r="I98" s="186">
        <f>F98*H98*E98</f>
        <v/>
      </c>
      <c r="J98" s="187" t="n"/>
    </row>
    <row r="99">
      <c r="A99" s="182" t="n"/>
      <c r="B99" s="163" t="n"/>
      <c r="C99" s="188" t="n"/>
      <c r="D99" s="189" t="n"/>
      <c r="E99" s="190" t="n"/>
      <c r="F99" s="189" t="n"/>
      <c r="G99" s="185">
        <f>D99*F99</f>
        <v/>
      </c>
      <c r="H99" s="191" t="n"/>
      <c r="I99" s="186">
        <f>F99*H99*E99</f>
        <v/>
      </c>
      <c r="J99" s="187" t="n"/>
    </row>
    <row r="100">
      <c r="A100" s="192" t="inlineStr">
        <is>
          <t>ИТОГО:</t>
        </is>
      </c>
      <c r="B100" s="193" t="n"/>
      <c r="C100" s="194" t="n"/>
      <c r="D100" s="195" t="n"/>
      <c r="E100" s="196">
        <f>SUM(E85:E99)</f>
        <v/>
      </c>
      <c r="F100" s="197">
        <f>SUM(F85:F97)</f>
        <v/>
      </c>
      <c r="G100" s="198">
        <f>SUM(G85:G92)</f>
        <v/>
      </c>
      <c r="H100" s="199" t="n"/>
      <c r="I100" s="199">
        <f>SUM(I85:I93)</f>
        <v/>
      </c>
      <c r="J100" s="200" t="n"/>
    </row>
    <row r="101">
      <c r="A101" s="2" t="n"/>
      <c r="B101" s="94" t="n"/>
      <c r="C101" s="43" t="n"/>
      <c r="D101" s="41" t="n"/>
      <c r="E101" s="41" t="n"/>
      <c r="F101" s="41" t="n"/>
      <c r="G101" s="41" t="n"/>
      <c r="H101" s="2" t="n"/>
      <c r="I101" s="2" t="n"/>
      <c r="J101" s="2" t="n"/>
    </row>
    <row r="102">
      <c r="A102" s="201" t="inlineStr">
        <is>
          <t>реализация Всего касса+безнал:</t>
        </is>
      </c>
      <c r="B102" s="202" t="inlineStr">
        <is>
          <t>кг</t>
        </is>
      </c>
      <c r="C102" s="203" t="inlineStr">
        <is>
          <t>на сумму</t>
        </is>
      </c>
      <c r="D102" s="41" t="n"/>
      <c r="E102" s="41" t="n"/>
      <c r="F102" s="41" t="n"/>
      <c r="G102" s="41" t="n"/>
      <c r="H102" s="2" t="n"/>
      <c r="I102" s="2" t="n"/>
      <c r="J102" s="2" t="n"/>
    </row>
    <row r="103">
      <c r="A103" s="204" t="n"/>
      <c r="B103" s="205">
        <f>E24+G100</f>
        <v/>
      </c>
      <c r="C103" s="206">
        <f>I24+H100+I100</f>
        <v/>
      </c>
      <c r="D103" s="41" t="n"/>
      <c r="E103" s="41" t="n"/>
      <c r="F103" s="41" t="n"/>
      <c r="G103" s="41" t="n"/>
      <c r="H103" s="2" t="n"/>
      <c r="I103" s="2" t="n"/>
      <c r="J103" s="2" t="n"/>
    </row>
    <row r="104">
      <c r="A104" s="207" t="inlineStr">
        <is>
          <t>Услуги оказывают нам (доставка сырья и комплектующих на склад, Товара покупателям)</t>
        </is>
      </c>
      <c r="B104" s="54" t="n"/>
      <c r="C104" s="54" t="n"/>
      <c r="D104" s="54" t="n"/>
      <c r="E104" s="54" t="n"/>
      <c r="F104" s="54" t="n"/>
      <c r="G104" s="54" t="n"/>
      <c r="H104" s="54" t="n"/>
      <c r="I104" s="291" t="n"/>
      <c r="J104" s="58" t="n"/>
    </row>
    <row r="105">
      <c r="A105" s="209" t="inlineStr">
        <is>
          <t>Контрагент</t>
        </is>
      </c>
      <c r="B105" s="210" t="inlineStr">
        <is>
          <t>вид услуги</t>
        </is>
      </c>
      <c r="C105" s="211" t="inlineStr">
        <is>
          <t>Кому / От кого</t>
        </is>
      </c>
      <c r="D105" s="212" t="inlineStr">
        <is>
          <t>наименование</t>
        </is>
      </c>
      <c r="E105" s="213" t="inlineStr">
        <is>
          <t xml:space="preserve">город доставки </t>
        </is>
      </c>
      <c r="F105" s="214" t="inlineStr">
        <is>
          <t>цена</t>
        </is>
      </c>
      <c r="G105" s="213" t="inlineStr">
        <is>
          <t>сумма</t>
        </is>
      </c>
      <c r="H105" s="212" t="inlineStr">
        <is>
          <t>за тонну</t>
        </is>
      </c>
      <c r="I105" s="291" t="n"/>
      <c r="J105" s="58" t="n"/>
    </row>
    <row r="106">
      <c r="A106" s="215" t="n"/>
      <c r="B106" s="60" t="n"/>
      <c r="C106" s="63" t="n"/>
      <c r="D106" s="226" t="n"/>
      <c r="E106" s="317" t="n"/>
      <c r="F106" s="62" t="n"/>
      <c r="G106" s="218" t="n"/>
      <c r="H106" s="305" t="n"/>
      <c r="I106" s="291" t="n"/>
      <c r="J106" s="58" t="n"/>
    </row>
    <row r="107">
      <c r="A107" s="215" t="n"/>
      <c r="B107" s="60" t="n"/>
      <c r="C107" s="63" t="n"/>
      <c r="D107" s="226" t="n"/>
      <c r="E107" s="217" t="n"/>
      <c r="F107" s="62" t="n"/>
      <c r="G107" s="218" t="n"/>
      <c r="H107" s="305" t="n"/>
      <c r="I107" s="315" t="n"/>
      <c r="J107" s="58" t="n"/>
    </row>
    <row r="108">
      <c r="A108" s="215" t="n"/>
      <c r="B108" s="60" t="n"/>
      <c r="C108" s="63" t="n"/>
      <c r="D108" s="226" t="n"/>
      <c r="E108" s="217" t="n"/>
      <c r="F108" s="223" t="n"/>
      <c r="G108" s="218" t="n"/>
      <c r="H108" s="305" t="n"/>
      <c r="I108" s="2" t="n"/>
      <c r="J108" s="2" t="n"/>
    </row>
    <row r="109">
      <c r="A109" s="215" t="n"/>
      <c r="B109" s="60" t="n"/>
      <c r="C109" s="63" t="n"/>
      <c r="D109" s="222" t="n"/>
      <c r="E109" s="274" t="n"/>
      <c r="F109" s="223" t="n"/>
      <c r="G109" s="218" t="n"/>
      <c r="H109" s="219" t="n"/>
      <c r="I109" s="2" t="n"/>
      <c r="J109" s="2" t="n"/>
    </row>
    <row r="110">
      <c r="A110" s="215" t="n"/>
      <c r="B110" s="60" t="n"/>
      <c r="C110" s="63" t="n"/>
      <c r="D110" s="226" t="n"/>
      <c r="E110" s="274" t="n"/>
      <c r="F110" s="223" t="n"/>
      <c r="G110" s="218" t="n"/>
      <c r="H110" s="219" t="n"/>
      <c r="I110" s="2" t="n"/>
      <c r="J110" s="2" t="n"/>
    </row>
    <row r="111">
      <c r="A111" s="215" t="n"/>
      <c r="B111" s="60" t="n"/>
      <c r="C111" s="63" t="n"/>
      <c r="D111" s="226" t="n"/>
      <c r="E111" s="227" t="n"/>
      <c r="F111" s="223" t="n"/>
      <c r="G111" s="218">
        <f>F111</f>
        <v/>
      </c>
      <c r="H111" s="219" t="n"/>
      <c r="I111" s="2" t="n"/>
      <c r="J111" s="2" t="n"/>
    </row>
    <row r="112">
      <c r="A112" s="220" t="n"/>
      <c r="B112" s="60" t="n"/>
      <c r="C112" s="221" t="n"/>
      <c r="D112" s="226" t="n"/>
      <c r="E112" s="227" t="n"/>
      <c r="F112" s="223" t="n"/>
      <c r="G112" s="218">
        <f>F112</f>
        <v/>
      </c>
      <c r="H112" s="219" t="n"/>
      <c r="I112" s="2" t="n"/>
      <c r="J112" s="2" t="n"/>
    </row>
    <row r="113">
      <c r="A113" s="220" t="n"/>
      <c r="B113" s="60" t="n"/>
      <c r="C113" s="221" t="n"/>
      <c r="D113" s="226" t="n"/>
      <c r="E113" s="227" t="n"/>
      <c r="F113" s="223" t="n"/>
      <c r="G113" s="218">
        <f>F113</f>
        <v/>
      </c>
      <c r="H113" s="228" t="n"/>
      <c r="I113" s="2" t="n"/>
      <c r="J113" s="2" t="n"/>
    </row>
    <row r="114">
      <c r="A114" s="229" t="inlineStr">
        <is>
          <t>ИТОГО:</t>
        </is>
      </c>
      <c r="B114" s="230" t="n"/>
      <c r="C114" s="231" t="n"/>
      <c r="D114" s="232" t="n"/>
      <c r="E114" s="233">
        <f>SUM(E106:E113)</f>
        <v/>
      </c>
      <c r="F114" s="234" t="n"/>
      <c r="G114" s="235">
        <f>SUM(G106:G113)</f>
        <v/>
      </c>
      <c r="H114" s="235" t="n"/>
      <c r="I114" s="2" t="n"/>
      <c r="J114" s="2" t="n"/>
    </row>
    <row r="115">
      <c r="A115" s="41" t="n"/>
      <c r="B115" s="94" t="n"/>
      <c r="C115" s="43" t="n"/>
      <c r="D115" s="41" t="n"/>
      <c r="E115" s="41" t="n"/>
      <c r="F115" s="41" t="n"/>
      <c r="G115" s="41" t="n"/>
      <c r="H115" s="41" t="n"/>
      <c r="I115" s="2" t="n"/>
      <c r="J115" s="2" t="n"/>
    </row>
    <row r="116">
      <c r="A116" s="236" t="inlineStr">
        <is>
          <t>Услуги оказываем мы</t>
        </is>
      </c>
      <c r="B116" s="54" t="n"/>
      <c r="C116" s="54" t="n"/>
      <c r="D116" s="54" t="n"/>
      <c r="E116" s="54" t="n"/>
      <c r="F116" s="54" t="n"/>
      <c r="G116" s="54" t="n"/>
      <c r="H116" s="54" t="n"/>
      <c r="I116" s="237" t="n"/>
      <c r="J116" s="2" t="n"/>
    </row>
    <row r="117">
      <c r="A117" s="209" t="inlineStr">
        <is>
          <t>Контрагент</t>
        </is>
      </c>
      <c r="B117" s="238" t="inlineStr">
        <is>
          <t>вид услуги</t>
        </is>
      </c>
      <c r="C117" s="239" t="inlineStr">
        <is>
          <t>наименование</t>
        </is>
      </c>
      <c r="D117" s="240" t="inlineStr">
        <is>
          <t>вес, кг, шт</t>
        </is>
      </c>
      <c r="E117" s="240" t="inlineStr">
        <is>
          <t>цена</t>
        </is>
      </c>
      <c r="F117" s="240" t="inlineStr">
        <is>
          <t>сумма</t>
        </is>
      </c>
      <c r="G117" s="213" t="inlineStr">
        <is>
          <t>№УПД</t>
        </is>
      </c>
      <c r="H117" s="213" t="n"/>
      <c r="I117" s="2" t="n"/>
      <c r="J117" s="2" t="n"/>
    </row>
    <row r="118">
      <c r="A118" s="275" t="n"/>
      <c r="B118" s="276" t="n"/>
      <c r="C118" s="243" t="n"/>
      <c r="D118" s="244" t="n"/>
      <c r="E118" s="277" t="n"/>
      <c r="F118" s="278" t="n"/>
      <c r="G118" s="247" t="n"/>
      <c r="H118" s="248" t="n"/>
      <c r="I118" s="2" t="n"/>
      <c r="J118" s="2" t="n"/>
    </row>
    <row r="119">
      <c r="A119" s="249" t="n"/>
      <c r="B119" s="250" t="n"/>
      <c r="C119" s="251" t="n"/>
      <c r="D119" s="252" t="n"/>
      <c r="E119" s="253" t="n"/>
      <c r="F119" s="254">
        <f>D119*E119</f>
        <v/>
      </c>
      <c r="G119" s="255" t="n"/>
      <c r="H119" s="256" t="n"/>
      <c r="I119" s="2" t="n"/>
      <c r="J119" s="2" t="n"/>
    </row>
    <row r="120">
      <c r="A120" s="257" t="n"/>
      <c r="B120" s="258" t="n"/>
      <c r="C120" s="257" t="n"/>
      <c r="D120" s="257" t="n"/>
      <c r="E120" s="257" t="n"/>
      <c r="F120" s="254">
        <f>D120*E120</f>
        <v/>
      </c>
      <c r="G120" s="257" t="n"/>
      <c r="H120" s="257" t="n"/>
      <c r="I120" s="2" t="n"/>
      <c r="J120" s="2" t="n"/>
    </row>
    <row r="121">
      <c r="A121" s="249" t="n"/>
      <c r="B121" s="258" t="n"/>
      <c r="C121" s="257" t="n"/>
      <c r="D121" s="259" t="n"/>
      <c r="E121" s="257" t="n"/>
      <c r="F121" s="260" t="n"/>
      <c r="G121" s="257" t="n"/>
      <c r="H121" s="257" t="n"/>
      <c r="I121" s="2" t="n"/>
      <c r="J121" s="2" t="n"/>
    </row>
    <row r="122">
      <c r="A122" s="2" t="n"/>
      <c r="B122" s="261" t="n"/>
      <c r="C122" s="2" t="n"/>
      <c r="D122" s="2" t="n"/>
      <c r="E122" s="2" t="n"/>
      <c r="F122" s="262" t="n"/>
      <c r="G122" s="2" t="n"/>
      <c r="H122" s="2" t="n"/>
      <c r="I122" s="263" t="n"/>
      <c r="J122" s="264" t="n"/>
    </row>
  </sheetData>
  <mergeCells count="11">
    <mergeCell ref="A1:J1"/>
    <mergeCell ref="A53:H53"/>
    <mergeCell ref="A29:H29"/>
    <mergeCell ref="I55:J55"/>
    <mergeCell ref="J85:J86"/>
    <mergeCell ref="A104:H104"/>
    <mergeCell ref="J88:J89"/>
    <mergeCell ref="J90:J91"/>
    <mergeCell ref="A116:H116"/>
    <mergeCell ref="A2:J2"/>
    <mergeCell ref="I56:J5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8.875" customWidth="1" min="6" max="6"/>
    <col width="9.625" customWidth="1" min="7" max="7"/>
    <col width="11.125" customWidth="1" min="8" max="8"/>
    <col width="18.2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поступление ИП1</t>
        </is>
      </c>
      <c r="B4" s="267" t="inlineStr">
        <is>
          <t>Снекпром</t>
        </is>
      </c>
      <c r="C4" s="268" t="n"/>
      <c r="D4" s="269" t="n"/>
      <c r="E4" s="17" t="n"/>
      <c r="F4" s="17" t="n"/>
      <c r="G4" s="270" t="n"/>
      <c r="H4" s="19" t="n"/>
      <c r="I4" s="19" t="n"/>
      <c r="J4" s="20" t="n"/>
    </row>
    <row r="5">
      <c r="A5" s="13" t="n"/>
      <c r="B5" s="267" t="n"/>
      <c r="C5" s="268" t="inlineStr">
        <is>
          <t>квадромикс 200 гр</t>
        </is>
      </c>
      <c r="D5" s="269" t="n">
        <v>0.2</v>
      </c>
      <c r="E5" s="17" t="n">
        <v>4</v>
      </c>
      <c r="F5" s="17" t="n">
        <v>18</v>
      </c>
      <c r="G5" s="270">
        <f>E5*D5</f>
        <v/>
      </c>
      <c r="H5" s="19" t="n">
        <v>75</v>
      </c>
      <c r="I5" s="19">
        <f>H5*E5</f>
        <v/>
      </c>
      <c r="J5" s="20" t="n"/>
    </row>
    <row r="6">
      <c r="A6" s="13" t="n"/>
      <c r="B6" s="267" t="n"/>
      <c r="C6" s="268" t="inlineStr">
        <is>
          <t>арахис ассорти 200 гр</t>
        </is>
      </c>
      <c r="D6" s="269" t="n">
        <v>0.2</v>
      </c>
      <c r="E6" s="17" t="n">
        <v>4</v>
      </c>
      <c r="F6" s="17" t="n">
        <v>18</v>
      </c>
      <c r="G6" s="270">
        <f>E6*D6</f>
        <v/>
      </c>
      <c r="H6" s="19" t="n">
        <v>85</v>
      </c>
      <c r="I6" s="19">
        <f>H6*E6</f>
        <v/>
      </c>
      <c r="J6" s="20" t="n"/>
    </row>
    <row r="7">
      <c r="A7" s="13" t="n"/>
      <c r="B7" s="30" t="n"/>
      <c r="C7" s="268" t="inlineStr">
        <is>
          <t>васаби 110 гр</t>
        </is>
      </c>
      <c r="D7" s="269" t="n">
        <v>0.11</v>
      </c>
      <c r="E7" s="17" t="n">
        <v>4</v>
      </c>
      <c r="F7" s="17" t="n">
        <v>10</v>
      </c>
      <c r="G7" s="270">
        <f>E7*D7</f>
        <v/>
      </c>
      <c r="H7" s="19" t="n">
        <v>35</v>
      </c>
      <c r="I7" s="19">
        <f>H7*E7</f>
        <v/>
      </c>
      <c r="J7" s="20" t="n"/>
    </row>
    <row r="8">
      <c r="A8" s="13" t="n"/>
      <c r="B8" s="30" t="n"/>
      <c r="C8" s="268" t="inlineStr">
        <is>
          <t>барбекю 110 гр</t>
        </is>
      </c>
      <c r="D8" s="269" t="n">
        <v>0.11</v>
      </c>
      <c r="E8" s="17" t="n">
        <v>4</v>
      </c>
      <c r="F8" s="17" t="n">
        <v>10</v>
      </c>
      <c r="G8" s="270">
        <f>E8*D8</f>
        <v/>
      </c>
      <c r="H8" s="19" t="n">
        <v>35</v>
      </c>
      <c r="I8" s="19">
        <f>H8*E8</f>
        <v/>
      </c>
      <c r="J8" s="20" t="n"/>
    </row>
    <row r="9">
      <c r="A9" s="13" t="n"/>
      <c r="B9" s="30" t="n"/>
      <c r="C9" s="268" t="inlineStr">
        <is>
          <t>сыр лук 110 гр</t>
        </is>
      </c>
      <c r="D9" s="269" t="n">
        <v>0.11</v>
      </c>
      <c r="E9" s="16" t="n">
        <v>4</v>
      </c>
      <c r="F9" s="17" t="n">
        <v>10</v>
      </c>
      <c r="G9" s="270" t="n">
        <v>2.55</v>
      </c>
      <c r="H9" s="19" t="n">
        <v>35</v>
      </c>
      <c r="I9" s="19">
        <f>H9*E9</f>
        <v/>
      </c>
      <c r="J9" s="20" t="n"/>
    </row>
    <row r="10">
      <c r="A10" s="13" t="n"/>
      <c r="B10" s="30" t="n"/>
      <c r="C10" s="268" t="inlineStr">
        <is>
          <t>сметана зелень 110 гр</t>
        </is>
      </c>
      <c r="D10" s="269" t="n">
        <v>0.11</v>
      </c>
      <c r="E10" s="16" t="n">
        <v>4</v>
      </c>
      <c r="F10" s="17" t="n">
        <v>10</v>
      </c>
      <c r="G10" s="270" t="n">
        <v>2.55</v>
      </c>
      <c r="H10" s="19" t="n">
        <v>35</v>
      </c>
      <c r="I10" s="19">
        <f>H10*E10</f>
        <v/>
      </c>
      <c r="J10" s="20" t="n"/>
    </row>
    <row r="11">
      <c r="A11" s="13" t="inlineStr">
        <is>
          <t>поступление ч/л</t>
        </is>
      </c>
      <c r="B11" s="30" t="n"/>
      <c r="C11" s="268" t="inlineStr">
        <is>
          <t>квадромикс 200 гр</t>
        </is>
      </c>
      <c r="D11" s="269" t="n">
        <v>0.2</v>
      </c>
      <c r="E11" s="17" t="n">
        <v>1</v>
      </c>
      <c r="F11" s="17" t="n">
        <v>18</v>
      </c>
      <c r="G11" s="270">
        <f>E11*D11</f>
        <v/>
      </c>
      <c r="H11" s="19" t="n">
        <v>75</v>
      </c>
      <c r="I11" s="19">
        <f>H11*E11</f>
        <v/>
      </c>
      <c r="J11" s="20" t="n"/>
    </row>
    <row r="12">
      <c r="A12" s="13" t="n"/>
      <c r="B12" s="30" t="n"/>
      <c r="C12" s="268" t="n"/>
      <c r="D12" s="269" t="n"/>
      <c r="E12" s="17" t="n"/>
      <c r="F12" s="17" t="n"/>
      <c r="G12" s="270" t="n"/>
      <c r="H12" s="19" t="n"/>
      <c r="I12" s="19" t="n"/>
      <c r="J12" s="20" t="n"/>
    </row>
    <row r="13">
      <c r="A13" s="13" t="n"/>
      <c r="B13" s="30" t="n"/>
      <c r="C13" s="268" t="n"/>
      <c r="D13" s="269" t="n"/>
      <c r="E13" s="17" t="n"/>
      <c r="F13" s="17" t="n"/>
      <c r="G13" s="270" t="n"/>
      <c r="H13" s="19" t="n"/>
      <c r="I13" s="19" t="n"/>
      <c r="J13" s="20" t="n"/>
    </row>
    <row r="14">
      <c r="A14" s="13" t="n"/>
      <c r="B14" s="30" t="n"/>
      <c r="C14" s="268" t="n"/>
      <c r="D14" s="269" t="n"/>
      <c r="E14" s="17" t="n"/>
      <c r="F14" s="17" t="n"/>
      <c r="G14" s="270" t="n"/>
      <c r="H14" s="19" t="n"/>
      <c r="I14" s="19" t="n"/>
      <c r="J14" s="20" t="n"/>
    </row>
    <row r="15">
      <c r="A15" s="13" t="n"/>
      <c r="B15" s="30" t="n"/>
      <c r="C15" s="268" t="n"/>
      <c r="D15" s="269" t="n"/>
      <c r="E15" s="16" t="n"/>
      <c r="F15" s="17" t="n"/>
      <c r="G15" s="270" t="n"/>
      <c r="H15" s="19" t="n"/>
      <c r="I15" s="19" t="n"/>
      <c r="J15" s="20" t="n"/>
    </row>
    <row r="16">
      <c r="A16" s="13" t="n"/>
      <c r="B16" s="30" t="n"/>
      <c r="C16" s="268" t="n"/>
      <c r="D16" s="269" t="n"/>
      <c r="E16" s="16" t="n"/>
      <c r="F16" s="17" t="n"/>
      <c r="G16" s="270" t="n"/>
      <c r="H16" s="19" t="n"/>
      <c r="I16" s="19" t="n"/>
      <c r="J16" s="20" t="n"/>
    </row>
    <row r="17">
      <c r="A17" s="13" t="n"/>
      <c r="B17" s="30" t="n"/>
      <c r="C17" s="268" t="n"/>
      <c r="D17" s="269" t="n"/>
      <c r="E17" s="16" t="n"/>
      <c r="F17" s="17" t="n"/>
      <c r="G17" s="270" t="n"/>
      <c r="H17" s="19" t="n"/>
      <c r="I17" s="19" t="n"/>
      <c r="J17" s="20" t="n"/>
    </row>
    <row r="18">
      <c r="A18" s="13" t="n"/>
      <c r="B18" s="30" t="n"/>
      <c r="C18" s="268" t="n"/>
      <c r="D18" s="269" t="n"/>
      <c r="E18" s="16" t="n"/>
      <c r="F18" s="17" t="n"/>
      <c r="G18" s="270" t="n"/>
      <c r="H18" s="19" t="n"/>
      <c r="I18" s="19" t="n"/>
      <c r="J18" s="20" t="n"/>
    </row>
    <row r="19">
      <c r="A19" s="13" t="n"/>
      <c r="B19" s="30" t="n"/>
      <c r="C19" s="268" t="n"/>
      <c r="D19" s="269" t="n"/>
      <c r="E19" s="16" t="n"/>
      <c r="F19" s="17" t="n"/>
      <c r="G19" s="270" t="n"/>
      <c r="H19" s="19" t="n"/>
      <c r="I19" s="19" t="n"/>
      <c r="J19" s="20" t="n"/>
    </row>
    <row r="20">
      <c r="A20" s="13" t="n"/>
      <c r="B20" s="30" t="n"/>
      <c r="C20" s="268" t="n"/>
      <c r="D20" s="269" t="n"/>
      <c r="E20" s="16" t="n"/>
      <c r="F20" s="17" t="n"/>
      <c r="G20" s="270" t="n"/>
      <c r="H20" s="19" t="n"/>
      <c r="I20" s="19" t="n"/>
      <c r="J20" s="20" t="n"/>
    </row>
    <row r="21">
      <c r="A21" s="13" t="n"/>
      <c r="B21" s="30" t="n"/>
      <c r="C21" s="268" t="n"/>
      <c r="D21" s="26" t="n"/>
      <c r="E21" s="16" t="n"/>
      <c r="F21" s="17" t="n"/>
      <c r="G21" s="270" t="n"/>
      <c r="H21" s="19" t="n"/>
      <c r="I21" s="19" t="n"/>
      <c r="J21" s="20" t="n"/>
    </row>
    <row r="22">
      <c r="A22" s="13" t="n"/>
      <c r="B22" s="30" t="n"/>
      <c r="C22" s="21" t="n"/>
      <c r="D22" s="26" t="n"/>
      <c r="E22" s="16" t="n"/>
      <c r="F22" s="17" t="n"/>
      <c r="G22" s="270" t="n"/>
      <c r="H22" s="19" t="n"/>
      <c r="I22" s="19" t="n"/>
      <c r="J22" s="20" t="n"/>
    </row>
    <row r="23">
      <c r="A23" s="13" t="n"/>
      <c r="B23" s="30" t="n"/>
      <c r="C23" s="21" t="n"/>
      <c r="D23" s="26" t="n"/>
      <c r="E23" s="16" t="n"/>
      <c r="F23" s="17" t="n"/>
      <c r="G23" s="270" t="n"/>
      <c r="H23" s="19" t="n"/>
      <c r="I23" s="19" t="n"/>
      <c r="J23" s="20" t="n"/>
    </row>
    <row r="24">
      <c r="A24" s="29" t="n"/>
      <c r="B24" s="30" t="n"/>
      <c r="C24" s="21" t="n"/>
      <c r="D24" s="26" t="n"/>
      <c r="E24" s="16" t="n"/>
      <c r="F24" s="17" t="n"/>
      <c r="G24" s="270">
        <f>D24*F24</f>
        <v/>
      </c>
      <c r="H24" s="19" t="n"/>
      <c r="I24" s="19">
        <f>H24*E24</f>
        <v/>
      </c>
      <c r="J24" s="32" t="n"/>
    </row>
    <row r="25">
      <c r="A25" s="33" t="n"/>
      <c r="B25" s="34" t="n"/>
      <c r="C25" s="35" t="n"/>
      <c r="D25" s="33" t="n"/>
      <c r="E25" s="36">
        <f>SUM(E4:E24)</f>
        <v/>
      </c>
      <c r="F25" s="36">
        <f>SUM(F4:F24)</f>
        <v/>
      </c>
      <c r="G25" s="37">
        <f>SUM(G4:G24)</f>
        <v/>
      </c>
      <c r="H25" s="38" t="n"/>
      <c r="I25" s="39">
        <f>SUM(I4:I24)</f>
        <v/>
      </c>
      <c r="J25" s="40" t="n"/>
    </row>
    <row r="26">
      <c r="A26" s="41" t="n"/>
      <c r="B26" s="42" t="n"/>
      <c r="C26" s="43" t="n"/>
      <c r="D26" s="41" t="n"/>
      <c r="E26" s="41" t="n"/>
      <c r="F26" s="41" t="n"/>
      <c r="G26" s="41" t="n"/>
      <c r="H26" s="41" t="n"/>
      <c r="I26" s="2" t="n"/>
      <c r="J26" s="2" t="n"/>
    </row>
    <row r="27">
      <c r="A27" s="44" t="inlineStr">
        <is>
          <t xml:space="preserve">Поступление от </t>
        </is>
      </c>
      <c r="B27" s="45" t="inlineStr">
        <is>
          <t>сумма</t>
        </is>
      </c>
      <c r="C27" s="46" t="inlineStr">
        <is>
          <t>примечание</t>
        </is>
      </c>
      <c r="D27" s="47" t="n"/>
      <c r="E27" s="41" t="n"/>
      <c r="F27" s="41" t="n"/>
      <c r="G27" s="41" t="n"/>
      <c r="H27" s="41" t="n"/>
      <c r="I27" s="2" t="n"/>
      <c r="J27" s="2" t="n"/>
    </row>
    <row r="28">
      <c r="A28" s="48" t="n"/>
      <c r="B28" s="49" t="n"/>
      <c r="C28" s="50" t="n"/>
      <c r="D28" s="47" t="n"/>
      <c r="E28" s="41" t="n"/>
      <c r="F28" s="41" t="n"/>
      <c r="G28" s="41" t="n"/>
      <c r="H28" s="41" t="n"/>
      <c r="I28" s="2" t="n"/>
      <c r="J28" s="2" t="n"/>
    </row>
    <row r="29">
      <c r="A29" s="29" t="n"/>
      <c r="B29" s="51" t="n"/>
      <c r="C29" s="52" t="n"/>
      <c r="D29" s="47" t="n"/>
      <c r="E29" s="41" t="n"/>
      <c r="F29" s="41" t="n"/>
      <c r="G29" s="41" t="n"/>
      <c r="H29" s="41" t="n"/>
      <c r="I29" s="2" t="n"/>
      <c r="J29" s="2" t="n"/>
    </row>
    <row r="30">
      <c r="A30" s="53" t="inlineStr">
        <is>
          <t>Касса</t>
        </is>
      </c>
      <c r="B30" s="54" t="n"/>
      <c r="C30" s="54" t="n"/>
      <c r="D30" s="54" t="n"/>
      <c r="E30" s="54" t="n"/>
      <c r="F30" s="54" t="n"/>
      <c r="G30" s="54" t="n"/>
      <c r="H30" s="54" t="n"/>
      <c r="I30" s="2" t="n"/>
      <c r="J30" s="2" t="n"/>
    </row>
    <row r="31">
      <c r="A31" s="55" t="inlineStr">
        <is>
          <t>Производство</t>
        </is>
      </c>
      <c r="B31" s="56" t="n"/>
      <c r="C31" s="56" t="n"/>
      <c r="D31" s="47" t="n"/>
      <c r="E31" s="55" t="inlineStr">
        <is>
          <t xml:space="preserve">Бухгалтерия </t>
        </is>
      </c>
      <c r="F31" s="56" t="n"/>
      <c r="G31" s="56" t="n"/>
      <c r="H31" s="47" t="n"/>
      <c r="I31" s="57" t="n"/>
      <c r="J31" s="58" t="n"/>
    </row>
    <row r="32">
      <c r="A32" s="59" t="inlineStr">
        <is>
          <t>Остаток на начало дня:</t>
        </is>
      </c>
      <c r="B32" s="60" t="n"/>
      <c r="C32" s="61" t="n"/>
      <c r="D32" s="62" t="n">
        <v>98848.24999999996</v>
      </c>
      <c r="E32" s="59" t="inlineStr">
        <is>
          <t>Остаток на начало дня:</t>
        </is>
      </c>
      <c r="F32" s="63" t="n"/>
      <c r="G32" s="61" t="n"/>
      <c r="H32" s="64" t="n">
        <v>0</v>
      </c>
      <c r="I32" s="65" t="n"/>
      <c r="J32" s="2" t="n"/>
    </row>
    <row r="33">
      <c r="A33" s="66" t="inlineStr">
        <is>
          <t>поступление от ИП 1</t>
        </is>
      </c>
      <c r="B33" s="67" t="n"/>
      <c r="C33" s="68" t="n">
        <v>1500</v>
      </c>
      <c r="D33" s="68" t="n">
        <v>1500</v>
      </c>
      <c r="E33" s="69" t="n"/>
      <c r="F33" s="70" t="n"/>
      <c r="G33" s="71" t="n"/>
      <c r="H33" s="72">
        <f>F33*G33</f>
        <v/>
      </c>
      <c r="I33" s="289" t="inlineStr">
        <is>
          <t>переплата 300 руб</t>
        </is>
      </c>
      <c r="J33" s="313" t="n"/>
    </row>
    <row r="34">
      <c r="A34" s="66" t="inlineStr">
        <is>
          <t>поступление от ч/л</t>
        </is>
      </c>
      <c r="B34" s="67" t="n"/>
      <c r="C34" s="68" t="n">
        <v>100</v>
      </c>
      <c r="D34" s="68" t="n">
        <v>100</v>
      </c>
      <c r="E34" s="69" t="n"/>
      <c r="F34" s="70" t="n"/>
      <c r="G34" s="71" t="n"/>
      <c r="H34" s="72">
        <f>F34*G34</f>
        <v/>
      </c>
      <c r="I34" s="289" t="inlineStr">
        <is>
          <t>переплата 25 руб</t>
        </is>
      </c>
      <c r="J34" s="2" t="n"/>
    </row>
    <row r="35">
      <c r="A35" s="66" t="n"/>
      <c r="B35" s="67" t="n"/>
      <c r="C35" s="68" t="n"/>
      <c r="D35" s="68" t="n"/>
      <c r="E35" s="69" t="n"/>
      <c r="F35" s="70" t="n"/>
      <c r="G35" s="71" t="n"/>
      <c r="H35" s="72">
        <f>F35*G35</f>
        <v/>
      </c>
      <c r="I35" s="2" t="n"/>
      <c r="J35" s="2" t="n"/>
    </row>
    <row r="36">
      <c r="A36" s="66" t="n"/>
      <c r="B36" s="67" t="n"/>
      <c r="C36" s="68" t="n"/>
      <c r="D36" s="68" t="n"/>
      <c r="E36" s="69" t="n"/>
      <c r="F36" s="70" t="n"/>
      <c r="G36" s="71" t="n"/>
      <c r="H36" s="72">
        <f>F36*G36</f>
        <v/>
      </c>
      <c r="I36" s="2" t="n"/>
      <c r="J36" s="2" t="n"/>
    </row>
    <row r="37">
      <c r="A37" s="66" t="n"/>
      <c r="B37" s="73" t="n"/>
      <c r="C37" s="74" t="n"/>
      <c r="D37" s="75" t="n"/>
      <c r="E37" s="69" t="n"/>
      <c r="F37" s="70" t="n"/>
      <c r="G37" s="71" t="n"/>
      <c r="H37" s="72">
        <f>F37*G37</f>
        <v/>
      </c>
      <c r="I37" s="2" t="n"/>
      <c r="J37" s="2" t="n"/>
    </row>
    <row r="38">
      <c r="A38" s="76" t="n"/>
      <c r="B38" s="67" t="n"/>
      <c r="C38" s="68" t="n"/>
      <c r="D38" s="75" t="n"/>
      <c r="E38" s="77" t="inlineStr">
        <is>
          <t>Итого приход:</t>
        </is>
      </c>
      <c r="F38" s="78" t="n"/>
      <c r="G38" s="79" t="n"/>
      <c r="H38" s="80">
        <f>SUM(H33:H34)</f>
        <v/>
      </c>
      <c r="I38" s="2" t="n"/>
      <c r="J38" s="2" t="n"/>
    </row>
    <row r="39">
      <c r="A39" s="76" t="inlineStr">
        <is>
          <t>Расход за день:</t>
        </is>
      </c>
      <c r="B39" s="67" t="n"/>
      <c r="C39" s="79" t="n"/>
      <c r="D39" s="80" t="n"/>
      <c r="E39" s="76" t="inlineStr">
        <is>
          <t>Расход за день:</t>
        </is>
      </c>
      <c r="F39" s="78" t="n"/>
      <c r="G39" s="79" t="n"/>
      <c r="H39" s="80" t="n"/>
      <c r="I39" s="2" t="n"/>
      <c r="J39" s="2" t="n"/>
    </row>
    <row r="40">
      <c r="A40" s="69" t="n"/>
      <c r="B40" s="67" t="n"/>
      <c r="C40" s="68" t="n"/>
      <c r="D40" s="68" t="n"/>
      <c r="E40" s="76" t="n"/>
      <c r="F40" s="78" t="n"/>
      <c r="G40" s="79" t="n"/>
      <c r="H40" s="80" t="n"/>
      <c r="I40" s="2" t="n"/>
      <c r="J40" s="2" t="n"/>
    </row>
    <row r="41">
      <c r="A41" s="81" t="inlineStr">
        <is>
          <t>уборка</t>
        </is>
      </c>
      <c r="B41" s="67" t="n"/>
      <c r="C41" s="68" t="n">
        <v>2000</v>
      </c>
      <c r="D41" s="68" t="n">
        <v>2000</v>
      </c>
      <c r="E41" s="76" t="n"/>
      <c r="F41" s="78" t="n"/>
      <c r="G41" s="79" t="n"/>
      <c r="H41" s="72">
        <f>F41*G41</f>
        <v/>
      </c>
      <c r="I41" s="2" t="n"/>
      <c r="J41" s="2" t="n"/>
    </row>
    <row r="42">
      <c r="A42" s="81" t="inlineStr">
        <is>
          <t>з/п Рашидова (рассчет)</t>
        </is>
      </c>
      <c r="B42" s="67" t="n"/>
      <c r="C42" s="68" t="n">
        <v>43100</v>
      </c>
      <c r="D42" s="68" t="n">
        <v>43100</v>
      </c>
      <c r="E42" s="76" t="n"/>
      <c r="F42" s="78" t="n"/>
      <c r="G42" s="79" t="n"/>
      <c r="H42" s="72" t="n"/>
      <c r="I42" s="2" t="n"/>
      <c r="J42" s="2" t="n"/>
    </row>
    <row r="43">
      <c r="A43" s="81" t="inlineStr">
        <is>
          <t>з/п Музалев (рассчет)</t>
        </is>
      </c>
      <c r="B43" s="67" t="n"/>
      <c r="C43" s="68" t="n">
        <v>28500</v>
      </c>
      <c r="D43" s="68" t="n">
        <v>28500</v>
      </c>
      <c r="E43" s="76" t="n"/>
      <c r="F43" s="78" t="n"/>
      <c r="G43" s="79" t="n"/>
      <c r="H43" s="72">
        <f>F43*G43</f>
        <v/>
      </c>
      <c r="I43" s="2" t="n"/>
      <c r="J43" s="2" t="n"/>
    </row>
    <row r="44">
      <c r="A44" s="81" t="n"/>
      <c r="B44" s="67" t="n"/>
      <c r="C44" s="68" t="n"/>
      <c r="D44" s="68" t="n"/>
      <c r="E44" s="76" t="n"/>
      <c r="F44" s="78" t="n"/>
      <c r="G44" s="79" t="n"/>
      <c r="H44" s="72">
        <f>F44*G44</f>
        <v/>
      </c>
      <c r="I44" s="2" t="n"/>
      <c r="J44" s="2" t="n"/>
    </row>
    <row r="45">
      <c r="A45" s="69" t="n"/>
      <c r="B45" s="67" t="n"/>
      <c r="C45" s="68" t="n"/>
      <c r="D45" s="74" t="n"/>
      <c r="E45" s="76" t="n"/>
      <c r="F45" s="78" t="n"/>
      <c r="G45" s="79" t="n"/>
      <c r="H45" s="72">
        <f>F45*G45</f>
        <v/>
      </c>
      <c r="I45" s="2" t="n"/>
      <c r="J45" s="2" t="n"/>
    </row>
    <row r="46">
      <c r="A46" s="69" t="n"/>
      <c r="B46" s="67" t="n"/>
      <c r="C46" s="68" t="n"/>
      <c r="D46" s="74" t="n"/>
      <c r="E46" s="76" t="n"/>
      <c r="F46" s="78" t="n"/>
      <c r="G46" s="79" t="n"/>
      <c r="H46" s="72">
        <f>F46*G46</f>
        <v/>
      </c>
      <c r="I46" s="2" t="n"/>
      <c r="J46" s="2" t="n"/>
    </row>
    <row r="47">
      <c r="A47" s="69" t="n"/>
      <c r="B47" s="67" t="n"/>
      <c r="C47" s="68" t="n"/>
      <c r="D47" s="74" t="n"/>
      <c r="E47" s="76" t="n"/>
      <c r="F47" s="78" t="n"/>
      <c r="G47" s="79" t="n"/>
      <c r="H47" s="72">
        <f>F47*G47</f>
        <v/>
      </c>
      <c r="I47" s="2" t="n"/>
      <c r="J47" s="2" t="n"/>
    </row>
    <row r="48">
      <c r="A48" s="69" t="n"/>
      <c r="B48" s="67" t="n"/>
      <c r="C48" s="68" t="n"/>
      <c r="D48" s="75" t="n"/>
      <c r="E48" s="76" t="n"/>
      <c r="F48" s="78" t="n"/>
      <c r="G48" s="79" t="n"/>
      <c r="H48" s="72">
        <f>F48*G48</f>
        <v/>
      </c>
      <c r="I48" s="313" t="n"/>
      <c r="J48" s="2" t="n"/>
    </row>
    <row r="49">
      <c r="A49" s="69" t="n"/>
      <c r="B49" s="67" t="n"/>
      <c r="C49" s="68" t="n"/>
      <c r="D49" s="75" t="n"/>
      <c r="E49" s="76" t="n"/>
      <c r="F49" s="78" t="n"/>
      <c r="G49" s="79" t="n"/>
      <c r="H49" s="72">
        <f>F49*G49</f>
        <v/>
      </c>
      <c r="I49" s="2" t="n"/>
      <c r="J49" s="2" t="n"/>
    </row>
    <row r="50">
      <c r="A50" s="69" t="n"/>
      <c r="B50" s="67" t="n"/>
      <c r="C50" s="68" t="n"/>
      <c r="D50" s="75" t="n"/>
      <c r="E50" s="76" t="n"/>
      <c r="F50" s="78" t="n"/>
      <c r="G50" s="79" t="n"/>
      <c r="H50" s="72">
        <f>F50*G50</f>
        <v/>
      </c>
      <c r="I50" s="2" t="n"/>
      <c r="J50" s="2" t="n"/>
    </row>
    <row r="51">
      <c r="A51" s="83" t="n"/>
      <c r="B51" s="67" t="n"/>
      <c r="C51" s="68" t="n"/>
      <c r="D51" s="84" t="n"/>
      <c r="E51" s="85" t="inlineStr">
        <is>
          <t>Итого расход:</t>
        </is>
      </c>
      <c r="F51" s="78" t="n"/>
      <c r="G51" s="79" t="n"/>
      <c r="H51" s="72">
        <f>F51*G51</f>
        <v/>
      </c>
      <c r="I51" s="86" t="n"/>
      <c r="J51" s="86" t="n"/>
    </row>
    <row r="52">
      <c r="A52" s="87" t="inlineStr">
        <is>
          <t>Остаток на конец дня:</t>
        </is>
      </c>
      <c r="B52" s="88" t="n"/>
      <c r="C52" s="89" t="n"/>
      <c r="D52" s="90">
        <f>SUM(D33,D34:D37,D32,)-SUM(D40:D51,)</f>
        <v/>
      </c>
      <c r="E52" s="87" t="inlineStr">
        <is>
          <t>Остаток на конец дня:</t>
        </is>
      </c>
      <c r="F52" s="91" t="n"/>
      <c r="G52" s="89" t="n"/>
      <c r="H52" s="92">
        <f>SUM(H32+H38-H51)</f>
        <v/>
      </c>
      <c r="I52" s="2" t="n"/>
      <c r="J52" s="2" t="n"/>
    </row>
    <row r="53">
      <c r="A53" s="93" t="n"/>
      <c r="B53" s="94" t="n"/>
      <c r="C53" s="43" t="n"/>
      <c r="D53" s="41" t="n"/>
      <c r="E53" s="41" t="n"/>
      <c r="F53" s="41" t="n"/>
      <c r="G53" s="2" t="n"/>
      <c r="H53" s="2" t="n"/>
      <c r="I53" s="2" t="n"/>
      <c r="J53" s="2" t="n"/>
    </row>
    <row r="54">
      <c r="A54" s="95" t="inlineStr">
        <is>
          <t>Расчётный счёт</t>
        </is>
      </c>
      <c r="B54" s="54" t="n"/>
      <c r="C54" s="54" t="n"/>
      <c r="D54" s="54" t="n"/>
      <c r="E54" s="54" t="n"/>
      <c r="F54" s="54" t="n"/>
      <c r="G54" s="54" t="n"/>
      <c r="H54" s="54" t="n"/>
      <c r="I54" s="2" t="n"/>
      <c r="J54" s="2" t="n"/>
    </row>
    <row r="55">
      <c r="A55" s="96" t="inlineStr">
        <is>
          <t>ВТБ</t>
        </is>
      </c>
      <c r="B55" s="279" t="inlineStr">
        <is>
          <t>ВТБ</t>
        </is>
      </c>
      <c r="C55" s="279" t="n"/>
      <c r="D55" s="47" t="n"/>
      <c r="E55" s="97" t="inlineStr">
        <is>
          <t>Альфабанк</t>
        </is>
      </c>
      <c r="F55" s="56" t="n"/>
      <c r="G55" s="56" t="n"/>
      <c r="H55" s="47" t="n"/>
      <c r="I55" s="330" t="inlineStr">
        <is>
          <t>Уралсиб</t>
        </is>
      </c>
    </row>
    <row r="56">
      <c r="A56" s="98" t="inlineStr">
        <is>
          <t>Остаток на начало дня:</t>
        </is>
      </c>
      <c r="B56" s="280" t="n"/>
      <c r="C56" s="290" t="n">
        <v>1325869.9</v>
      </c>
      <c r="D56" s="56" t="n"/>
      <c r="E56" s="100" t="inlineStr">
        <is>
          <t>Остаток на начало дня:</t>
        </is>
      </c>
      <c r="F56" s="47" t="n"/>
      <c r="G56" s="101" t="n">
        <v>2428.5</v>
      </c>
      <c r="H56" s="47" t="n"/>
      <c r="I56" s="330" t="inlineStr">
        <is>
          <t>Остаток на начало дня :</t>
        </is>
      </c>
      <c r="J56" s="332" t="n"/>
    </row>
    <row r="57">
      <c r="A57" s="102" t="inlineStr">
        <is>
          <t>Поступление</t>
        </is>
      </c>
      <c r="B57" s="47" t="n"/>
      <c r="C57" s="102" t="inlineStr">
        <is>
          <t>Расход</t>
        </is>
      </c>
      <c r="D57" s="47" t="n"/>
      <c r="E57" s="102" t="inlineStr">
        <is>
          <t>Поступление</t>
        </is>
      </c>
      <c r="F57" s="47" t="n"/>
      <c r="G57" s="102" t="inlineStr">
        <is>
          <t>Расход</t>
        </is>
      </c>
      <c r="H57" s="47" t="n"/>
      <c r="I57" s="334" t="inlineStr">
        <is>
          <t xml:space="preserve">Поступление </t>
        </is>
      </c>
      <c r="J57" s="332" t="n"/>
    </row>
    <row r="58">
      <c r="A58" s="103" t="inlineStr">
        <is>
          <t>от кого</t>
        </is>
      </c>
      <c r="B58" s="103" t="inlineStr">
        <is>
          <t>сумма</t>
        </is>
      </c>
      <c r="C58" s="103" t="inlineStr">
        <is>
          <t>кому</t>
        </is>
      </c>
      <c r="D58" s="103" t="inlineStr">
        <is>
          <t>сумма</t>
        </is>
      </c>
      <c r="E58" s="103" t="inlineStr">
        <is>
          <t>от кого</t>
        </is>
      </c>
      <c r="F58" s="103" t="inlineStr">
        <is>
          <t>сумма</t>
        </is>
      </c>
      <c r="G58" s="336" t="inlineStr">
        <is>
          <t xml:space="preserve">кому </t>
        </is>
      </c>
      <c r="H58" s="103" t="inlineStr">
        <is>
          <t>сумма</t>
        </is>
      </c>
      <c r="I58" s="334" t="inlineStr">
        <is>
          <t xml:space="preserve">от кого </t>
        </is>
      </c>
      <c r="J58" s="334" t="inlineStr">
        <is>
          <t xml:space="preserve">сумма </t>
        </is>
      </c>
    </row>
    <row r="59">
      <c r="A59" s="104" t="inlineStr">
        <is>
          <t xml:space="preserve">Проценты по депозиту </t>
        </is>
      </c>
      <c r="B59" s="281" t="n">
        <v>2043.18</v>
      </c>
      <c r="C59" s="106" t="inlineStr">
        <is>
          <t xml:space="preserve">Комиссия банка </t>
        </is>
      </c>
      <c r="D59" s="107" t="n">
        <v>400</v>
      </c>
      <c r="E59" s="108" t="n"/>
      <c r="F59" s="109" t="n"/>
      <c r="G59" s="110" t="n"/>
      <c r="H59" s="109" t="n"/>
      <c r="I59" s="338" t="n"/>
      <c r="J59" s="339" t="n"/>
    </row>
    <row r="60">
      <c r="A60" s="282" t="n"/>
      <c r="B60" s="281" t="n"/>
      <c r="C60" s="112" t="inlineStr">
        <is>
          <t xml:space="preserve">ООО "Концепт " за риббон </t>
        </is>
      </c>
      <c r="D60" s="107" t="n">
        <v>3750</v>
      </c>
      <c r="E60" s="110" t="n"/>
      <c r="F60" s="109" t="n"/>
      <c r="G60" s="110" t="n"/>
      <c r="H60" s="109" t="n"/>
      <c r="I60" s="338" t="n"/>
      <c r="J60" s="338" t="n"/>
    </row>
    <row r="61">
      <c r="A61" s="111" t="n"/>
      <c r="B61" s="283" t="n"/>
      <c r="C61" s="113" t="inlineStr">
        <is>
          <t xml:space="preserve">ООО Интернет Решения  за хозтовары </t>
        </is>
      </c>
      <c r="D61" s="107" t="n">
        <v>19666</v>
      </c>
      <c r="E61" s="110" t="n"/>
      <c r="F61" s="109" t="n"/>
      <c r="G61" s="114" t="n"/>
      <c r="H61" s="109" t="n"/>
      <c r="I61" s="338" t="n"/>
      <c r="J61" s="338" t="n"/>
    </row>
    <row r="62">
      <c r="A62" s="115" t="n"/>
      <c r="B62" s="283" t="n"/>
      <c r="C62" s="113" t="inlineStr">
        <is>
          <t xml:space="preserve">ООО Лейб стик  за этикетки </t>
        </is>
      </c>
      <c r="D62" s="107" t="n">
        <v>31680</v>
      </c>
      <c r="E62" s="108" t="n"/>
      <c r="F62" s="116" t="n"/>
      <c r="G62" s="114" t="n"/>
      <c r="H62" s="109" t="n"/>
      <c r="I62" s="338" t="n"/>
      <c r="J62" s="338" t="n"/>
    </row>
    <row r="63">
      <c r="A63" s="117" t="n"/>
      <c r="B63" s="283" t="n"/>
      <c r="C63" s="113" t="inlineStr">
        <is>
          <t xml:space="preserve">АО Союзснаб  за пищевые добавка </t>
        </is>
      </c>
      <c r="D63" s="107" t="n">
        <v>175721.73</v>
      </c>
      <c r="E63" s="118" t="n"/>
      <c r="F63" s="119" t="n"/>
      <c r="G63" s="120" t="n"/>
      <c r="H63" s="120" t="n"/>
      <c r="I63" s="338" t="n"/>
      <c r="J63" s="338" t="n"/>
    </row>
    <row r="64">
      <c r="A64" s="117" t="n"/>
      <c r="B64" s="283" t="n"/>
      <c r="C64" s="113" t="inlineStr">
        <is>
          <t>Размещение на депозите  1096000</t>
        </is>
      </c>
      <c r="D64" s="107" t="n">
        <v>0</v>
      </c>
      <c r="E64" s="118" t="n"/>
      <c r="F64" s="119" t="n"/>
      <c r="G64" s="121" t="n"/>
      <c r="H64" s="120" t="n"/>
      <c r="I64" s="338" t="n"/>
      <c r="J64" s="338" t="n"/>
    </row>
    <row r="65">
      <c r="A65" s="122" t="n"/>
      <c r="B65" s="283" t="n"/>
      <c r="C65" s="113" t="n"/>
      <c r="D65" s="107" t="n"/>
      <c r="E65" s="118" t="n"/>
      <c r="F65" s="118" t="n"/>
      <c r="G65" s="123" t="n"/>
      <c r="H65" s="120" t="n"/>
      <c r="I65" s="338" t="n"/>
      <c r="J65" s="338" t="n"/>
    </row>
    <row r="66">
      <c r="A66" s="124" t="n"/>
      <c r="B66" s="284" t="n"/>
      <c r="C66" s="113" t="n"/>
      <c r="D66" s="107" t="n"/>
      <c r="E66" s="124" t="n"/>
      <c r="F66" s="118" t="n"/>
      <c r="G66" s="110" t="n"/>
      <c r="H66" s="120" t="n"/>
      <c r="I66" s="338" t="n"/>
      <c r="J66" s="338" t="n"/>
    </row>
    <row r="67">
      <c r="A67" s="124" t="n"/>
      <c r="B67" s="285" t="n"/>
      <c r="C67" s="112" t="n"/>
      <c r="D67" s="126" t="n"/>
      <c r="E67" s="124" t="n"/>
      <c r="F67" s="118" t="n"/>
      <c r="G67" s="110" t="n"/>
      <c r="H67" s="120" t="n"/>
      <c r="I67" s="338" t="n"/>
      <c r="J67" s="338" t="n"/>
    </row>
    <row r="68">
      <c r="A68" s="124" t="n"/>
      <c r="B68" s="285" t="n"/>
      <c r="C68" s="112" t="n"/>
      <c r="D68" s="126" t="n"/>
      <c r="E68" s="124" t="n"/>
      <c r="F68" s="118" t="n"/>
      <c r="G68" s="110" t="n"/>
      <c r="H68" s="120" t="n"/>
      <c r="I68" s="338" t="n"/>
      <c r="J68" s="338" t="n"/>
    </row>
    <row r="69">
      <c r="A69" s="124" t="n"/>
      <c r="B69" s="285" t="n"/>
      <c r="C69" s="112" t="n"/>
      <c r="D69" s="126" t="n"/>
      <c r="E69" s="124" t="n"/>
      <c r="F69" s="118" t="n"/>
      <c r="G69" s="110" t="n"/>
      <c r="H69" s="120" t="n"/>
      <c r="I69" s="338" t="n"/>
      <c r="J69" s="338" t="n"/>
    </row>
    <row r="70">
      <c r="A70" s="124" t="n"/>
      <c r="B70" s="285" t="n"/>
      <c r="C70" s="112" t="n"/>
      <c r="D70" s="343" t="n"/>
      <c r="E70" s="124" t="n"/>
      <c r="F70" s="118" t="n"/>
      <c r="G70" s="110" t="n"/>
      <c r="H70" s="120" t="n"/>
      <c r="I70" s="338" t="n"/>
      <c r="J70" s="338" t="n"/>
    </row>
    <row r="71">
      <c r="A71" s="124" t="n"/>
      <c r="B71" s="125" t="n"/>
      <c r="C71" s="110" t="n"/>
      <c r="D71" s="126" t="n"/>
      <c r="E71" s="124" t="n"/>
      <c r="F71" s="118" t="n"/>
      <c r="G71" s="110" t="n"/>
      <c r="H71" s="120" t="n"/>
      <c r="I71" s="338" t="n"/>
      <c r="J71" s="338" t="n"/>
    </row>
    <row r="72">
      <c r="A72" s="127" t="n"/>
      <c r="B72" s="128">
        <f>SUM(B59:B71)+C56</f>
        <v/>
      </c>
      <c r="C72" s="129" t="n"/>
      <c r="D72" s="128">
        <f>SUM(D59:D71)</f>
        <v/>
      </c>
      <c r="E72" s="130" t="n"/>
      <c r="F72" s="130">
        <f>SUM(F59:F71)</f>
        <v/>
      </c>
      <c r="G72" s="130" t="n"/>
      <c r="H72" s="130">
        <f>SUM(H59:H71)</f>
        <v/>
      </c>
      <c r="I72" s="344" t="n"/>
      <c r="J72" s="345" t="n"/>
    </row>
    <row r="73">
      <c r="A73" s="131" t="inlineStr">
        <is>
          <t>Остаток на конец дня:</t>
        </is>
      </c>
      <c r="B73" s="132">
        <f>B72-D72</f>
        <v/>
      </c>
      <c r="C73" s="56" t="n"/>
      <c r="D73" s="47" t="n"/>
      <c r="E73" s="100" t="inlineStr">
        <is>
          <t>Остаток на конец дня:</t>
        </is>
      </c>
      <c r="F73" s="101" t="n">
        <v>2428.5</v>
      </c>
      <c r="G73" s="56" t="n"/>
      <c r="H73" s="47" t="n"/>
      <c r="I73" s="330" t="inlineStr">
        <is>
          <t xml:space="preserve">Остаток на конец дня </t>
        </is>
      </c>
      <c r="J73" s="344" t="n"/>
    </row>
    <row r="74">
      <c r="A74" s="133" t="inlineStr">
        <is>
          <t>ИТОГО:</t>
        </is>
      </c>
      <c r="B74" s="47" t="n"/>
      <c r="C74" s="134" t="n">
        <v>1099123.85</v>
      </c>
      <c r="D74" s="56" t="n"/>
      <c r="E74" s="56" t="n"/>
      <c r="F74" s="56" t="n"/>
      <c r="G74" s="56" t="n"/>
      <c r="H74" s="47" t="n"/>
      <c r="I74" s="257" t="n"/>
      <c r="J74" s="257" t="n"/>
    </row>
    <row r="75">
      <c r="A75" s="41" t="n"/>
      <c r="B75" s="94" t="n"/>
      <c r="C75" s="43" t="n"/>
      <c r="D75" s="41" t="n"/>
      <c r="E75" s="41" t="n"/>
      <c r="F75" s="41" t="n"/>
      <c r="G75" s="41" t="n"/>
      <c r="H75" s="93" t="n"/>
      <c r="I75" s="135" t="n"/>
      <c r="J75" s="135" t="n"/>
    </row>
    <row r="76">
      <c r="A76" s="136" t="n"/>
      <c r="B76" s="137" t="inlineStr">
        <is>
          <t>Реализация по безналичному расчёту</t>
        </is>
      </c>
      <c r="D76" s="2" t="n"/>
      <c r="E76" s="41" t="n"/>
      <c r="F76" s="41" t="n"/>
      <c r="G76" s="41" t="n"/>
      <c r="H76" s="138" t="n"/>
      <c r="I76" s="2" t="n"/>
      <c r="J76" s="2" t="n"/>
    </row>
    <row r="77">
      <c r="A77" s="139" t="inlineStr">
        <is>
          <t>Контрагент</t>
        </is>
      </c>
      <c r="B77" s="140" t="inlineStr">
        <is>
          <t>поставщик</t>
        </is>
      </c>
      <c r="C77" s="141" t="inlineStr">
        <is>
          <t>наименование</t>
        </is>
      </c>
      <c r="D77" s="142" t="inlineStr">
        <is>
          <t>вес упаковки, тарелки</t>
        </is>
      </c>
      <c r="E77" s="143" t="inlineStr">
        <is>
          <t>кол.-во пакетов, коробок</t>
        </is>
      </c>
      <c r="F77" s="144" t="inlineStr">
        <is>
          <t>кол-во мест в коробке/упаковке</t>
        </is>
      </c>
      <c r="G77" s="145" t="inlineStr">
        <is>
          <t>общий вес, кг.</t>
        </is>
      </c>
      <c r="H77" s="146" t="inlineStr">
        <is>
          <t>цена пакет, тарелка</t>
        </is>
      </c>
      <c r="I77" s="147" t="inlineStr">
        <is>
          <t>сумма</t>
        </is>
      </c>
      <c r="J77" s="348" t="inlineStr">
        <is>
          <t>Комментарий</t>
        </is>
      </c>
    </row>
    <row r="78">
      <c r="A78" s="244" t="n"/>
      <c r="B78" s="267" t="n"/>
      <c r="C78" s="268" t="n"/>
      <c r="D78" s="269" t="n"/>
      <c r="E78" s="51" t="n"/>
      <c r="F78" s="51" t="n"/>
      <c r="G78" s="349" t="n"/>
      <c r="H78" s="350" t="n"/>
      <c r="I78" s="350" t="n"/>
      <c r="J78" s="351" t="n"/>
    </row>
    <row r="79">
      <c r="A79" s="244" t="n"/>
      <c r="B79" s="267" t="n"/>
      <c r="C79" s="268" t="n"/>
      <c r="D79" s="269" t="n"/>
      <c r="E79" s="51" t="n"/>
      <c r="F79" s="51" t="n"/>
      <c r="G79" s="349" t="n"/>
      <c r="H79" s="350" t="n"/>
      <c r="I79" s="350" t="n"/>
      <c r="J79" s="352" t="n"/>
    </row>
    <row r="80">
      <c r="A80" s="244" t="n"/>
      <c r="B80" s="267" t="n"/>
      <c r="C80" s="268" t="n"/>
      <c r="D80" s="269" t="n"/>
      <c r="E80" s="51" t="n"/>
      <c r="F80" s="51" t="n"/>
      <c r="G80" s="349" t="n"/>
      <c r="H80" s="350" t="n"/>
      <c r="I80" s="350" t="n"/>
      <c r="J80" s="353" t="n"/>
    </row>
    <row r="81">
      <c r="A81" s="244" t="n"/>
      <c r="B81" s="267" t="n"/>
      <c r="C81" s="268" t="n"/>
      <c r="D81" s="269" t="n"/>
      <c r="E81" s="51" t="n"/>
      <c r="F81" s="51" t="n"/>
      <c r="G81" s="349" t="n"/>
      <c r="H81" s="350" t="n"/>
      <c r="I81" s="350" t="n"/>
      <c r="J81" s="354" t="n"/>
    </row>
    <row r="82">
      <c r="A82" s="244" t="n"/>
      <c r="B82" s="244" t="n"/>
      <c r="C82" s="268" t="n"/>
      <c r="D82" s="269" t="n"/>
      <c r="E82" s="51" t="n"/>
      <c r="F82" s="51" t="n"/>
      <c r="G82" s="349" t="n"/>
      <c r="H82" s="350" t="n"/>
      <c r="I82" s="350" t="n"/>
      <c r="J82" s="352" t="n"/>
    </row>
    <row r="83">
      <c r="A83" s="244" t="n"/>
      <c r="B83" s="267" t="n"/>
      <c r="C83" s="268" t="n"/>
      <c r="D83" s="269" t="n"/>
      <c r="E83" s="51" t="n"/>
      <c r="F83" s="51" t="n"/>
      <c r="G83" s="349" t="n"/>
      <c r="H83" s="350" t="n"/>
      <c r="I83" s="350" t="n"/>
      <c r="J83" s="351" t="n"/>
    </row>
    <row r="84">
      <c r="A84" s="244" t="n"/>
      <c r="B84" s="244" t="n"/>
      <c r="C84" s="268" t="n"/>
      <c r="D84" s="269" t="n"/>
      <c r="E84" s="51" t="n"/>
      <c r="F84" s="51" t="n"/>
      <c r="G84" s="349" t="n"/>
      <c r="H84" s="350" t="n"/>
      <c r="I84" s="350" t="n"/>
      <c r="J84" s="352" t="n"/>
    </row>
    <row r="85">
      <c r="A85" s="162" t="n"/>
      <c r="B85" s="163" t="n"/>
      <c r="C85" s="164" t="n"/>
      <c r="D85" s="165" t="n"/>
      <c r="E85" s="166" t="n"/>
      <c r="F85" s="167" t="n"/>
      <c r="G85" s="168" t="n"/>
      <c r="H85" s="169" t="n"/>
      <c r="I85" s="170" t="n"/>
      <c r="J85" s="161" t="n"/>
    </row>
    <row r="86">
      <c r="A86" s="162" t="n"/>
      <c r="B86" s="163" t="n"/>
      <c r="C86" s="171" t="n"/>
      <c r="D86" s="153" t="n"/>
      <c r="E86" s="172" t="n"/>
      <c r="F86" s="155" t="n"/>
      <c r="G86" s="168" t="n"/>
      <c r="H86" s="156" t="n"/>
      <c r="I86" s="170" t="n"/>
      <c r="J86" s="161" t="n"/>
    </row>
    <row r="87">
      <c r="A87" s="162" t="n"/>
      <c r="B87" s="163" t="n"/>
      <c r="C87" s="171" t="n"/>
      <c r="D87" s="153" t="n"/>
      <c r="E87" s="172" t="n"/>
      <c r="F87" s="155" t="n"/>
      <c r="G87" s="168" t="n"/>
      <c r="H87" s="156" t="n"/>
      <c r="I87" s="170" t="n"/>
      <c r="J87" s="161" t="n"/>
    </row>
    <row r="88">
      <c r="A88" s="162" t="n"/>
      <c r="B88" s="163" t="n"/>
      <c r="C88" s="171" t="n"/>
      <c r="D88" s="153" t="n"/>
      <c r="E88" s="172" t="n"/>
      <c r="F88" s="155" t="n"/>
      <c r="G88" s="168" t="n"/>
      <c r="H88" s="156" t="n"/>
      <c r="I88" s="170" t="n"/>
      <c r="J88" s="161" t="n"/>
    </row>
    <row r="89">
      <c r="A89" s="162" t="n"/>
      <c r="B89" s="163" t="n"/>
      <c r="C89" s="171" t="n"/>
      <c r="D89" s="153" t="n"/>
      <c r="E89" s="172" t="n"/>
      <c r="F89" s="155" t="n"/>
      <c r="G89" s="168" t="n"/>
      <c r="H89" s="156" t="n"/>
      <c r="I89" s="170" t="n"/>
      <c r="J89" s="161" t="n"/>
    </row>
    <row r="90">
      <c r="A90" s="173" t="n"/>
      <c r="B90" s="174" t="n"/>
      <c r="C90" s="175" t="n"/>
      <c r="D90" s="176" t="n"/>
      <c r="E90" s="177" t="n"/>
      <c r="F90" s="178" t="n"/>
      <c r="G90" s="179" t="n"/>
      <c r="H90" s="180" t="n"/>
      <c r="I90" s="181" t="n"/>
      <c r="J90" s="161" t="n"/>
    </row>
    <row r="91">
      <c r="A91" s="182" t="n"/>
      <c r="B91" s="163" t="n"/>
      <c r="C91" s="183" t="n"/>
      <c r="D91" s="184" t="n"/>
      <c r="E91" s="166" t="n"/>
      <c r="F91" s="167" t="n"/>
      <c r="G91" s="185">
        <f>D91*F91</f>
        <v/>
      </c>
      <c r="H91" s="186" t="n"/>
      <c r="I91" s="186">
        <f>F91*H91*E91</f>
        <v/>
      </c>
      <c r="J91" s="187" t="n"/>
    </row>
    <row r="92">
      <c r="A92" s="182" t="n"/>
      <c r="B92" s="163" t="n"/>
      <c r="C92" s="188" t="n"/>
      <c r="D92" s="189" t="n"/>
      <c r="E92" s="190" t="n"/>
      <c r="F92" s="189" t="n"/>
      <c r="G92" s="185">
        <f>D92*F92</f>
        <v/>
      </c>
      <c r="H92" s="191" t="n"/>
      <c r="I92" s="186">
        <f>F92*H92*E92</f>
        <v/>
      </c>
      <c r="J92" s="187" t="n"/>
    </row>
    <row r="93">
      <c r="A93" s="192" t="inlineStr">
        <is>
          <t>ИТОГО:</t>
        </is>
      </c>
      <c r="B93" s="193" t="n"/>
      <c r="C93" s="194" t="n"/>
      <c r="D93" s="195" t="n"/>
      <c r="E93" s="196">
        <f>SUM(E78:E92)</f>
        <v/>
      </c>
      <c r="F93" s="197">
        <f>SUM(F78:F90)</f>
        <v/>
      </c>
      <c r="G93" s="198">
        <f>SUM(G78:G85)</f>
        <v/>
      </c>
      <c r="H93" s="199" t="n"/>
      <c r="I93" s="199">
        <f>SUM(I78:I86)</f>
        <v/>
      </c>
      <c r="J93" s="200" t="n"/>
    </row>
    <row r="94">
      <c r="A94" s="2" t="n"/>
      <c r="B94" s="94" t="n"/>
      <c r="C94" s="43" t="n"/>
      <c r="D94" s="41" t="n"/>
      <c r="E94" s="41" t="n"/>
      <c r="F94" s="41" t="n"/>
      <c r="G94" s="41" t="n"/>
      <c r="H94" s="2" t="n"/>
      <c r="I94" s="2" t="n"/>
      <c r="J94" s="2" t="n"/>
    </row>
    <row r="95">
      <c r="A95" s="201" t="inlineStr">
        <is>
          <t>реализация Всего касса+безнал:</t>
        </is>
      </c>
      <c r="B95" s="202" t="inlineStr">
        <is>
          <t>кг</t>
        </is>
      </c>
      <c r="C95" s="203" t="inlineStr">
        <is>
          <t>на сумму</t>
        </is>
      </c>
      <c r="D95" s="41" t="n"/>
      <c r="E95" s="41" t="n"/>
      <c r="F95" s="41" t="n"/>
      <c r="G95" s="41" t="n"/>
      <c r="H95" s="2" t="n"/>
      <c r="I95" s="2" t="n"/>
      <c r="J95" s="2" t="n"/>
    </row>
    <row r="96">
      <c r="A96" s="204" t="n"/>
      <c r="B96" s="205">
        <f>E25+G93</f>
        <v/>
      </c>
      <c r="C96" s="206">
        <f>I25+H93+I93</f>
        <v/>
      </c>
      <c r="D96" s="41" t="n"/>
      <c r="E96" s="41" t="n"/>
      <c r="F96" s="41" t="n"/>
      <c r="G96" s="41" t="n"/>
      <c r="H96" s="2" t="n"/>
      <c r="I96" s="2" t="n"/>
      <c r="J96" s="2" t="n"/>
    </row>
    <row r="97">
      <c r="A97" s="207" t="inlineStr">
        <is>
          <t>Услуги оказывают нам (доставка сырья и комплектующих на склад, Товара покупателям)</t>
        </is>
      </c>
      <c r="B97" s="54" t="n"/>
      <c r="C97" s="54" t="n"/>
      <c r="D97" s="54" t="n"/>
      <c r="E97" s="54" t="n"/>
      <c r="F97" s="54" t="n"/>
      <c r="G97" s="54" t="n"/>
      <c r="H97" s="54" t="n"/>
      <c r="I97" s="291" t="n"/>
      <c r="J97" s="58" t="n"/>
    </row>
    <row r="98">
      <c r="A98" s="209" t="inlineStr">
        <is>
          <t>Контрагент</t>
        </is>
      </c>
      <c r="B98" s="210" t="inlineStr">
        <is>
          <t>вид услуги</t>
        </is>
      </c>
      <c r="C98" s="211" t="inlineStr">
        <is>
          <t>Кому / От кого</t>
        </is>
      </c>
      <c r="D98" s="212" t="inlineStr">
        <is>
          <t>наименование</t>
        </is>
      </c>
      <c r="E98" s="213" t="inlineStr">
        <is>
          <t xml:space="preserve">город доставки </t>
        </is>
      </c>
      <c r="F98" s="214" t="inlineStr">
        <is>
          <t>цена</t>
        </is>
      </c>
      <c r="G98" s="213" t="inlineStr">
        <is>
          <t>сумма</t>
        </is>
      </c>
      <c r="H98" s="212" t="inlineStr">
        <is>
          <t>за тонну</t>
        </is>
      </c>
      <c r="I98" s="291" t="n"/>
      <c r="J98" s="58" t="n"/>
    </row>
    <row r="99">
      <c r="A99" s="215" t="n"/>
      <c r="B99" s="60" t="n"/>
      <c r="C99" s="63" t="n"/>
      <c r="D99" s="226" t="n"/>
      <c r="E99" s="317" t="n"/>
      <c r="F99" s="62" t="n"/>
      <c r="G99" s="218" t="n"/>
      <c r="H99" s="305" t="n"/>
      <c r="I99" s="291" t="n"/>
      <c r="J99" s="58" t="n"/>
    </row>
    <row r="100">
      <c r="A100" s="215" t="n"/>
      <c r="B100" s="60" t="n"/>
      <c r="C100" s="63" t="n"/>
      <c r="D100" s="226" t="n"/>
      <c r="E100" s="217" t="n"/>
      <c r="F100" s="62" t="n"/>
      <c r="G100" s="218" t="n"/>
      <c r="H100" s="305" t="n"/>
      <c r="I100" s="315" t="n"/>
      <c r="J100" s="58" t="n"/>
    </row>
    <row r="101">
      <c r="A101" s="215" t="n"/>
      <c r="B101" s="60" t="n"/>
      <c r="C101" s="63" t="n"/>
      <c r="D101" s="226" t="n"/>
      <c r="E101" s="217" t="n"/>
      <c r="F101" s="223" t="n"/>
      <c r="G101" s="218" t="n"/>
      <c r="H101" s="305" t="n"/>
      <c r="I101" s="2" t="n"/>
      <c r="J101" s="2" t="n"/>
    </row>
    <row r="102">
      <c r="A102" s="215" t="n"/>
      <c r="B102" s="60" t="n"/>
      <c r="C102" s="63" t="n"/>
      <c r="D102" s="222" t="n"/>
      <c r="E102" s="274" t="n"/>
      <c r="F102" s="223" t="n"/>
      <c r="G102" s="218" t="n"/>
      <c r="H102" s="219" t="n"/>
      <c r="I102" s="2" t="n"/>
      <c r="J102" s="2" t="n"/>
    </row>
    <row r="103">
      <c r="A103" s="215" t="n"/>
      <c r="B103" s="60" t="n"/>
      <c r="C103" s="63" t="n"/>
      <c r="D103" s="226" t="n"/>
      <c r="E103" s="274" t="n"/>
      <c r="F103" s="223" t="n"/>
      <c r="G103" s="218" t="n"/>
      <c r="H103" s="219" t="n"/>
      <c r="I103" s="2" t="n"/>
      <c r="J103" s="2" t="n"/>
    </row>
    <row r="104">
      <c r="A104" s="215" t="n"/>
      <c r="B104" s="60" t="n"/>
      <c r="C104" s="63" t="n"/>
      <c r="D104" s="226" t="n"/>
      <c r="E104" s="227" t="n"/>
      <c r="F104" s="223" t="n"/>
      <c r="G104" s="218">
        <f>F104</f>
        <v/>
      </c>
      <c r="H104" s="219" t="n"/>
      <c r="I104" s="2" t="n"/>
      <c r="J104" s="2" t="n"/>
    </row>
    <row r="105">
      <c r="A105" s="220" t="n"/>
      <c r="B105" s="60" t="n"/>
      <c r="C105" s="221" t="n"/>
      <c r="D105" s="226" t="n"/>
      <c r="E105" s="227" t="n"/>
      <c r="F105" s="223" t="n"/>
      <c r="G105" s="218">
        <f>F105</f>
        <v/>
      </c>
      <c r="H105" s="219" t="n"/>
      <c r="I105" s="2" t="n"/>
      <c r="J105" s="2" t="n"/>
    </row>
    <row r="106">
      <c r="A106" s="220" t="n"/>
      <c r="B106" s="60" t="n"/>
      <c r="C106" s="221" t="n"/>
      <c r="D106" s="226" t="n"/>
      <c r="E106" s="227" t="n"/>
      <c r="F106" s="223" t="n"/>
      <c r="G106" s="218">
        <f>F106</f>
        <v/>
      </c>
      <c r="H106" s="228" t="n"/>
      <c r="I106" s="2" t="n"/>
      <c r="J106" s="2" t="n"/>
    </row>
    <row r="107">
      <c r="A107" s="229" t="inlineStr">
        <is>
          <t>ИТОГО:</t>
        </is>
      </c>
      <c r="B107" s="230" t="n"/>
      <c r="C107" s="231" t="n"/>
      <c r="D107" s="232" t="n"/>
      <c r="E107" s="233">
        <f>SUM(E99:E106)</f>
        <v/>
      </c>
      <c r="F107" s="234" t="n"/>
      <c r="G107" s="235">
        <f>SUM(G99:G106)</f>
        <v/>
      </c>
      <c r="H107" s="235" t="n"/>
      <c r="I107" s="2" t="n"/>
      <c r="J107" s="2" t="n"/>
    </row>
    <row r="108">
      <c r="A108" s="41" t="n"/>
      <c r="B108" s="94" t="n"/>
      <c r="C108" s="43" t="n"/>
      <c r="D108" s="41" t="n"/>
      <c r="E108" s="41" t="n"/>
      <c r="F108" s="41" t="n"/>
      <c r="G108" s="41" t="n"/>
      <c r="H108" s="41" t="n"/>
      <c r="I108" s="2" t="n"/>
      <c r="J108" s="2" t="n"/>
    </row>
    <row r="109">
      <c r="A109" s="236" t="inlineStr">
        <is>
          <t>Услуги оказываем мы</t>
        </is>
      </c>
      <c r="B109" s="54" t="n"/>
      <c r="C109" s="54" t="n"/>
      <c r="D109" s="54" t="n"/>
      <c r="E109" s="54" t="n"/>
      <c r="F109" s="54" t="n"/>
      <c r="G109" s="54" t="n"/>
      <c r="H109" s="54" t="n"/>
      <c r="I109" s="237" t="n"/>
      <c r="J109" s="2" t="n"/>
    </row>
    <row r="110">
      <c r="A110" s="209" t="inlineStr">
        <is>
          <t>Контрагент</t>
        </is>
      </c>
      <c r="B110" s="238" t="inlineStr">
        <is>
          <t>вид услуги</t>
        </is>
      </c>
      <c r="C110" s="239" t="inlineStr">
        <is>
          <t>наименование</t>
        </is>
      </c>
      <c r="D110" s="240" t="inlineStr">
        <is>
          <t>вес, кг, шт</t>
        </is>
      </c>
      <c r="E110" s="240" t="inlineStr">
        <is>
          <t>цена</t>
        </is>
      </c>
      <c r="F110" s="240" t="inlineStr">
        <is>
          <t>сумма</t>
        </is>
      </c>
      <c r="G110" s="213" t="inlineStr">
        <is>
          <t>№УПД</t>
        </is>
      </c>
      <c r="H110" s="213" t="n"/>
      <c r="I110" s="2" t="n"/>
      <c r="J110" s="2" t="n"/>
    </row>
    <row r="111">
      <c r="A111" s="275" t="n"/>
      <c r="B111" s="276" t="n"/>
      <c r="C111" s="243" t="n"/>
      <c r="D111" s="244" t="n"/>
      <c r="E111" s="277" t="n"/>
      <c r="F111" s="278" t="n"/>
      <c r="G111" s="247" t="n"/>
      <c r="H111" s="248" t="n"/>
      <c r="I111" s="2" t="n"/>
      <c r="J111" s="2" t="n"/>
    </row>
    <row r="112">
      <c r="A112" s="249" t="n"/>
      <c r="B112" s="250" t="n"/>
      <c r="C112" s="251" t="n"/>
      <c r="D112" s="252" t="n"/>
      <c r="E112" s="253" t="n"/>
      <c r="F112" s="254">
        <f>D112*E112</f>
        <v/>
      </c>
      <c r="G112" s="255" t="n"/>
      <c r="H112" s="256" t="n"/>
      <c r="I112" s="2" t="n"/>
      <c r="J112" s="2" t="n"/>
    </row>
    <row r="113">
      <c r="A113" s="257" t="n"/>
      <c r="B113" s="258" t="n"/>
      <c r="C113" s="257" t="n"/>
      <c r="D113" s="257" t="n"/>
      <c r="E113" s="257" t="n"/>
      <c r="F113" s="254">
        <f>D113*E113</f>
        <v/>
      </c>
      <c r="G113" s="257" t="n"/>
      <c r="H113" s="257" t="n"/>
      <c r="I113" s="2" t="n"/>
      <c r="J113" s="2" t="n"/>
    </row>
    <row r="114">
      <c r="A114" s="249" t="n"/>
      <c r="B114" s="258" t="n"/>
      <c r="C114" s="257" t="n"/>
      <c r="D114" s="259" t="n"/>
      <c r="E114" s="257" t="n"/>
      <c r="F114" s="260" t="n"/>
      <c r="G114" s="257" t="n"/>
      <c r="H114" s="257" t="n"/>
      <c r="I114" s="2" t="n"/>
      <c r="J114" s="2" t="n"/>
    </row>
    <row r="115">
      <c r="A115" s="2" t="n"/>
      <c r="B115" s="261" t="n"/>
      <c r="C115" s="2" t="n"/>
      <c r="D115" s="2" t="n"/>
      <c r="E115" s="2" t="n"/>
      <c r="F115" s="262" t="n"/>
      <c r="G115" s="2" t="n"/>
      <c r="H115" s="2" t="n"/>
      <c r="I115" s="263" t="n"/>
      <c r="J115" s="264" t="n"/>
    </row>
  </sheetData>
  <mergeCells count="11">
    <mergeCell ref="A1:J1"/>
    <mergeCell ref="I57:J57"/>
    <mergeCell ref="A30:H30"/>
    <mergeCell ref="A109:H109"/>
    <mergeCell ref="J83:J84"/>
    <mergeCell ref="J78:J79"/>
    <mergeCell ref="A54:H54"/>
    <mergeCell ref="A2:J2"/>
    <mergeCell ref="J81:J82"/>
    <mergeCell ref="I56:J56"/>
    <mergeCell ref="A97:H9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12.75" customWidth="1" min="6" max="6"/>
    <col width="9.625" customWidth="1" min="7" max="7"/>
    <col width="11.125" customWidth="1" min="8" max="8"/>
    <col width="18.2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поступление от Пивкофф</t>
        </is>
      </c>
      <c r="B4" s="267" t="inlineStr">
        <is>
          <t>Снекпром</t>
        </is>
      </c>
      <c r="C4" s="268" t="inlineStr">
        <is>
          <t>квадромикс 200 гр</t>
        </is>
      </c>
      <c r="D4" s="269" t="n">
        <v>0.2</v>
      </c>
      <c r="E4" s="17" t="n">
        <v>54</v>
      </c>
      <c r="F4" s="17" t="n">
        <v>18</v>
      </c>
      <c r="G4" s="270">
        <f>E4*D4</f>
        <v/>
      </c>
      <c r="H4" s="19" t="n">
        <v>85</v>
      </c>
      <c r="I4" s="19">
        <f>H4*E4</f>
        <v/>
      </c>
      <c r="J4" s="20" t="n"/>
    </row>
    <row r="5">
      <c r="A5" s="13" t="n"/>
      <c r="B5" s="267" t="n"/>
      <c r="C5" s="268" t="inlineStr">
        <is>
          <t>арахис ассорти 200 гр</t>
        </is>
      </c>
      <c r="D5" s="269" t="n">
        <v>0.2</v>
      </c>
      <c r="E5" s="17" t="n">
        <v>72</v>
      </c>
      <c r="F5" s="17" t="n">
        <v>18</v>
      </c>
      <c r="G5" s="270">
        <f>E5*D5</f>
        <v/>
      </c>
      <c r="H5" s="19" t="n">
        <v>95</v>
      </c>
      <c r="I5" s="19">
        <f>H5*E5</f>
        <v/>
      </c>
      <c r="J5" s="20" t="n"/>
    </row>
    <row r="6">
      <c r="A6" s="13" t="n"/>
      <c r="B6" s="267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30" t="n"/>
      <c r="C7" s="268" t="n"/>
      <c r="D7" s="269" t="n"/>
      <c r="E7" s="17" t="n"/>
      <c r="F7" s="17" t="n"/>
      <c r="G7" s="270" t="n"/>
      <c r="H7" s="19" t="n"/>
      <c r="I7" s="19" t="n"/>
      <c r="J7" s="20" t="n"/>
    </row>
    <row r="8">
      <c r="A8" s="13" t="n"/>
      <c r="B8" s="30" t="n"/>
      <c r="C8" s="268" t="n"/>
      <c r="D8" s="269" t="n"/>
      <c r="E8" s="17" t="n"/>
      <c r="F8" s="17" t="n"/>
      <c r="G8" s="270" t="n"/>
      <c r="H8" s="19" t="n"/>
      <c r="I8" s="19" t="n"/>
      <c r="J8" s="20" t="n"/>
    </row>
    <row r="9">
      <c r="A9" s="13" t="n"/>
      <c r="B9" s="30" t="n"/>
      <c r="C9" s="268" t="n"/>
      <c r="D9" s="269" t="n"/>
      <c r="E9" s="16" t="n"/>
      <c r="F9" s="17" t="n"/>
      <c r="G9" s="270" t="n"/>
      <c r="H9" s="19" t="n"/>
      <c r="I9" s="19" t="n"/>
      <c r="J9" s="20" t="n"/>
    </row>
    <row r="10">
      <c r="A10" s="13" t="n"/>
      <c r="B10" s="30" t="n"/>
      <c r="C10" s="268" t="n"/>
      <c r="D10" s="269" t="n"/>
      <c r="E10" s="16" t="n"/>
      <c r="F10" s="17" t="n"/>
      <c r="G10" s="270" t="n"/>
      <c r="H10" s="19" t="n"/>
      <c r="I10" s="19" t="n"/>
      <c r="J10" s="20" t="n"/>
    </row>
    <row r="11">
      <c r="A11" s="13" t="n"/>
      <c r="B11" s="30" t="n"/>
      <c r="C11" s="268" t="n"/>
      <c r="D11" s="269" t="n"/>
      <c r="E11" s="17" t="n"/>
      <c r="F11" s="17" t="n"/>
      <c r="G11" s="270" t="n"/>
      <c r="H11" s="19" t="n"/>
      <c r="I11" s="19" t="n"/>
      <c r="J11" s="20" t="n"/>
    </row>
    <row r="12">
      <c r="A12" s="13" t="n"/>
      <c r="B12" s="30" t="n"/>
      <c r="C12" s="268" t="n"/>
      <c r="D12" s="269" t="n"/>
      <c r="E12" s="17" t="n"/>
      <c r="F12" s="17" t="n"/>
      <c r="G12" s="270" t="n"/>
      <c r="H12" s="19" t="n"/>
      <c r="I12" s="19" t="n"/>
      <c r="J12" s="20" t="n"/>
    </row>
    <row r="13">
      <c r="A13" s="13" t="n"/>
      <c r="B13" s="30" t="n"/>
      <c r="C13" s="268" t="n"/>
      <c r="D13" s="269" t="n"/>
      <c r="E13" s="17" t="n"/>
      <c r="F13" s="17" t="n"/>
      <c r="G13" s="270" t="n"/>
      <c r="H13" s="19" t="n"/>
      <c r="I13" s="19" t="n"/>
      <c r="J13" s="20" t="n"/>
    </row>
    <row r="14">
      <c r="A14" s="13" t="n"/>
      <c r="B14" s="30" t="n"/>
      <c r="C14" s="268" t="n"/>
      <c r="D14" s="269" t="n"/>
      <c r="E14" s="17" t="n"/>
      <c r="F14" s="17" t="n"/>
      <c r="G14" s="270" t="n"/>
      <c r="H14" s="19" t="n"/>
      <c r="I14" s="19" t="n"/>
      <c r="J14" s="20" t="n"/>
    </row>
    <row r="15">
      <c r="A15" s="13" t="n"/>
      <c r="B15" s="30" t="n"/>
      <c r="C15" s="268" t="n"/>
      <c r="D15" s="269" t="n"/>
      <c r="E15" s="16" t="n"/>
      <c r="F15" s="17" t="n"/>
      <c r="G15" s="270" t="n"/>
      <c r="H15" s="19" t="n"/>
      <c r="I15" s="19" t="n"/>
      <c r="J15" s="20" t="n"/>
    </row>
    <row r="16">
      <c r="A16" s="13" t="n"/>
      <c r="B16" s="30" t="n"/>
      <c r="C16" s="268" t="n"/>
      <c r="D16" s="269" t="n"/>
      <c r="E16" s="16" t="n"/>
      <c r="F16" s="17" t="n"/>
      <c r="G16" s="270" t="n"/>
      <c r="H16" s="19" t="n"/>
      <c r="I16" s="19" t="n"/>
      <c r="J16" s="20" t="n"/>
    </row>
    <row r="17">
      <c r="A17" s="13" t="n"/>
      <c r="B17" s="30" t="n"/>
      <c r="C17" s="268" t="n"/>
      <c r="D17" s="269" t="n"/>
      <c r="E17" s="16" t="n"/>
      <c r="F17" s="17" t="n"/>
      <c r="G17" s="270" t="n"/>
      <c r="H17" s="19" t="n"/>
      <c r="I17" s="19" t="n"/>
      <c r="J17" s="20" t="n"/>
    </row>
    <row r="18">
      <c r="A18" s="13" t="n"/>
      <c r="B18" s="30" t="n"/>
      <c r="C18" s="268" t="n"/>
      <c r="D18" s="269" t="n"/>
      <c r="E18" s="16" t="n"/>
      <c r="F18" s="17" t="n"/>
      <c r="G18" s="270" t="n"/>
      <c r="H18" s="19" t="n"/>
      <c r="I18" s="19" t="n"/>
      <c r="J18" s="20" t="n"/>
    </row>
    <row r="19">
      <c r="A19" s="13" t="n"/>
      <c r="B19" s="30" t="n"/>
      <c r="C19" s="268" t="n"/>
      <c r="D19" s="269" t="n"/>
      <c r="E19" s="16" t="n"/>
      <c r="F19" s="17" t="n"/>
      <c r="G19" s="270" t="n"/>
      <c r="H19" s="19" t="n"/>
      <c r="I19" s="19" t="n"/>
      <c r="J19" s="20" t="n"/>
    </row>
    <row r="20">
      <c r="A20" s="13" t="n"/>
      <c r="B20" s="30" t="n"/>
      <c r="C20" s="268" t="n"/>
      <c r="D20" s="269" t="n"/>
      <c r="E20" s="16" t="n"/>
      <c r="F20" s="17" t="n"/>
      <c r="G20" s="270" t="n"/>
      <c r="H20" s="19" t="n"/>
      <c r="I20" s="19" t="n"/>
      <c r="J20" s="20" t="n"/>
    </row>
    <row r="21">
      <c r="A21" s="13" t="n"/>
      <c r="B21" s="30" t="n"/>
      <c r="C21" s="268" t="n"/>
      <c r="D21" s="26" t="n"/>
      <c r="E21" s="16" t="n"/>
      <c r="F21" s="17" t="n"/>
      <c r="G21" s="270" t="n"/>
      <c r="H21" s="19" t="n"/>
      <c r="I21" s="19" t="n"/>
      <c r="J21" s="20" t="n"/>
    </row>
    <row r="22">
      <c r="A22" s="13" t="n"/>
      <c r="B22" s="30" t="n"/>
      <c r="C22" s="21" t="n"/>
      <c r="D22" s="26" t="n"/>
      <c r="E22" s="16" t="n"/>
      <c r="F22" s="17" t="n"/>
      <c r="G22" s="270" t="n"/>
      <c r="H22" s="19" t="n"/>
      <c r="I22" s="19" t="n"/>
      <c r="J22" s="20" t="n"/>
    </row>
    <row r="23">
      <c r="A23" s="13" t="n"/>
      <c r="B23" s="30" t="n"/>
      <c r="C23" s="21" t="n"/>
      <c r="D23" s="26" t="n"/>
      <c r="E23" s="16" t="n"/>
      <c r="F23" s="17" t="n"/>
      <c r="G23" s="270" t="n"/>
      <c r="H23" s="19" t="n"/>
      <c r="I23" s="19" t="n"/>
      <c r="J23" s="20" t="n"/>
    </row>
    <row r="24">
      <c r="A24" s="29" t="n"/>
      <c r="B24" s="30" t="n"/>
      <c r="C24" s="21" t="n"/>
      <c r="D24" s="26" t="n"/>
      <c r="E24" s="16" t="n"/>
      <c r="F24" s="17" t="n"/>
      <c r="G24" s="270">
        <f>D24*F24</f>
        <v/>
      </c>
      <c r="H24" s="19" t="n"/>
      <c r="I24" s="19">
        <f>H24*E24</f>
        <v/>
      </c>
      <c r="J24" s="32" t="n"/>
    </row>
    <row r="25">
      <c r="A25" s="33" t="n"/>
      <c r="B25" s="34" t="n"/>
      <c r="C25" s="35" t="n"/>
      <c r="D25" s="33" t="n"/>
      <c r="E25" s="36">
        <f>SUM(E4:E24)</f>
        <v/>
      </c>
      <c r="F25" s="36">
        <f>SUM(F4:F24)</f>
        <v/>
      </c>
      <c r="G25" s="37">
        <f>SUM(G4:G24)</f>
        <v/>
      </c>
      <c r="H25" s="38" t="n"/>
      <c r="I25" s="39">
        <f>SUM(I4:I24)</f>
        <v/>
      </c>
      <c r="J25" s="40" t="n"/>
    </row>
    <row r="26">
      <c r="A26" s="41" t="n"/>
      <c r="B26" s="42" t="n"/>
      <c r="C26" s="43" t="n"/>
      <c r="D26" s="41" t="n"/>
      <c r="E26" s="41" t="n"/>
      <c r="F26" s="41" t="n"/>
      <c r="G26" s="41" t="n"/>
      <c r="H26" s="41" t="n"/>
      <c r="I26" s="2" t="n"/>
      <c r="J26" s="2" t="n"/>
    </row>
    <row r="27">
      <c r="A27" s="44" t="inlineStr">
        <is>
          <t xml:space="preserve">Поступление от </t>
        </is>
      </c>
      <c r="B27" s="45" t="inlineStr">
        <is>
          <t>сумма</t>
        </is>
      </c>
      <c r="C27" s="46" t="inlineStr">
        <is>
          <t>примечание</t>
        </is>
      </c>
      <c r="D27" s="47" t="n"/>
      <c r="E27" s="41" t="n"/>
      <c r="F27" s="41" t="n"/>
      <c r="G27" s="41" t="n"/>
      <c r="H27" s="41" t="n"/>
      <c r="I27" s="2" t="n"/>
      <c r="J27" s="2" t="n"/>
    </row>
    <row r="28">
      <c r="A28" s="48" t="n"/>
      <c r="B28" s="49" t="n"/>
      <c r="C28" s="50" t="n"/>
      <c r="D28" s="47" t="n"/>
      <c r="E28" s="41" t="n"/>
      <c r="F28" s="41" t="n"/>
      <c r="G28" s="41" t="n"/>
      <c r="H28" s="41" t="n"/>
      <c r="I28" s="2" t="n"/>
      <c r="J28" s="2" t="n"/>
    </row>
    <row r="29">
      <c r="A29" s="29" t="n"/>
      <c r="B29" s="51" t="n"/>
      <c r="C29" s="52" t="n"/>
      <c r="D29" s="47" t="n"/>
      <c r="E29" s="41" t="n"/>
      <c r="F29" s="41" t="n"/>
      <c r="G29" s="41" t="n"/>
      <c r="H29" s="41" t="n"/>
      <c r="I29" s="2" t="n"/>
      <c r="J29" s="2" t="n"/>
    </row>
    <row r="30">
      <c r="A30" s="53" t="inlineStr">
        <is>
          <t>Касса</t>
        </is>
      </c>
      <c r="B30" s="54" t="n"/>
      <c r="C30" s="54" t="n"/>
      <c r="D30" s="54" t="n"/>
      <c r="E30" s="54" t="n"/>
      <c r="F30" s="54" t="n"/>
      <c r="G30" s="54" t="n"/>
      <c r="H30" s="54" t="n"/>
      <c r="I30" s="2" t="n"/>
      <c r="J30" s="2" t="n"/>
    </row>
    <row r="31">
      <c r="A31" s="55" t="inlineStr">
        <is>
          <t>Производство</t>
        </is>
      </c>
      <c r="B31" s="56" t="n"/>
      <c r="C31" s="56" t="n"/>
      <c r="D31" s="47" t="n"/>
      <c r="E31" s="55" t="inlineStr">
        <is>
          <t xml:space="preserve">Бухгалтерия </t>
        </is>
      </c>
      <c r="F31" s="56" t="n"/>
      <c r="G31" s="56" t="n"/>
      <c r="H31" s="47" t="n"/>
      <c r="I31" s="57" t="n"/>
      <c r="J31" s="58" t="n"/>
    </row>
    <row r="32">
      <c r="A32" s="59" t="inlineStr">
        <is>
          <t>Остаток на начало дня:</t>
        </is>
      </c>
      <c r="B32" s="60" t="n"/>
      <c r="C32" s="61" t="n"/>
      <c r="D32" s="62" t="n">
        <v>26848.24999999996</v>
      </c>
      <c r="E32" s="59" t="inlineStr">
        <is>
          <t>Остаток на начало дня:</t>
        </is>
      </c>
      <c r="F32" s="63" t="n"/>
      <c r="G32" s="61" t="n"/>
      <c r="H32" s="64" t="n">
        <v>0</v>
      </c>
      <c r="I32" s="65" t="n"/>
      <c r="J32" s="2" t="n"/>
    </row>
    <row r="33">
      <c r="A33" s="66" t="inlineStr">
        <is>
          <t>поступление от Пивкофф</t>
        </is>
      </c>
      <c r="B33" s="67" t="n"/>
      <c r="C33" s="68" t="n">
        <v>11430</v>
      </c>
      <c r="D33" s="68" t="n">
        <v>11430</v>
      </c>
      <c r="E33" s="69" t="n"/>
      <c r="F33" s="70" t="n"/>
      <c r="G33" s="71" t="n"/>
      <c r="H33" s="72" t="n"/>
      <c r="I33" s="313" t="n"/>
      <c r="J33" s="313" t="n"/>
    </row>
    <row r="34">
      <c r="A34" s="66" t="n"/>
      <c r="B34" s="67" t="n"/>
      <c r="C34" s="68" t="n"/>
      <c r="D34" s="68" t="n"/>
      <c r="E34" s="69" t="n"/>
      <c r="F34" s="70" t="n"/>
      <c r="G34" s="71" t="n"/>
      <c r="H34" s="72" t="n"/>
      <c r="I34" s="313" t="n"/>
      <c r="J34" s="2" t="n"/>
    </row>
    <row r="35">
      <c r="A35" s="66" t="n"/>
      <c r="B35" s="67" t="n"/>
      <c r="C35" s="68" t="n"/>
      <c r="D35" s="68" t="n"/>
      <c r="E35" s="69" t="n"/>
      <c r="F35" s="70" t="n"/>
      <c r="G35" s="71" t="n"/>
      <c r="H35" s="72">
        <f>F35*G35</f>
        <v/>
      </c>
      <c r="I35" s="2" t="n"/>
      <c r="J35" s="2" t="n"/>
    </row>
    <row r="36">
      <c r="A36" s="66" t="n"/>
      <c r="B36" s="67" t="n"/>
      <c r="C36" s="68" t="n"/>
      <c r="D36" s="68" t="n"/>
      <c r="E36" s="69" t="n"/>
      <c r="F36" s="70" t="n"/>
      <c r="G36" s="71" t="n"/>
      <c r="H36" s="72">
        <f>F36*G36</f>
        <v/>
      </c>
      <c r="I36" s="2" t="n"/>
      <c r="J36" s="2" t="n"/>
    </row>
    <row r="37">
      <c r="A37" s="66" t="n"/>
      <c r="B37" s="73" t="n"/>
      <c r="C37" s="74" t="n"/>
      <c r="D37" s="75" t="n"/>
      <c r="E37" s="69" t="n"/>
      <c r="F37" s="70" t="n"/>
      <c r="G37" s="71" t="n"/>
      <c r="H37" s="72">
        <f>F37*G37</f>
        <v/>
      </c>
      <c r="I37" s="2" t="n"/>
      <c r="J37" s="2" t="n"/>
    </row>
    <row r="38">
      <c r="A38" s="76" t="n"/>
      <c r="B38" s="67" t="n"/>
      <c r="C38" s="68" t="n"/>
      <c r="D38" s="75" t="n"/>
      <c r="E38" s="77" t="inlineStr">
        <is>
          <t>Итого приход:</t>
        </is>
      </c>
      <c r="F38" s="78" t="n"/>
      <c r="G38" s="79" t="n"/>
      <c r="H38" s="80">
        <f>SUM(H33:H34)</f>
        <v/>
      </c>
      <c r="I38" s="2" t="n"/>
      <c r="J38" s="2" t="n"/>
    </row>
    <row r="39">
      <c r="A39" s="76" t="inlineStr">
        <is>
          <t>Расход за день:</t>
        </is>
      </c>
      <c r="B39" s="67" t="n"/>
      <c r="C39" s="79" t="n"/>
      <c r="D39" s="80" t="n"/>
      <c r="E39" s="76" t="inlineStr">
        <is>
          <t>Расход за день:</t>
        </is>
      </c>
      <c r="F39" s="78" t="n"/>
      <c r="G39" s="79" t="n"/>
      <c r="H39" s="80" t="n"/>
      <c r="I39" s="2" t="n"/>
      <c r="J39" s="2" t="n"/>
    </row>
    <row r="40">
      <c r="A40" s="81" t="inlineStr">
        <is>
          <t>манипулятор (разгрузка плит под мусорный контейнера)</t>
        </is>
      </c>
      <c r="B40" s="67" t="n"/>
      <c r="C40" s="68" t="n">
        <v>7000</v>
      </c>
      <c r="D40" s="68" t="n">
        <v>7000</v>
      </c>
      <c r="E40" s="76" t="n"/>
      <c r="F40" s="78" t="n"/>
      <c r="G40" s="79" t="n"/>
      <c r="H40" s="72" t="n"/>
      <c r="I40" s="2" t="n"/>
      <c r="J40" s="2" t="n"/>
    </row>
    <row r="41">
      <c r="A41" s="81" t="inlineStr">
        <is>
          <t>командировка в Москву за весовым дозатором для тарелок (Третьяков Евгений)</t>
        </is>
      </c>
      <c r="B41" s="67" t="n"/>
      <c r="C41" s="68" t="n">
        <v>5000</v>
      </c>
      <c r="D41" s="68" t="n">
        <v>5000</v>
      </c>
      <c r="E41" s="76" t="n"/>
      <c r="F41" s="78" t="n"/>
      <c r="G41" s="79" t="n"/>
      <c r="H41" s="72">
        <f>F41*G41</f>
        <v/>
      </c>
      <c r="I41" s="2" t="n"/>
      <c r="J41" s="2" t="n"/>
    </row>
    <row r="42">
      <c r="A42" s="81" t="inlineStr">
        <is>
          <t>уборка</t>
        </is>
      </c>
      <c r="B42" s="67" t="n"/>
      <c r="C42" s="68" t="n">
        <v>2000</v>
      </c>
      <c r="D42" s="68" t="n">
        <v>2000</v>
      </c>
      <c r="E42" s="76" t="n"/>
      <c r="F42" s="78" t="n"/>
      <c r="G42" s="79" t="n"/>
      <c r="H42" s="72">
        <f>F42*G42</f>
        <v/>
      </c>
      <c r="I42" s="2" t="n"/>
      <c r="J42" s="2" t="n"/>
    </row>
    <row r="43">
      <c r="A43" s="69" t="n"/>
      <c r="B43" s="67" t="n"/>
      <c r="C43" s="68" t="n"/>
      <c r="D43" s="74" t="n"/>
      <c r="E43" s="76" t="n"/>
      <c r="F43" s="78" t="n"/>
      <c r="G43" s="79" t="n"/>
      <c r="H43" s="72">
        <f>F43*G43</f>
        <v/>
      </c>
      <c r="I43" s="2" t="n"/>
      <c r="J43" s="2" t="n"/>
    </row>
    <row r="44">
      <c r="A44" s="69" t="n"/>
      <c r="B44" s="67" t="n"/>
      <c r="C44" s="68" t="n"/>
      <c r="D44" s="74" t="n"/>
      <c r="E44" s="76" t="n"/>
      <c r="F44" s="78" t="n"/>
      <c r="G44" s="79" t="n"/>
      <c r="H44" s="72">
        <f>F44*G44</f>
        <v/>
      </c>
      <c r="I44" s="2" t="n"/>
      <c r="J44" s="2" t="n"/>
    </row>
    <row r="45">
      <c r="A45" s="69" t="n"/>
      <c r="B45" s="67" t="n"/>
      <c r="C45" s="68" t="n"/>
      <c r="D45" s="74" t="n"/>
      <c r="E45" s="76" t="n"/>
      <c r="F45" s="78" t="n"/>
      <c r="G45" s="79" t="n"/>
      <c r="H45" s="72">
        <f>F45*G45</f>
        <v/>
      </c>
      <c r="I45" s="2" t="n"/>
      <c r="J45" s="2" t="n"/>
    </row>
    <row r="46">
      <c r="A46" s="69" t="n"/>
      <c r="B46" s="67" t="n"/>
      <c r="C46" s="68" t="n"/>
      <c r="D46" s="75" t="n"/>
      <c r="E46" s="76" t="n"/>
      <c r="F46" s="78" t="n"/>
      <c r="G46" s="79" t="n"/>
      <c r="H46" s="72">
        <f>F46*G46</f>
        <v/>
      </c>
      <c r="I46" s="313" t="n"/>
      <c r="J46" s="2" t="n"/>
    </row>
    <row r="47">
      <c r="A47" s="69" t="n"/>
      <c r="B47" s="67" t="n"/>
      <c r="C47" s="68" t="n"/>
      <c r="D47" s="75" t="n"/>
      <c r="E47" s="76" t="n"/>
      <c r="F47" s="78" t="n"/>
      <c r="G47" s="79" t="n"/>
      <c r="H47" s="72">
        <f>F47*G47</f>
        <v/>
      </c>
      <c r="I47" s="2" t="n"/>
      <c r="J47" s="2" t="n"/>
    </row>
    <row r="48">
      <c r="A48" s="69" t="n"/>
      <c r="B48" s="67" t="n"/>
      <c r="C48" s="68" t="n"/>
      <c r="D48" s="75" t="n"/>
      <c r="E48" s="76" t="n"/>
      <c r="F48" s="78" t="n"/>
      <c r="G48" s="79" t="n"/>
      <c r="H48" s="72">
        <f>F48*G48</f>
        <v/>
      </c>
      <c r="I48" s="2" t="n"/>
      <c r="J48" s="2" t="n"/>
    </row>
    <row r="49">
      <c r="A49" s="83" t="n"/>
      <c r="B49" s="67" t="n"/>
      <c r="C49" s="68" t="n"/>
      <c r="D49" s="84" t="n"/>
      <c r="E49" s="85" t="inlineStr">
        <is>
          <t>Итого расход:</t>
        </is>
      </c>
      <c r="F49" s="78" t="n"/>
      <c r="G49" s="79" t="n"/>
      <c r="H49" s="72">
        <f>F49*G49</f>
        <v/>
      </c>
      <c r="I49" s="86" t="n"/>
      <c r="J49" s="86" t="n"/>
    </row>
    <row r="50">
      <c r="A50" s="87" t="inlineStr">
        <is>
          <t>Остаток на конец дня:</t>
        </is>
      </c>
      <c r="B50" s="88" t="n"/>
      <c r="C50" s="89" t="n"/>
      <c r="D50" s="302">
        <f>SUM(D33,D34:D37,D32,)-SUM(D40:D49,)</f>
        <v/>
      </c>
      <c r="E50" s="311" t="inlineStr">
        <is>
          <t>Остаток на конец дня:</t>
        </is>
      </c>
      <c r="F50" s="356" t="n"/>
      <c r="G50" s="312" t="n"/>
      <c r="H50" s="309">
        <f>SUM(H32+H38-H49)</f>
        <v/>
      </c>
      <c r="I50" s="289" t="inlineStr">
        <is>
          <t>Редакция остатка на конец дня</t>
        </is>
      </c>
      <c r="J50" s="289" t="n"/>
    </row>
    <row r="51">
      <c r="A51" s="93" t="n"/>
      <c r="B51" s="94" t="n"/>
      <c r="C51" s="43" t="n"/>
      <c r="D51" s="41" t="n"/>
      <c r="E51" s="41" t="n"/>
      <c r="F51" s="41" t="n"/>
      <c r="G51" s="2" t="n"/>
      <c r="H51" s="2" t="n"/>
      <c r="I51" s="2" t="n"/>
      <c r="J51" s="2" t="n"/>
    </row>
    <row r="52">
      <c r="A52" s="95" t="inlineStr">
        <is>
          <t>Расчётный счёт</t>
        </is>
      </c>
      <c r="B52" s="54" t="n"/>
      <c r="C52" s="54" t="n"/>
      <c r="D52" s="54" t="n"/>
      <c r="E52" s="54" t="n"/>
      <c r="F52" s="54" t="n"/>
      <c r="G52" s="54" t="n"/>
      <c r="H52" s="54" t="n"/>
      <c r="I52" s="2" t="n"/>
      <c r="J52" s="2" t="n"/>
    </row>
    <row r="53">
      <c r="A53" s="96" t="inlineStr">
        <is>
          <t>ВТБ</t>
        </is>
      </c>
      <c r="B53" s="279" t="inlineStr">
        <is>
          <t>ВТБ</t>
        </is>
      </c>
      <c r="C53" s="279" t="n"/>
      <c r="D53" s="47" t="n"/>
      <c r="E53" s="97" t="inlineStr">
        <is>
          <t>Альфабанк</t>
        </is>
      </c>
      <c r="F53" s="56" t="n"/>
      <c r="G53" s="56" t="n"/>
      <c r="H53" s="47" t="n"/>
      <c r="I53" s="330" t="inlineStr">
        <is>
          <t>Уралсиб</t>
        </is>
      </c>
    </row>
    <row r="54">
      <c r="A54" s="98" t="inlineStr">
        <is>
          <t>Остаток на начало дня:</t>
        </is>
      </c>
      <c r="B54" s="280" t="n"/>
      <c r="C54" s="290" t="n">
        <v>1096695.35</v>
      </c>
      <c r="D54" s="56" t="n"/>
      <c r="E54" s="100" t="inlineStr">
        <is>
          <t>Остаток на начало дня:</t>
        </is>
      </c>
      <c r="F54" s="47" t="n"/>
      <c r="G54" s="101" t="n">
        <v>2428.5</v>
      </c>
      <c r="H54" s="47" t="n"/>
      <c r="I54" s="330" t="inlineStr">
        <is>
          <t>Остаток на начало дня :</t>
        </is>
      </c>
      <c r="J54" s="332" t="n"/>
    </row>
    <row r="55">
      <c r="A55" s="102" t="inlineStr">
        <is>
          <t>Поступление</t>
        </is>
      </c>
      <c r="B55" s="47" t="n"/>
      <c r="C55" s="102" t="inlineStr">
        <is>
          <t>Расход</t>
        </is>
      </c>
      <c r="D55" s="47" t="n"/>
      <c r="E55" s="102" t="inlineStr">
        <is>
          <t>Поступление</t>
        </is>
      </c>
      <c r="F55" s="47" t="n"/>
      <c r="G55" s="102" t="inlineStr">
        <is>
          <t>Расход</t>
        </is>
      </c>
      <c r="H55" s="47" t="n"/>
      <c r="I55" s="334" t="inlineStr">
        <is>
          <t xml:space="preserve">Поступление </t>
        </is>
      </c>
      <c r="J55" s="332" t="n"/>
    </row>
    <row r="56">
      <c r="A56" s="103" t="inlineStr">
        <is>
          <t>от кого</t>
        </is>
      </c>
      <c r="B56" s="103" t="inlineStr">
        <is>
          <t>сумма</t>
        </is>
      </c>
      <c r="C56" s="103" t="inlineStr">
        <is>
          <t>кому</t>
        </is>
      </c>
      <c r="D56" s="103" t="inlineStr">
        <is>
          <t>сумма</t>
        </is>
      </c>
      <c r="E56" s="103" t="inlineStr">
        <is>
          <t>от кого</t>
        </is>
      </c>
      <c r="F56" s="103" t="inlineStr">
        <is>
          <t>сумма</t>
        </is>
      </c>
      <c r="G56" s="336" t="inlineStr">
        <is>
          <t xml:space="preserve">кому </t>
        </is>
      </c>
      <c r="H56" s="103" t="inlineStr">
        <is>
          <t>сумма</t>
        </is>
      </c>
      <c r="I56" s="334" t="inlineStr">
        <is>
          <t xml:space="preserve">от кого </t>
        </is>
      </c>
      <c r="J56" s="334" t="inlineStr">
        <is>
          <t xml:space="preserve">сумма </t>
        </is>
      </c>
    </row>
    <row r="57">
      <c r="A57" s="104" t="inlineStr">
        <is>
          <t xml:space="preserve">Проценты по депозиту </t>
        </is>
      </c>
      <c r="B57" s="281" t="n">
        <v>563.01</v>
      </c>
      <c r="C57" s="106" t="inlineStr">
        <is>
          <t>комиссия банка</t>
        </is>
      </c>
      <c r="D57" s="107" t="n">
        <v>2000</v>
      </c>
      <c r="E57" s="108" t="n"/>
      <c r="F57" s="109" t="n"/>
      <c r="G57" s="110" t="n"/>
      <c r="H57" s="109" t="n"/>
      <c r="I57" s="338" t="n"/>
      <c r="J57" s="339" t="n"/>
    </row>
    <row r="58">
      <c r="A58" s="282" t="inlineStr">
        <is>
          <t xml:space="preserve">ООО Золотой снек за арахис </t>
        </is>
      </c>
      <c r="B58" s="281" t="n">
        <v>98000</v>
      </c>
      <c r="C58" s="112" t="inlineStr">
        <is>
          <t xml:space="preserve">ООО Интернет решения  за трос для насоса </t>
        </is>
      </c>
      <c r="D58" s="107" t="n">
        <v>2236</v>
      </c>
      <c r="E58" s="110" t="n"/>
      <c r="F58" s="109" t="n"/>
      <c r="G58" s="110" t="n"/>
      <c r="H58" s="109" t="n"/>
      <c r="I58" s="338" t="n"/>
      <c r="J58" s="338" t="n"/>
    </row>
    <row r="59">
      <c r="A59" s="111" t="n"/>
      <c r="B59" s="283" t="n"/>
      <c r="C59" s="113" t="inlineStr">
        <is>
          <t>ООО Интернет решения  за лакмусовая бумага ,ролик с подшипником</t>
        </is>
      </c>
      <c r="D59" s="107" t="n">
        <v>2499</v>
      </c>
      <c r="E59" s="110" t="n"/>
      <c r="F59" s="109" t="n"/>
      <c r="G59" s="114" t="n"/>
      <c r="H59" s="109" t="n"/>
      <c r="I59" s="338" t="n"/>
      <c r="J59" s="338" t="n"/>
    </row>
    <row r="60">
      <c r="A60" s="115" t="n"/>
      <c r="B60" s="283" t="n"/>
      <c r="C60" s="113" t="inlineStr">
        <is>
          <t xml:space="preserve">ООО Интернет решения за перчатки </t>
        </is>
      </c>
      <c r="D60" s="107" t="n">
        <v>11290</v>
      </c>
      <c r="E60" s="108" t="n"/>
      <c r="F60" s="116" t="n"/>
      <c r="G60" s="114" t="n"/>
      <c r="H60" s="109" t="n"/>
      <c r="I60" s="338" t="n"/>
      <c r="J60" s="338" t="n"/>
    </row>
    <row r="61">
      <c r="A61" s="117" t="n"/>
      <c r="B61" s="283" t="n"/>
      <c r="C61" s="113" t="inlineStr">
        <is>
          <t xml:space="preserve">ИП Шамандрина  за москитные сетки </t>
        </is>
      </c>
      <c r="D61" s="107" t="n">
        <v>14900</v>
      </c>
      <c r="E61" s="118" t="n"/>
      <c r="F61" s="119" t="n"/>
      <c r="G61" s="120" t="n"/>
      <c r="H61" s="120" t="n"/>
      <c r="I61" s="338" t="n"/>
      <c r="J61" s="338" t="n"/>
    </row>
    <row r="62">
      <c r="A62" s="117" t="n"/>
      <c r="B62" s="283" t="n"/>
      <c r="C62" s="113" t="inlineStr">
        <is>
          <t xml:space="preserve">ООО Офисмаг за канцтовары </t>
        </is>
      </c>
      <c r="D62" s="107" t="n">
        <v>28000.98</v>
      </c>
      <c r="E62" s="118" t="n"/>
      <c r="F62" s="119" t="n"/>
      <c r="G62" s="121" t="n"/>
      <c r="H62" s="120" t="n"/>
      <c r="I62" s="338" t="n"/>
      <c r="J62" s="338" t="n"/>
    </row>
    <row r="63">
      <c r="A63" s="122" t="n"/>
      <c r="B63" s="283" t="n"/>
      <c r="C63" s="113" t="inlineStr">
        <is>
          <t xml:space="preserve">ООО Спецстройгрупп ремонт электрооборудования </t>
        </is>
      </c>
      <c r="D63" s="107" t="n">
        <v>30000</v>
      </c>
      <c r="E63" s="118" t="n"/>
      <c r="F63" s="118" t="n"/>
      <c r="G63" s="123" t="n"/>
      <c r="H63" s="120" t="n"/>
      <c r="I63" s="338" t="n"/>
      <c r="J63" s="338" t="n"/>
    </row>
    <row r="64">
      <c r="A64" s="124" t="n"/>
      <c r="B64" s="284" t="n"/>
      <c r="C64" s="113" t="inlineStr">
        <is>
          <t xml:space="preserve">Лаконт Александр   разработка дизайна сайта </t>
        </is>
      </c>
      <c r="D64" s="107" t="n">
        <v>100000</v>
      </c>
      <c r="E64" s="124" t="n"/>
      <c r="F64" s="118" t="n"/>
      <c r="G64" s="110" t="n"/>
      <c r="H64" s="120" t="n"/>
      <c r="I64" s="338" t="n"/>
      <c r="J64" s="338" t="n"/>
    </row>
    <row r="65">
      <c r="A65" s="124" t="n"/>
      <c r="B65" s="285" t="n"/>
      <c r="C65" s="112" t="inlineStr">
        <is>
          <t xml:space="preserve">Единый налоговый платеж </t>
        </is>
      </c>
      <c r="D65" s="126" t="n">
        <v>126031</v>
      </c>
      <c r="E65" s="124" t="n"/>
      <c r="F65" s="118" t="n"/>
      <c r="G65" s="110" t="n"/>
      <c r="H65" s="120" t="n"/>
      <c r="I65" s="338" t="n"/>
      <c r="J65" s="338" t="n"/>
    </row>
    <row r="66">
      <c r="A66" s="124" t="n"/>
      <c r="B66" s="285" t="n"/>
      <c r="C66" s="112" t="inlineStr">
        <is>
          <t>Размещение средств на депозите 878000</t>
        </is>
      </c>
      <c r="D66" s="126" t="n">
        <v>0</v>
      </c>
      <c r="E66" s="124" t="n"/>
      <c r="F66" s="118" t="n"/>
      <c r="G66" s="110" t="n"/>
      <c r="H66" s="120" t="n"/>
      <c r="I66" s="338" t="n"/>
      <c r="J66" s="338" t="n"/>
    </row>
    <row r="67">
      <c r="A67" s="124" t="n"/>
      <c r="B67" s="285" t="n"/>
      <c r="C67" s="112" t="n"/>
      <c r="D67" s="126" t="n"/>
      <c r="E67" s="124" t="n"/>
      <c r="F67" s="118" t="n"/>
      <c r="G67" s="110" t="n"/>
      <c r="H67" s="120" t="n"/>
      <c r="I67" s="338" t="n"/>
      <c r="J67" s="338" t="n"/>
    </row>
    <row r="68">
      <c r="A68" s="124" t="n"/>
      <c r="B68" s="285" t="n"/>
      <c r="C68" s="112" t="n"/>
      <c r="D68" s="343" t="n"/>
      <c r="E68" s="124" t="n"/>
      <c r="F68" s="118" t="n"/>
      <c r="G68" s="110" t="n"/>
      <c r="H68" s="120" t="n"/>
      <c r="I68" s="338" t="n"/>
      <c r="J68" s="338" t="n"/>
    </row>
    <row r="69">
      <c r="A69" s="124" t="n"/>
      <c r="B69" s="125" t="n"/>
      <c r="C69" s="110" t="n"/>
      <c r="D69" s="126" t="n"/>
      <c r="E69" s="124" t="n"/>
      <c r="F69" s="118" t="n"/>
      <c r="G69" s="110" t="n"/>
      <c r="H69" s="120" t="n"/>
      <c r="I69" s="338" t="n"/>
      <c r="J69" s="338" t="n"/>
    </row>
    <row r="70">
      <c r="A70" s="127" t="n"/>
      <c r="B70" s="128">
        <f>SUM(B57:B69)+C54</f>
        <v/>
      </c>
      <c r="C70" s="129" t="n"/>
      <c r="D70" s="128">
        <f>SUM(D57:D69)</f>
        <v/>
      </c>
      <c r="E70" s="130" t="n"/>
      <c r="F70" s="130">
        <f>SUM(F57:F69)</f>
        <v/>
      </c>
      <c r="G70" s="130" t="n"/>
      <c r="H70" s="130">
        <f>SUM(H57:H69)</f>
        <v/>
      </c>
      <c r="I70" s="344" t="n"/>
      <c r="J70" s="345" t="n"/>
    </row>
    <row r="71">
      <c r="A71" s="131" t="inlineStr">
        <is>
          <t>Остаток на конец дня:</t>
        </is>
      </c>
      <c r="B71" s="132">
        <f>B70-D70</f>
        <v/>
      </c>
      <c r="C71" s="56" t="n"/>
      <c r="D71" s="47" t="n"/>
      <c r="E71" s="100" t="inlineStr">
        <is>
          <t>Остаток на конец дня:</t>
        </is>
      </c>
      <c r="F71" s="101" t="n">
        <v>2428.5</v>
      </c>
      <c r="G71" s="56" t="n"/>
      <c r="H71" s="47" t="n"/>
      <c r="I71" s="330" t="inlineStr">
        <is>
          <t xml:space="preserve">Остаток на конец дня </t>
        </is>
      </c>
      <c r="J71" s="344" t="n"/>
    </row>
    <row r="72">
      <c r="A72" s="133" t="inlineStr">
        <is>
          <t>ИТОГО:</t>
        </is>
      </c>
      <c r="B72" s="47" t="n"/>
      <c r="C72" s="134" t="n">
        <v>880729.88</v>
      </c>
      <c r="D72" s="56" t="n"/>
      <c r="E72" s="56" t="n"/>
      <c r="F72" s="56" t="n"/>
      <c r="G72" s="56" t="n"/>
      <c r="H72" s="47" t="n"/>
      <c r="I72" s="257" t="n"/>
      <c r="J72" s="257" t="n"/>
    </row>
    <row r="73">
      <c r="A73" s="41" t="n"/>
      <c r="B73" s="94" t="n"/>
      <c r="C73" s="43" t="n"/>
      <c r="D73" s="41" t="n"/>
      <c r="E73" s="41" t="n"/>
      <c r="F73" s="41" t="n"/>
      <c r="G73" s="41" t="n"/>
      <c r="H73" s="93" t="n"/>
      <c r="I73" s="135" t="n"/>
      <c r="J73" s="135" t="n"/>
    </row>
    <row r="74">
      <c r="A74" s="136" t="n"/>
      <c r="B74" s="137" t="inlineStr">
        <is>
          <t>Реализация по безналичному расчёту</t>
        </is>
      </c>
      <c r="D74" s="2" t="n"/>
      <c r="E74" s="41" t="n"/>
      <c r="F74" s="41" t="n"/>
      <c r="G74" s="41" t="n"/>
      <c r="H74" s="138" t="n"/>
      <c r="I74" s="2" t="n"/>
      <c r="J74" s="2" t="n"/>
    </row>
    <row r="75">
      <c r="A75" s="139" t="inlineStr">
        <is>
          <t>Контрагент</t>
        </is>
      </c>
      <c r="B75" s="140" t="inlineStr">
        <is>
          <t>поставщик</t>
        </is>
      </c>
      <c r="C75" s="141" t="inlineStr">
        <is>
          <t>наименование</t>
        </is>
      </c>
      <c r="D75" s="142" t="inlineStr">
        <is>
          <t>вес упаковки, тарелки</t>
        </is>
      </c>
      <c r="E75" s="143" t="inlineStr">
        <is>
          <t>кол.-во пакетов, коробок</t>
        </is>
      </c>
      <c r="F75" s="144" t="inlineStr">
        <is>
          <t>кол-во мест в коробке/упаковке</t>
        </is>
      </c>
      <c r="G75" s="145" t="inlineStr">
        <is>
          <t>общий вес, кг.</t>
        </is>
      </c>
      <c r="H75" s="146" t="inlineStr">
        <is>
          <t>цена пакет, тарелка</t>
        </is>
      </c>
      <c r="I75" s="147" t="inlineStr">
        <is>
          <t>сумма</t>
        </is>
      </c>
      <c r="J75" s="348" t="inlineStr">
        <is>
          <t>Комментарий</t>
        </is>
      </c>
    </row>
    <row r="76">
      <c r="A76" s="244" t="inlineStr">
        <is>
          <t>ООО Золотой СНЕК</t>
        </is>
      </c>
      <c r="B76" s="267" t="inlineStr">
        <is>
          <t>Снекпром</t>
        </is>
      </c>
      <c r="C76" s="268" t="inlineStr">
        <is>
          <t>Арахис в хрустящей корочке МИКС 1 кг/10 шт</t>
        </is>
      </c>
      <c r="D76" s="269" t="n">
        <v>1</v>
      </c>
      <c r="E76" s="51" t="n">
        <v>50</v>
      </c>
      <c r="F76" s="51" t="n">
        <v>10</v>
      </c>
      <c r="G76" s="349">
        <f>E76*F76</f>
        <v/>
      </c>
      <c r="H76" s="350" t="n">
        <v>190</v>
      </c>
      <c r="I76" s="350">
        <f>G76*H76</f>
        <v/>
      </c>
      <c r="J76" s="351" t="n"/>
    </row>
    <row r="77">
      <c r="A77" s="244" t="n"/>
      <c r="B77" s="267" t="n"/>
      <c r="C77" s="268" t="inlineStr">
        <is>
          <t>Арахис в хрустящей корочке Васаби 1 кг/10 шт</t>
        </is>
      </c>
      <c r="D77" s="269" t="n">
        <v>1</v>
      </c>
      <c r="E77" s="51" t="n">
        <v>100</v>
      </c>
      <c r="F77" s="51" t="n">
        <v>10</v>
      </c>
      <c r="G77" s="349">
        <f>E77*F77</f>
        <v/>
      </c>
      <c r="H77" s="350" t="n">
        <v>190</v>
      </c>
      <c r="I77" s="350">
        <f>G77*H77</f>
        <v/>
      </c>
      <c r="J77" s="352" t="n"/>
    </row>
    <row r="78">
      <c r="A78" s="244" t="n"/>
      <c r="B78" s="267" t="n"/>
      <c r="C78" s="268" t="inlineStr">
        <is>
          <t>Арахис в хрустящей корочке Сметана зелень 1 кг/10 шт</t>
        </is>
      </c>
      <c r="D78" s="269" t="n">
        <v>1</v>
      </c>
      <c r="E78" s="51" t="n">
        <v>100</v>
      </c>
      <c r="F78" s="51" t="n">
        <v>10</v>
      </c>
      <c r="G78" s="349">
        <f>E78*F78</f>
        <v/>
      </c>
      <c r="H78" s="350" t="n">
        <v>190</v>
      </c>
      <c r="I78" s="350">
        <f>G78*H78</f>
        <v/>
      </c>
      <c r="J78" s="353" t="n"/>
    </row>
    <row r="79">
      <c r="A79" s="244" t="inlineStr">
        <is>
          <t>ООО Элемент Трейд</t>
        </is>
      </c>
      <c r="B79" s="267" t="inlineStr">
        <is>
          <t>Снекпром</t>
        </is>
      </c>
      <c r="C79" s="268" t="inlineStr">
        <is>
          <t>Арахис в хрустящей корочке "Квадромикс", тарелка 200 г</t>
        </is>
      </c>
      <c r="D79" s="269" t="n">
        <v>0.2</v>
      </c>
      <c r="E79" s="51" t="n">
        <v>80</v>
      </c>
      <c r="F79" s="51" t="n">
        <v>18</v>
      </c>
      <c r="G79" s="349">
        <f>F79*E79*D79</f>
        <v/>
      </c>
      <c r="H79" s="350" t="n">
        <v>68</v>
      </c>
      <c r="I79" s="350">
        <f>H79*F79*E79</f>
        <v/>
      </c>
      <c r="J79" s="357" t="inlineStr">
        <is>
          <t>Челябинск</t>
        </is>
      </c>
    </row>
    <row r="80">
      <c r="A80" s="244" t="n"/>
      <c r="B80" s="244" t="n"/>
      <c r="C80" s="268" t="n"/>
      <c r="D80" s="269" t="n"/>
      <c r="E80" s="51" t="n"/>
      <c r="F80" s="51" t="n"/>
      <c r="G80" s="349" t="n"/>
      <c r="H80" s="350" t="n"/>
      <c r="I80" s="350" t="n"/>
      <c r="J80" s="358" t="n"/>
    </row>
    <row r="81">
      <c r="A81" s="244" t="n"/>
      <c r="B81" s="267" t="n"/>
      <c r="C81" s="268" t="n"/>
      <c r="D81" s="269" t="n"/>
      <c r="E81" s="51" t="n"/>
      <c r="F81" s="51" t="n"/>
      <c r="G81" s="349" t="n"/>
      <c r="H81" s="350" t="n"/>
      <c r="I81" s="350" t="n"/>
      <c r="J81" s="351" t="n"/>
    </row>
    <row r="82">
      <c r="A82" s="244" t="n"/>
      <c r="B82" s="244" t="n"/>
      <c r="C82" s="268" t="n"/>
      <c r="D82" s="269" t="n"/>
      <c r="E82" s="51" t="n"/>
      <c r="F82" s="51" t="n"/>
      <c r="G82" s="349" t="n"/>
      <c r="H82" s="350" t="n"/>
      <c r="I82" s="350" t="n"/>
      <c r="J82" s="352" t="n"/>
    </row>
    <row r="83">
      <c r="A83" s="162" t="n"/>
      <c r="B83" s="163" t="n"/>
      <c r="C83" s="164" t="n"/>
      <c r="D83" s="165" t="n"/>
      <c r="E83" s="166" t="n"/>
      <c r="F83" s="167" t="n"/>
      <c r="G83" s="168" t="n"/>
      <c r="H83" s="169" t="n"/>
      <c r="I83" s="170" t="n"/>
      <c r="J83" s="161" t="n"/>
    </row>
    <row r="84">
      <c r="A84" s="162" t="n"/>
      <c r="B84" s="163" t="n"/>
      <c r="C84" s="171" t="n"/>
      <c r="D84" s="153" t="n"/>
      <c r="E84" s="172" t="n"/>
      <c r="F84" s="155" t="n"/>
      <c r="G84" s="168" t="n"/>
      <c r="H84" s="156" t="n"/>
      <c r="I84" s="170" t="n"/>
      <c r="J84" s="161" t="n"/>
    </row>
    <row r="85">
      <c r="A85" s="162" t="n"/>
      <c r="B85" s="163" t="n"/>
      <c r="C85" s="171" t="n"/>
      <c r="D85" s="153" t="n"/>
      <c r="E85" s="172" t="n"/>
      <c r="F85" s="155" t="n"/>
      <c r="G85" s="168" t="n"/>
      <c r="H85" s="156" t="n"/>
      <c r="I85" s="170" t="n"/>
      <c r="J85" s="161" t="n"/>
    </row>
    <row r="86">
      <c r="A86" s="162" t="n"/>
      <c r="B86" s="163" t="n"/>
      <c r="C86" s="171" t="n"/>
      <c r="D86" s="153" t="n"/>
      <c r="E86" s="172" t="n"/>
      <c r="F86" s="155" t="n"/>
      <c r="G86" s="168" t="n"/>
      <c r="H86" s="156" t="n"/>
      <c r="I86" s="170" t="n"/>
      <c r="J86" s="161" t="n"/>
    </row>
    <row r="87">
      <c r="A87" s="162" t="n"/>
      <c r="B87" s="163" t="n"/>
      <c r="C87" s="171" t="n"/>
      <c r="D87" s="153" t="n"/>
      <c r="E87" s="172" t="n"/>
      <c r="F87" s="155" t="n"/>
      <c r="G87" s="168" t="n"/>
      <c r="H87" s="156" t="n"/>
      <c r="I87" s="170" t="n"/>
      <c r="J87" s="161" t="n"/>
    </row>
    <row r="88">
      <c r="A88" s="173" t="n"/>
      <c r="B88" s="174" t="n"/>
      <c r="C88" s="175" t="n"/>
      <c r="D88" s="176" t="n"/>
      <c r="E88" s="177" t="n"/>
      <c r="F88" s="178" t="n"/>
      <c r="G88" s="179" t="n"/>
      <c r="H88" s="180" t="n"/>
      <c r="I88" s="181" t="n"/>
      <c r="J88" s="161" t="n"/>
    </row>
    <row r="89">
      <c r="A89" s="182" t="n"/>
      <c r="B89" s="163" t="n"/>
      <c r="C89" s="183" t="n"/>
      <c r="D89" s="184" t="n"/>
      <c r="E89" s="166" t="n"/>
      <c r="F89" s="167" t="n"/>
      <c r="G89" s="185">
        <f>D89*F89</f>
        <v/>
      </c>
      <c r="H89" s="186" t="n"/>
      <c r="I89" s="186">
        <f>F89*H89*E89</f>
        <v/>
      </c>
      <c r="J89" s="187" t="n"/>
    </row>
    <row r="90">
      <c r="A90" s="182" t="n"/>
      <c r="B90" s="163" t="n"/>
      <c r="C90" s="188" t="n"/>
      <c r="D90" s="189" t="n"/>
      <c r="E90" s="190" t="n"/>
      <c r="F90" s="189" t="n"/>
      <c r="G90" s="185">
        <f>D90*F90</f>
        <v/>
      </c>
      <c r="H90" s="191" t="n"/>
      <c r="I90" s="186">
        <f>F90*H90*E90</f>
        <v/>
      </c>
      <c r="J90" s="187" t="n"/>
    </row>
    <row r="91">
      <c r="A91" s="192" t="inlineStr">
        <is>
          <t>ИТОГО:</t>
        </is>
      </c>
      <c r="B91" s="193" t="n"/>
      <c r="C91" s="194" t="n"/>
      <c r="D91" s="195" t="n"/>
      <c r="E91" s="196">
        <f>SUM(E76:E90)</f>
        <v/>
      </c>
      <c r="F91" s="197">
        <f>SUM(F76:F88)</f>
        <v/>
      </c>
      <c r="G91" s="198">
        <f>SUM(G76:G83)</f>
        <v/>
      </c>
      <c r="H91" s="199" t="n"/>
      <c r="I91" s="199">
        <f>SUM(I76:I84)</f>
        <v/>
      </c>
      <c r="J91" s="200" t="n"/>
    </row>
    <row r="92">
      <c r="A92" s="2" t="n"/>
      <c r="B92" s="94" t="n"/>
      <c r="C92" s="43" t="n"/>
      <c r="D92" s="41" t="n"/>
      <c r="E92" s="41" t="n"/>
      <c r="F92" s="41" t="n"/>
      <c r="G92" s="41" t="n"/>
      <c r="H92" s="2" t="n"/>
      <c r="I92" s="2" t="n"/>
      <c r="J92" s="2" t="n"/>
    </row>
    <row r="93">
      <c r="A93" s="201" t="inlineStr">
        <is>
          <t>реализация Всего касса+безнал:</t>
        </is>
      </c>
      <c r="B93" s="202" t="inlineStr">
        <is>
          <t>кг</t>
        </is>
      </c>
      <c r="C93" s="203" t="inlineStr">
        <is>
          <t>на сумму</t>
        </is>
      </c>
      <c r="D93" s="41" t="n"/>
      <c r="E93" s="41" t="n"/>
      <c r="F93" s="41" t="n"/>
      <c r="G93" s="41" t="n"/>
      <c r="H93" s="2" t="n"/>
      <c r="I93" s="2" t="n"/>
      <c r="J93" s="2" t="n"/>
    </row>
    <row r="94">
      <c r="A94" s="204" t="n"/>
      <c r="B94" s="205">
        <f>E25+G91</f>
        <v/>
      </c>
      <c r="C94" s="206">
        <f>I25+H91+I91</f>
        <v/>
      </c>
      <c r="D94" s="41" t="n"/>
      <c r="E94" s="41" t="n"/>
      <c r="F94" s="41" t="n"/>
      <c r="G94" s="41" t="n"/>
      <c r="H94" s="2" t="n"/>
      <c r="I94" s="2" t="n"/>
      <c r="J94" s="2" t="n"/>
    </row>
    <row r="95">
      <c r="A95" s="207" t="inlineStr">
        <is>
          <t>Услуги оказывают нам (доставка сырья и комплектующих на склад, Товара покупателям)</t>
        </is>
      </c>
      <c r="B95" s="54" t="n"/>
      <c r="C95" s="54" t="n"/>
      <c r="D95" s="54" t="n"/>
      <c r="E95" s="54" t="n"/>
      <c r="F95" s="54" t="n"/>
      <c r="G95" s="54" t="n"/>
      <c r="H95" s="54" t="n"/>
      <c r="I95" s="291" t="n"/>
      <c r="J95" s="58" t="n"/>
    </row>
    <row r="96">
      <c r="A96" s="209" t="inlineStr">
        <is>
          <t>Контрагент</t>
        </is>
      </c>
      <c r="B96" s="210" t="inlineStr">
        <is>
          <t>вид услуги</t>
        </is>
      </c>
      <c r="C96" s="211" t="inlineStr">
        <is>
          <t>Кому / От кого</t>
        </is>
      </c>
      <c r="D96" s="212" t="inlineStr">
        <is>
          <t>наименование</t>
        </is>
      </c>
      <c r="E96" s="213" t="inlineStr">
        <is>
          <t xml:space="preserve">город доставки </t>
        </is>
      </c>
      <c r="F96" s="214" t="inlineStr">
        <is>
          <t>цена</t>
        </is>
      </c>
      <c r="G96" s="213" t="inlineStr">
        <is>
          <t>сумма</t>
        </is>
      </c>
      <c r="H96" s="212" t="inlineStr">
        <is>
          <t>за тонну</t>
        </is>
      </c>
      <c r="I96" s="291" t="n"/>
      <c r="J96" s="58" t="n"/>
    </row>
    <row r="97">
      <c r="A97" s="215" t="inlineStr">
        <is>
          <t>ФМ</t>
        </is>
      </c>
      <c r="B97" s="60" t="inlineStr">
        <is>
          <t>Доставка</t>
        </is>
      </c>
      <c r="C97" s="63" t="inlineStr">
        <is>
          <t>Элемент трейд</t>
        </is>
      </c>
      <c r="D97" s="226" t="n"/>
      <c r="E97" s="317" t="inlineStr">
        <is>
          <t>Челябинск</t>
        </is>
      </c>
      <c r="F97" s="62" t="n">
        <v>6240</v>
      </c>
      <c r="G97" s="218" t="n">
        <v>6240</v>
      </c>
      <c r="H97" s="305" t="n"/>
      <c r="I97" s="291" t="n"/>
      <c r="J97" s="58" t="n"/>
    </row>
    <row r="98">
      <c r="A98" s="215" t="n"/>
      <c r="B98" s="60" t="n"/>
      <c r="C98" s="63" t="n"/>
      <c r="D98" s="226" t="n"/>
      <c r="E98" s="217" t="n"/>
      <c r="F98" s="62" t="n"/>
      <c r="G98" s="218" t="n"/>
      <c r="H98" s="305" t="n"/>
      <c r="I98" s="315" t="n"/>
      <c r="J98" s="58" t="n"/>
    </row>
    <row r="99">
      <c r="A99" s="215" t="n"/>
      <c r="B99" s="60" t="n"/>
      <c r="C99" s="63" t="n"/>
      <c r="D99" s="226" t="n"/>
      <c r="E99" s="217" t="n"/>
      <c r="F99" s="223" t="n"/>
      <c r="G99" s="218" t="n"/>
      <c r="H99" s="305" t="n"/>
      <c r="I99" s="2" t="n"/>
      <c r="J99" s="2" t="n"/>
    </row>
    <row r="100">
      <c r="A100" s="215" t="n"/>
      <c r="B100" s="60" t="n"/>
      <c r="C100" s="63" t="n"/>
      <c r="D100" s="222" t="n"/>
      <c r="E100" s="274" t="n"/>
      <c r="F100" s="223" t="n"/>
      <c r="G100" s="218" t="n"/>
      <c r="H100" s="219" t="n"/>
      <c r="I100" s="2" t="n"/>
      <c r="J100" s="2" t="n"/>
    </row>
    <row r="101">
      <c r="A101" s="215" t="n"/>
      <c r="B101" s="60" t="n"/>
      <c r="C101" s="63" t="n"/>
      <c r="D101" s="226" t="n"/>
      <c r="E101" s="274" t="n"/>
      <c r="F101" s="223" t="n"/>
      <c r="G101" s="218" t="n"/>
      <c r="H101" s="219" t="n"/>
      <c r="I101" s="2" t="n"/>
      <c r="J101" s="2" t="n"/>
    </row>
    <row r="102">
      <c r="A102" s="215" t="n"/>
      <c r="B102" s="60" t="n"/>
      <c r="C102" s="63" t="n"/>
      <c r="D102" s="226" t="n"/>
      <c r="E102" s="227" t="n"/>
      <c r="F102" s="223" t="n"/>
      <c r="G102" s="218">
        <f>F102</f>
        <v/>
      </c>
      <c r="H102" s="219" t="n"/>
      <c r="I102" s="2" t="n"/>
      <c r="J102" s="2" t="n"/>
    </row>
    <row r="103">
      <c r="A103" s="220" t="n"/>
      <c r="B103" s="60" t="n"/>
      <c r="C103" s="221" t="n"/>
      <c r="D103" s="226" t="n"/>
      <c r="E103" s="227" t="n"/>
      <c r="F103" s="223" t="n"/>
      <c r="G103" s="218">
        <f>F103</f>
        <v/>
      </c>
      <c r="H103" s="219" t="n"/>
      <c r="I103" s="2" t="n"/>
      <c r="J103" s="2" t="n"/>
    </row>
    <row r="104">
      <c r="A104" s="220" t="n"/>
      <c r="B104" s="60" t="n"/>
      <c r="C104" s="221" t="n"/>
      <c r="D104" s="226" t="n"/>
      <c r="E104" s="227" t="n"/>
      <c r="F104" s="223" t="n"/>
      <c r="G104" s="218">
        <f>F104</f>
        <v/>
      </c>
      <c r="H104" s="228" t="n"/>
      <c r="I104" s="2" t="n"/>
      <c r="J104" s="2" t="n"/>
    </row>
    <row r="105">
      <c r="A105" s="229" t="inlineStr">
        <is>
          <t>ИТОГО:</t>
        </is>
      </c>
      <c r="B105" s="230" t="n"/>
      <c r="C105" s="231" t="n"/>
      <c r="D105" s="232" t="n"/>
      <c r="E105" s="233">
        <f>SUM(E97:E104)</f>
        <v/>
      </c>
      <c r="F105" s="234" t="n"/>
      <c r="G105" s="235">
        <f>SUM(G97:G104)</f>
        <v/>
      </c>
      <c r="H105" s="235" t="n"/>
      <c r="I105" s="2" t="n"/>
      <c r="J105" s="2" t="n"/>
    </row>
    <row r="106">
      <c r="A106" s="41" t="n"/>
      <c r="B106" s="94" t="n"/>
      <c r="C106" s="43" t="n"/>
      <c r="D106" s="41" t="n"/>
      <c r="E106" s="41" t="n"/>
      <c r="F106" s="41" t="n"/>
      <c r="G106" s="41" t="n"/>
      <c r="H106" s="41" t="n"/>
      <c r="I106" s="2" t="n"/>
      <c r="J106" s="2" t="n"/>
    </row>
    <row r="107">
      <c r="A107" s="236" t="inlineStr">
        <is>
          <t>Услуги оказываем мы</t>
        </is>
      </c>
      <c r="B107" s="54" t="n"/>
      <c r="C107" s="54" t="n"/>
      <c r="D107" s="54" t="n"/>
      <c r="E107" s="54" t="n"/>
      <c r="F107" s="54" t="n"/>
      <c r="G107" s="54" t="n"/>
      <c r="H107" s="54" t="n"/>
      <c r="I107" s="237" t="n"/>
      <c r="J107" s="2" t="n"/>
    </row>
    <row r="108">
      <c r="A108" s="209" t="inlineStr">
        <is>
          <t>Контрагент</t>
        </is>
      </c>
      <c r="B108" s="238" t="inlineStr">
        <is>
          <t>вид услуги</t>
        </is>
      </c>
      <c r="C108" s="239" t="inlineStr">
        <is>
          <t>наименование</t>
        </is>
      </c>
      <c r="D108" s="240" t="inlineStr">
        <is>
          <t>вес, кг, шт</t>
        </is>
      </c>
      <c r="E108" s="240" t="inlineStr">
        <is>
          <t>цена</t>
        </is>
      </c>
      <c r="F108" s="240" t="inlineStr">
        <is>
          <t>сумма</t>
        </is>
      </c>
      <c r="G108" s="213" t="inlineStr">
        <is>
          <t>№УПД</t>
        </is>
      </c>
      <c r="H108" s="213" t="n"/>
      <c r="I108" s="2" t="n"/>
      <c r="J108" s="2" t="n"/>
    </row>
    <row r="109">
      <c r="A109" s="275" t="n"/>
      <c r="B109" s="276" t="n"/>
      <c r="C109" s="243" t="n"/>
      <c r="D109" s="244" t="n"/>
      <c r="E109" s="277" t="n"/>
      <c r="F109" s="278" t="n"/>
      <c r="G109" s="247" t="n"/>
      <c r="H109" s="248" t="n"/>
      <c r="I109" s="2" t="n"/>
      <c r="J109" s="2" t="n"/>
    </row>
    <row r="110">
      <c r="A110" s="249" t="n"/>
      <c r="B110" s="250" t="n"/>
      <c r="C110" s="251" t="n"/>
      <c r="D110" s="252" t="n"/>
      <c r="E110" s="253" t="n"/>
      <c r="F110" s="254">
        <f>D110*E110</f>
        <v/>
      </c>
      <c r="G110" s="255" t="n"/>
      <c r="H110" s="256" t="n"/>
      <c r="I110" s="2" t="n"/>
      <c r="J110" s="2" t="n"/>
    </row>
    <row r="111">
      <c r="A111" s="257" t="n"/>
      <c r="B111" s="258" t="n"/>
      <c r="C111" s="257" t="n"/>
      <c r="D111" s="257" t="n"/>
      <c r="E111" s="257" t="n"/>
      <c r="F111" s="254">
        <f>D111*E111</f>
        <v/>
      </c>
      <c r="G111" s="257" t="n"/>
      <c r="H111" s="257" t="n"/>
      <c r="I111" s="2" t="n"/>
      <c r="J111" s="2" t="n"/>
    </row>
    <row r="112">
      <c r="A112" s="249" t="n"/>
      <c r="B112" s="258" t="n"/>
      <c r="C112" s="257" t="n"/>
      <c r="D112" s="259" t="n"/>
      <c r="E112" s="257" t="n"/>
      <c r="F112" s="260" t="n"/>
      <c r="G112" s="257" t="n"/>
      <c r="H112" s="257" t="n"/>
      <c r="I112" s="2" t="n"/>
      <c r="J112" s="2" t="n"/>
    </row>
    <row r="113">
      <c r="A113" s="2" t="n"/>
      <c r="B113" s="261" t="n"/>
      <c r="C113" s="2" t="n"/>
      <c r="D113" s="2" t="n"/>
      <c r="E113" s="2" t="n"/>
      <c r="F113" s="262" t="n"/>
      <c r="G113" s="2" t="n"/>
      <c r="H113" s="2" t="n"/>
      <c r="I113" s="263" t="n"/>
      <c r="J113" s="264" t="n"/>
    </row>
  </sheetData>
  <mergeCells count="10">
    <mergeCell ref="A1:J1"/>
    <mergeCell ref="J76:J77"/>
    <mergeCell ref="A30:H30"/>
    <mergeCell ref="I54:J54"/>
    <mergeCell ref="A95:H95"/>
    <mergeCell ref="I55:J55"/>
    <mergeCell ref="A107:H107"/>
    <mergeCell ref="A52:H52"/>
    <mergeCell ref="A2:J2"/>
    <mergeCell ref="J81:J8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16.125" customWidth="1" min="6" max="6"/>
    <col width="9.625" customWidth="1" min="7" max="7"/>
    <col width="11.125" customWidth="1" min="8" max="8"/>
    <col width="18.2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n"/>
      <c r="C4" s="268" t="n"/>
      <c r="D4" s="269" t="n"/>
      <c r="E4" s="17" t="n"/>
      <c r="F4" s="17" t="n"/>
      <c r="G4" s="270" t="n"/>
      <c r="H4" s="19" t="n"/>
      <c r="I4" s="19" t="n"/>
      <c r="J4" s="20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67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30" t="n"/>
      <c r="C7" s="268" t="n"/>
      <c r="D7" s="269" t="n"/>
      <c r="E7" s="17" t="n"/>
      <c r="F7" s="17" t="n"/>
      <c r="G7" s="270" t="n"/>
      <c r="H7" s="19" t="n"/>
      <c r="I7" s="19" t="n"/>
      <c r="J7" s="20" t="n"/>
    </row>
    <row r="8">
      <c r="A8" s="13" t="n"/>
      <c r="B8" s="30" t="n"/>
      <c r="C8" s="268" t="n"/>
      <c r="D8" s="269" t="n"/>
      <c r="E8" s="17" t="n"/>
      <c r="F8" s="17" t="n"/>
      <c r="G8" s="270" t="n"/>
      <c r="H8" s="19" t="n"/>
      <c r="I8" s="19" t="n"/>
      <c r="J8" s="20" t="n"/>
    </row>
    <row r="9">
      <c r="A9" s="13" t="n"/>
      <c r="B9" s="30" t="n"/>
      <c r="C9" s="268" t="n"/>
      <c r="D9" s="269" t="n"/>
      <c r="E9" s="16" t="n"/>
      <c r="F9" s="17" t="n"/>
      <c r="G9" s="270" t="n"/>
      <c r="H9" s="19" t="n"/>
      <c r="I9" s="19" t="n"/>
      <c r="J9" s="20" t="n"/>
    </row>
    <row r="10">
      <c r="A10" s="13" t="n"/>
      <c r="B10" s="30" t="n"/>
      <c r="C10" s="268" t="n"/>
      <c r="D10" s="269" t="n"/>
      <c r="E10" s="16" t="n"/>
      <c r="F10" s="17" t="n"/>
      <c r="G10" s="270" t="n"/>
      <c r="H10" s="19" t="n"/>
      <c r="I10" s="19" t="n"/>
      <c r="J10" s="20" t="n"/>
    </row>
    <row r="11">
      <c r="A11" s="13" t="n"/>
      <c r="B11" s="30" t="n"/>
      <c r="C11" s="268" t="n"/>
      <c r="D11" s="269" t="n"/>
      <c r="E11" s="17" t="n"/>
      <c r="F11" s="17" t="n"/>
      <c r="G11" s="270" t="n"/>
      <c r="H11" s="19" t="n"/>
      <c r="I11" s="19" t="n"/>
      <c r="J11" s="20" t="n"/>
    </row>
    <row r="12">
      <c r="A12" s="13" t="n"/>
      <c r="B12" s="30" t="n"/>
      <c r="C12" s="268" t="n"/>
      <c r="D12" s="269" t="n"/>
      <c r="E12" s="17" t="n"/>
      <c r="F12" s="17" t="n"/>
      <c r="G12" s="270" t="n"/>
      <c r="H12" s="19" t="n"/>
      <c r="I12" s="19" t="n"/>
      <c r="J12" s="20" t="n"/>
    </row>
    <row r="13">
      <c r="A13" s="13" t="n"/>
      <c r="B13" s="30" t="n"/>
      <c r="C13" s="268" t="n"/>
      <c r="D13" s="269" t="n"/>
      <c r="E13" s="17" t="n"/>
      <c r="F13" s="17" t="n"/>
      <c r="G13" s="270" t="n"/>
      <c r="H13" s="19" t="n"/>
      <c r="I13" s="19" t="n"/>
      <c r="J13" s="20" t="n"/>
    </row>
    <row r="14">
      <c r="A14" s="13" t="n"/>
      <c r="B14" s="30" t="n"/>
      <c r="C14" s="268" t="n"/>
      <c r="D14" s="269" t="n"/>
      <c r="E14" s="17" t="n"/>
      <c r="F14" s="17" t="n"/>
      <c r="G14" s="270" t="n"/>
      <c r="H14" s="19" t="n"/>
      <c r="I14" s="19" t="n"/>
      <c r="J14" s="20" t="n"/>
    </row>
    <row r="15">
      <c r="A15" s="13" t="n"/>
      <c r="B15" s="30" t="n"/>
      <c r="C15" s="268" t="n"/>
      <c r="D15" s="269" t="n"/>
      <c r="E15" s="16" t="n"/>
      <c r="F15" s="17" t="n"/>
      <c r="G15" s="270" t="n"/>
      <c r="H15" s="19" t="n"/>
      <c r="I15" s="19" t="n"/>
      <c r="J15" s="20" t="n"/>
    </row>
    <row r="16">
      <c r="A16" s="13" t="n"/>
      <c r="B16" s="30" t="n"/>
      <c r="C16" s="268" t="n"/>
      <c r="D16" s="269" t="n"/>
      <c r="E16" s="16" t="n"/>
      <c r="F16" s="17" t="n"/>
      <c r="G16" s="270" t="n"/>
      <c r="H16" s="19" t="n"/>
      <c r="I16" s="19" t="n"/>
      <c r="J16" s="20" t="n"/>
    </row>
    <row r="17">
      <c r="A17" s="13" t="n"/>
      <c r="B17" s="30" t="n"/>
      <c r="C17" s="268" t="n"/>
      <c r="D17" s="269" t="n"/>
      <c r="E17" s="16" t="n"/>
      <c r="F17" s="17" t="n"/>
      <c r="G17" s="270" t="n"/>
      <c r="H17" s="19" t="n"/>
      <c r="I17" s="19" t="n"/>
      <c r="J17" s="20" t="n"/>
    </row>
    <row r="18">
      <c r="A18" s="13" t="n"/>
      <c r="B18" s="30" t="n"/>
      <c r="C18" s="268" t="n"/>
      <c r="D18" s="269" t="n"/>
      <c r="E18" s="16" t="n"/>
      <c r="F18" s="17" t="n"/>
      <c r="G18" s="270" t="n"/>
      <c r="H18" s="19" t="n"/>
      <c r="I18" s="19" t="n"/>
      <c r="J18" s="20" t="n"/>
    </row>
    <row r="19">
      <c r="A19" s="13" t="n"/>
      <c r="B19" s="30" t="n"/>
      <c r="C19" s="268" t="n"/>
      <c r="D19" s="269" t="n"/>
      <c r="E19" s="16" t="n"/>
      <c r="F19" s="17" t="n"/>
      <c r="G19" s="270" t="n"/>
      <c r="H19" s="19" t="n"/>
      <c r="I19" s="19" t="n"/>
      <c r="J19" s="20" t="n"/>
    </row>
    <row r="20">
      <c r="A20" s="13" t="n"/>
      <c r="B20" s="30" t="n"/>
      <c r="C20" s="268" t="n"/>
      <c r="D20" s="269" t="n"/>
      <c r="E20" s="16" t="n"/>
      <c r="F20" s="17" t="n"/>
      <c r="G20" s="270" t="n"/>
      <c r="H20" s="19" t="n"/>
      <c r="I20" s="19" t="n"/>
      <c r="J20" s="20" t="n"/>
    </row>
    <row r="21">
      <c r="A21" s="13" t="n"/>
      <c r="B21" s="30" t="n"/>
      <c r="C21" s="268" t="n"/>
      <c r="D21" s="26" t="n"/>
      <c r="E21" s="16" t="n"/>
      <c r="F21" s="17" t="n"/>
      <c r="G21" s="270" t="n"/>
      <c r="H21" s="19" t="n"/>
      <c r="I21" s="19" t="n"/>
      <c r="J21" s="20" t="n"/>
    </row>
    <row r="22">
      <c r="A22" s="13" t="n"/>
      <c r="B22" s="30" t="n"/>
      <c r="C22" s="21" t="n"/>
      <c r="D22" s="26" t="n"/>
      <c r="E22" s="16" t="n"/>
      <c r="F22" s="17" t="n"/>
      <c r="G22" s="270" t="n"/>
      <c r="H22" s="19" t="n"/>
      <c r="I22" s="19" t="n"/>
      <c r="J22" s="20" t="n"/>
    </row>
    <row r="23">
      <c r="A23" s="13" t="n"/>
      <c r="B23" s="30" t="n"/>
      <c r="C23" s="21" t="n"/>
      <c r="D23" s="26" t="n"/>
      <c r="E23" s="16" t="n"/>
      <c r="F23" s="17" t="n"/>
      <c r="G23" s="270" t="n"/>
      <c r="H23" s="19" t="n"/>
      <c r="I23" s="19" t="n"/>
      <c r="J23" s="20" t="n"/>
    </row>
    <row r="24">
      <c r="A24" s="29" t="n"/>
      <c r="B24" s="30" t="n"/>
      <c r="C24" s="21" t="n"/>
      <c r="D24" s="26" t="n"/>
      <c r="E24" s="16" t="n"/>
      <c r="F24" s="17" t="n"/>
      <c r="G24" s="270">
        <f>D24*F24</f>
        <v/>
      </c>
      <c r="H24" s="19" t="n"/>
      <c r="I24" s="19">
        <f>H24*E24</f>
        <v/>
      </c>
      <c r="J24" s="32" t="n"/>
    </row>
    <row r="25">
      <c r="A25" s="33" t="n"/>
      <c r="B25" s="34" t="n"/>
      <c r="C25" s="35" t="n"/>
      <c r="D25" s="33" t="n"/>
      <c r="E25" s="36">
        <f>SUM(E4:E24)</f>
        <v/>
      </c>
      <c r="F25" s="36">
        <f>SUM(F4:F24)</f>
        <v/>
      </c>
      <c r="G25" s="37">
        <f>SUM(G4:G24)</f>
        <v/>
      </c>
      <c r="H25" s="38" t="n"/>
      <c r="I25" s="39">
        <f>SUM(I4:I24)</f>
        <v/>
      </c>
      <c r="J25" s="40" t="n"/>
    </row>
    <row r="26">
      <c r="A26" s="41" t="n"/>
      <c r="B26" s="42" t="n"/>
      <c r="C26" s="43" t="n"/>
      <c r="D26" s="41" t="n"/>
      <c r="E26" s="41" t="n"/>
      <c r="F26" s="41" t="n"/>
      <c r="G26" s="41" t="n"/>
      <c r="H26" s="41" t="n"/>
      <c r="I26" s="2" t="n"/>
      <c r="J26" s="2" t="n"/>
    </row>
    <row r="27">
      <c r="A27" s="44" t="inlineStr">
        <is>
          <t xml:space="preserve">Поступление от </t>
        </is>
      </c>
      <c r="B27" s="45" t="inlineStr">
        <is>
          <t>сумма</t>
        </is>
      </c>
      <c r="C27" s="46" t="inlineStr">
        <is>
          <t>примечание</t>
        </is>
      </c>
      <c r="D27" s="47" t="n"/>
      <c r="E27" s="41" t="n"/>
      <c r="F27" s="41" t="n"/>
      <c r="G27" s="41" t="n"/>
      <c r="H27" s="41" t="n"/>
      <c r="I27" s="2" t="n"/>
      <c r="J27" s="2" t="n"/>
    </row>
    <row r="28">
      <c r="A28" s="48" t="n"/>
      <c r="B28" s="49" t="n"/>
      <c r="C28" s="50" t="n"/>
      <c r="D28" s="47" t="n"/>
      <c r="E28" s="41" t="n"/>
      <c r="F28" s="41" t="n"/>
      <c r="G28" s="41" t="n"/>
      <c r="H28" s="41" t="n"/>
      <c r="I28" s="2" t="n"/>
      <c r="J28" s="2" t="n"/>
    </row>
    <row r="29">
      <c r="A29" s="29" t="n"/>
      <c r="B29" s="51" t="n"/>
      <c r="C29" s="52" t="n"/>
      <c r="D29" s="47" t="n"/>
      <c r="E29" s="41" t="n"/>
      <c r="F29" s="41" t="n"/>
      <c r="G29" s="41" t="n"/>
      <c r="H29" s="41" t="n"/>
      <c r="I29" s="2" t="n"/>
      <c r="J29" s="2" t="n"/>
    </row>
    <row r="30">
      <c r="A30" s="53" t="inlineStr">
        <is>
          <t>Касса</t>
        </is>
      </c>
      <c r="B30" s="54" t="n"/>
      <c r="C30" s="54" t="n"/>
      <c r="D30" s="54" t="n"/>
      <c r="E30" s="54" t="n"/>
      <c r="F30" s="54" t="n"/>
      <c r="G30" s="54" t="n"/>
      <c r="H30" s="54" t="n"/>
      <c r="I30" s="2" t="n"/>
      <c r="J30" s="2" t="n"/>
    </row>
    <row r="31">
      <c r="A31" s="55" t="inlineStr">
        <is>
          <t>Производство</t>
        </is>
      </c>
      <c r="B31" s="56" t="n"/>
      <c r="C31" s="56" t="n"/>
      <c r="D31" s="47" t="n"/>
      <c r="E31" s="55" t="inlineStr">
        <is>
          <t xml:space="preserve">Бухгалтерия </t>
        </is>
      </c>
      <c r="F31" s="56" t="n"/>
      <c r="G31" s="56" t="n"/>
      <c r="H31" s="47" t="n"/>
      <c r="I31" s="57" t="n"/>
      <c r="J31" s="58" t="n"/>
    </row>
    <row r="32">
      <c r="A32" s="59" t="inlineStr">
        <is>
          <t>Остаток на начало дня:</t>
        </is>
      </c>
      <c r="B32" s="60" t="n"/>
      <c r="C32" s="61" t="n"/>
      <c r="D32" s="302" t="n">
        <v>24278.24999999996</v>
      </c>
      <c r="E32" s="311" t="inlineStr">
        <is>
          <t>Остаток на начало дня:</t>
        </is>
      </c>
      <c r="F32" s="294" t="n"/>
      <c r="G32" s="312" t="n"/>
      <c r="H32" s="309" t="n">
        <v>0</v>
      </c>
      <c r="I32" s="359" t="inlineStr">
        <is>
          <t>редакция 570 руб</t>
        </is>
      </c>
      <c r="J32" s="2" t="n"/>
    </row>
    <row r="33">
      <c r="A33" s="66" t="n"/>
      <c r="B33" s="67" t="n"/>
      <c r="C33" s="68" t="n"/>
      <c r="D33" s="68" t="n"/>
      <c r="E33" s="69" t="n"/>
      <c r="F33" s="70" t="n"/>
      <c r="G33" s="71" t="n"/>
      <c r="H33" s="72" t="n"/>
      <c r="I33" s="313" t="n"/>
      <c r="J33" s="313" t="n"/>
    </row>
    <row r="34">
      <c r="A34" s="66" t="n"/>
      <c r="B34" s="67" t="n"/>
      <c r="C34" s="68" t="n"/>
      <c r="D34" s="68" t="n"/>
      <c r="E34" s="69" t="n"/>
      <c r="F34" s="70" t="n"/>
      <c r="G34" s="71" t="n"/>
      <c r="H34" s="72" t="n"/>
      <c r="I34" s="313" t="n"/>
      <c r="J34" s="2" t="n"/>
    </row>
    <row r="35">
      <c r="A35" s="66" t="n"/>
      <c r="B35" s="67" t="n"/>
      <c r="C35" s="68" t="n"/>
      <c r="D35" s="68" t="n"/>
      <c r="E35" s="69" t="n"/>
      <c r="F35" s="70" t="n"/>
      <c r="G35" s="71" t="n"/>
      <c r="H35" s="72">
        <f>F35*G35</f>
        <v/>
      </c>
      <c r="I35" s="2" t="n"/>
      <c r="J35" s="2" t="n"/>
    </row>
    <row r="36">
      <c r="A36" s="66" t="n"/>
      <c r="B36" s="67" t="n"/>
      <c r="C36" s="68" t="n"/>
      <c r="D36" s="68" t="n"/>
      <c r="E36" s="69" t="n"/>
      <c r="F36" s="70" t="n"/>
      <c r="G36" s="71" t="n"/>
      <c r="H36" s="72">
        <f>F36*G36</f>
        <v/>
      </c>
      <c r="I36" s="2" t="n"/>
      <c r="J36" s="2" t="n"/>
    </row>
    <row r="37">
      <c r="A37" s="66" t="n"/>
      <c r="B37" s="73" t="n"/>
      <c r="C37" s="74" t="n"/>
      <c r="D37" s="75" t="n"/>
      <c r="E37" s="69" t="n"/>
      <c r="F37" s="70" t="n"/>
      <c r="G37" s="71" t="n"/>
      <c r="H37" s="72">
        <f>F37*G37</f>
        <v/>
      </c>
      <c r="I37" s="2" t="n"/>
      <c r="J37" s="2" t="n"/>
    </row>
    <row r="38">
      <c r="A38" s="76" t="n"/>
      <c r="B38" s="67" t="n"/>
      <c r="C38" s="68" t="n"/>
      <c r="D38" s="75" t="n"/>
      <c r="E38" s="77" t="inlineStr">
        <is>
          <t>Итого приход:</t>
        </is>
      </c>
      <c r="F38" s="78" t="n"/>
      <c r="G38" s="79" t="n"/>
      <c r="H38" s="80">
        <f>SUM(H33:H34)</f>
        <v/>
      </c>
      <c r="I38" s="2" t="n"/>
      <c r="J38" s="2" t="n"/>
    </row>
    <row r="39">
      <c r="A39" s="76" t="inlineStr">
        <is>
          <t>Расход за день:</t>
        </is>
      </c>
      <c r="B39" s="67" t="n"/>
      <c r="C39" s="79" t="n"/>
      <c r="D39" s="80" t="n"/>
      <c r="E39" s="76" t="inlineStr">
        <is>
          <t>Расход за день:</t>
        </is>
      </c>
      <c r="F39" s="78" t="n"/>
      <c r="G39" s="79" t="n"/>
      <c r="H39" s="80" t="n"/>
      <c r="I39" s="2" t="n"/>
      <c r="J39" s="2" t="n"/>
    </row>
    <row r="40">
      <c r="A40" s="81" t="inlineStr">
        <is>
          <t>уборка</t>
        </is>
      </c>
      <c r="B40" s="67" t="n"/>
      <c r="C40" s="68" t="n">
        <v>2000</v>
      </c>
      <c r="D40" s="68" t="n">
        <v>2000</v>
      </c>
      <c r="E40" s="76" t="n"/>
      <c r="F40" s="78" t="n"/>
      <c r="G40" s="79" t="n"/>
      <c r="H40" s="72">
        <f>F40*G40</f>
        <v/>
      </c>
      <c r="I40" s="2" t="n"/>
      <c r="J40" s="2" t="n"/>
    </row>
    <row r="41">
      <c r="A41" s="69" t="inlineStr">
        <is>
          <t>запчасть для газонокосилки</t>
        </is>
      </c>
      <c r="B41" s="67" t="n"/>
      <c r="C41" s="68" t="n">
        <v>890</v>
      </c>
      <c r="D41" s="74" t="n">
        <v>890</v>
      </c>
      <c r="E41" s="76" t="n"/>
      <c r="F41" s="78" t="n"/>
      <c r="G41" s="79" t="n"/>
      <c r="H41" s="72">
        <f>F41*G41</f>
        <v/>
      </c>
      <c r="I41" s="2" t="n"/>
      <c r="J41" s="2" t="n"/>
    </row>
    <row r="42">
      <c r="A42" s="69" t="n"/>
      <c r="B42" s="67" t="n"/>
      <c r="C42" s="68" t="n"/>
      <c r="D42" s="74" t="n"/>
      <c r="E42" s="76" t="n"/>
      <c r="F42" s="78" t="n"/>
      <c r="G42" s="79" t="n"/>
      <c r="H42" s="72">
        <f>F42*G42</f>
        <v/>
      </c>
      <c r="I42" s="2" t="n"/>
      <c r="J42" s="2" t="n"/>
    </row>
    <row r="43">
      <c r="A43" s="69" t="n"/>
      <c r="B43" s="67" t="n"/>
      <c r="C43" s="68" t="n"/>
      <c r="D43" s="74" t="n"/>
      <c r="E43" s="76" t="n"/>
      <c r="F43" s="78" t="n"/>
      <c r="G43" s="79" t="n"/>
      <c r="H43" s="72">
        <f>F43*G43</f>
        <v/>
      </c>
      <c r="I43" s="2" t="n"/>
      <c r="J43" s="2" t="n"/>
    </row>
    <row r="44">
      <c r="A44" s="69" t="n"/>
      <c r="B44" s="67" t="n"/>
      <c r="C44" s="68" t="n"/>
      <c r="D44" s="75" t="n"/>
      <c r="E44" s="76" t="n"/>
      <c r="F44" s="78" t="n"/>
      <c r="G44" s="79" t="n"/>
      <c r="H44" s="72">
        <f>F44*G44</f>
        <v/>
      </c>
      <c r="I44" s="313" t="n"/>
      <c r="J44" s="2" t="n"/>
    </row>
    <row r="45">
      <c r="A45" s="69" t="n"/>
      <c r="B45" s="67" t="n"/>
      <c r="C45" s="68" t="n"/>
      <c r="D45" s="75" t="n"/>
      <c r="E45" s="76" t="n"/>
      <c r="F45" s="78" t="n"/>
      <c r="G45" s="79" t="n"/>
      <c r="H45" s="72">
        <f>F45*G45</f>
        <v/>
      </c>
      <c r="I45" s="2" t="n"/>
      <c r="J45" s="2" t="n"/>
    </row>
    <row r="46">
      <c r="A46" s="69" t="n"/>
      <c r="B46" s="67" t="n"/>
      <c r="C46" s="68" t="n"/>
      <c r="D46" s="75" t="n"/>
      <c r="E46" s="76" t="n"/>
      <c r="F46" s="78" t="n"/>
      <c r="G46" s="79" t="n"/>
      <c r="H46" s="72">
        <f>F46*G46</f>
        <v/>
      </c>
      <c r="I46" s="2" t="n"/>
      <c r="J46" s="2" t="n"/>
    </row>
    <row r="47">
      <c r="A47" s="83" t="n"/>
      <c r="B47" s="67" t="n"/>
      <c r="C47" s="68" t="n"/>
      <c r="D47" s="84" t="n"/>
      <c r="E47" s="85" t="inlineStr">
        <is>
          <t>Итого расход:</t>
        </is>
      </c>
      <c r="F47" s="78" t="n"/>
      <c r="G47" s="79" t="n"/>
      <c r="H47" s="72">
        <f>F47*G47</f>
        <v/>
      </c>
      <c r="I47" s="86" t="n"/>
      <c r="J47" s="86" t="n"/>
    </row>
    <row r="48">
      <c r="A48" s="87" t="inlineStr">
        <is>
          <t>Остаток на конец дня:</t>
        </is>
      </c>
      <c r="B48" s="88" t="n"/>
      <c r="C48" s="89" t="n"/>
      <c r="D48" s="90">
        <f>SUM(D33,D34:D37,D32,)-SUM(D40:D47,)</f>
        <v/>
      </c>
      <c r="E48" s="87" t="inlineStr">
        <is>
          <t>Остаток на конец дня:</t>
        </is>
      </c>
      <c r="F48" s="91" t="n"/>
      <c r="G48" s="89" t="n"/>
      <c r="H48" s="92">
        <f>SUM(H32+H38-H47)</f>
        <v/>
      </c>
      <c r="I48" s="2" t="n"/>
      <c r="J48" s="2" t="n"/>
    </row>
    <row r="49">
      <c r="A49" s="93" t="n"/>
      <c r="B49" s="94" t="n"/>
      <c r="C49" s="43" t="n"/>
      <c r="D49" s="41" t="n"/>
      <c r="E49" s="41" t="n"/>
      <c r="F49" s="41" t="n"/>
      <c r="G49" s="2" t="n"/>
      <c r="H49" s="2" t="n"/>
      <c r="I49" s="2" t="n"/>
      <c r="J49" s="2" t="n"/>
    </row>
    <row r="50">
      <c r="A50" s="95" t="inlineStr">
        <is>
          <t>Расчётный счёт</t>
        </is>
      </c>
      <c r="B50" s="54" t="n"/>
      <c r="C50" s="54" t="n"/>
      <c r="D50" s="54" t="n"/>
      <c r="E50" s="54" t="n"/>
      <c r="F50" s="54" t="n"/>
      <c r="G50" s="54" t="n"/>
      <c r="H50" s="54" t="n"/>
      <c r="I50" s="2" t="n"/>
      <c r="J50" s="2" t="n"/>
    </row>
    <row r="51">
      <c r="A51" s="96" t="inlineStr">
        <is>
          <t>ВТБ</t>
        </is>
      </c>
      <c r="B51" s="279" t="inlineStr">
        <is>
          <t>ВТБ</t>
        </is>
      </c>
      <c r="C51" s="279" t="n"/>
      <c r="D51" s="47" t="n"/>
      <c r="E51" s="97" t="inlineStr">
        <is>
          <t>Альфабанк</t>
        </is>
      </c>
      <c r="F51" s="56" t="n"/>
      <c r="G51" s="56" t="n"/>
      <c r="H51" s="47" t="n"/>
      <c r="I51" s="330" t="inlineStr">
        <is>
          <t>Уралсиб</t>
        </is>
      </c>
    </row>
    <row r="52">
      <c r="A52" s="98" t="inlineStr">
        <is>
          <t>Остаток на начало дня:</t>
        </is>
      </c>
      <c r="B52" s="280" t="n"/>
      <c r="C52" s="290" t="n">
        <v>878301.38</v>
      </c>
      <c r="D52" s="56" t="n"/>
      <c r="E52" s="100" t="inlineStr">
        <is>
          <t>Остаток на начало дня:</t>
        </is>
      </c>
      <c r="F52" s="47" t="n"/>
      <c r="G52" s="101" t="n">
        <v>2428.5</v>
      </c>
      <c r="H52" s="47" t="n"/>
      <c r="I52" s="330" t="inlineStr">
        <is>
          <t>Остаток на начало дня :</t>
        </is>
      </c>
      <c r="J52" s="332" t="n"/>
    </row>
    <row r="53">
      <c r="A53" s="102" t="inlineStr">
        <is>
          <t>Поступление</t>
        </is>
      </c>
      <c r="B53" s="47" t="n"/>
      <c r="C53" s="102" t="inlineStr">
        <is>
          <t>Расход</t>
        </is>
      </c>
      <c r="D53" s="47" t="n"/>
      <c r="E53" s="102" t="inlineStr">
        <is>
          <t>Поступление</t>
        </is>
      </c>
      <c r="F53" s="47" t="n"/>
      <c r="G53" s="102" t="inlineStr">
        <is>
          <t>Расход</t>
        </is>
      </c>
      <c r="H53" s="47" t="n"/>
      <c r="I53" s="334" t="inlineStr">
        <is>
          <t xml:space="preserve">Поступление </t>
        </is>
      </c>
      <c r="J53" s="332" t="n"/>
    </row>
    <row r="54">
      <c r="A54" s="103" t="inlineStr">
        <is>
          <t>от кого</t>
        </is>
      </c>
      <c r="B54" s="103" t="inlineStr">
        <is>
          <t>сумма</t>
        </is>
      </c>
      <c r="C54" s="103" t="inlineStr">
        <is>
          <t>кому</t>
        </is>
      </c>
      <c r="D54" s="103" t="inlineStr">
        <is>
          <t>сумма</t>
        </is>
      </c>
      <c r="E54" s="103" t="inlineStr">
        <is>
          <t>от кого</t>
        </is>
      </c>
      <c r="F54" s="103" t="inlineStr">
        <is>
          <t>сумма</t>
        </is>
      </c>
      <c r="G54" s="336" t="inlineStr">
        <is>
          <t xml:space="preserve">кому </t>
        </is>
      </c>
      <c r="H54" s="103" t="inlineStr">
        <is>
          <t>сумма</t>
        </is>
      </c>
      <c r="I54" s="334" t="inlineStr">
        <is>
          <t xml:space="preserve">от кого </t>
        </is>
      </c>
      <c r="J54" s="334" t="inlineStr">
        <is>
          <t xml:space="preserve">сумма </t>
        </is>
      </c>
    </row>
    <row r="55">
      <c r="A55" s="104" t="inlineStr">
        <is>
          <t xml:space="preserve">Проценты по депозиту </t>
        </is>
      </c>
      <c r="B55" s="281" t="n">
        <v>451.03</v>
      </c>
      <c r="C55" s="106" t="inlineStr">
        <is>
          <t xml:space="preserve">Комиссия банка </t>
        </is>
      </c>
      <c r="D55" s="107" t="n">
        <v>250</v>
      </c>
      <c r="E55" s="108" t="n"/>
      <c r="F55" s="109" t="n"/>
      <c r="G55" s="110" t="n"/>
      <c r="H55" s="109" t="n"/>
      <c r="I55" s="338" t="n"/>
      <c r="J55" s="339" t="n"/>
    </row>
    <row r="56">
      <c r="A56" s="282" t="n"/>
      <c r="B56" s="281" t="n"/>
      <c r="C56" s="112" t="inlineStr">
        <is>
          <t xml:space="preserve">ООО Чистая вода   вода питьевая </t>
        </is>
      </c>
      <c r="D56" s="107" t="n">
        <v>1800</v>
      </c>
      <c r="E56" s="110" t="n"/>
      <c r="F56" s="109" t="n"/>
      <c r="G56" s="110" t="n"/>
      <c r="H56" s="109" t="n"/>
      <c r="I56" s="338" t="n"/>
      <c r="J56" s="338" t="n"/>
    </row>
    <row r="57">
      <c r="A57" s="111" t="n"/>
      <c r="B57" s="283" t="n"/>
      <c r="C57" s="113" t="inlineStr">
        <is>
          <t xml:space="preserve">ООО Интернет решения  за ламинатор </t>
        </is>
      </c>
      <c r="D57" s="107" t="n">
        <v>2434</v>
      </c>
      <c r="E57" s="110" t="n"/>
      <c r="F57" s="109" t="n"/>
      <c r="G57" s="114" t="n"/>
      <c r="H57" s="109" t="n"/>
      <c r="I57" s="338" t="n"/>
      <c r="J57" s="338" t="n"/>
    </row>
    <row r="58">
      <c r="A58" s="115" t="n"/>
      <c r="B58" s="283" t="n"/>
      <c r="C58" s="113" t="inlineStr">
        <is>
          <t>ООО ДБС  за ленту конвейерную</t>
        </is>
      </c>
      <c r="D58" s="107" t="n">
        <v>21440</v>
      </c>
      <c r="E58" s="108" t="n"/>
      <c r="F58" s="116" t="n"/>
      <c r="G58" s="114" t="n"/>
      <c r="H58" s="109" t="n"/>
      <c r="I58" s="338" t="n"/>
      <c r="J58" s="338" t="n"/>
    </row>
    <row r="59">
      <c r="A59" s="117" t="n"/>
      <c r="B59" s="283" t="n"/>
      <c r="C59" s="113" t="inlineStr">
        <is>
          <t xml:space="preserve">ООО Итеко Россия  транспортные услуги </t>
        </is>
      </c>
      <c r="D59" s="107" t="n">
        <v>101021</v>
      </c>
      <c r="E59" s="118" t="n"/>
      <c r="F59" s="119" t="n"/>
      <c r="G59" s="120" t="n"/>
      <c r="H59" s="120" t="n"/>
      <c r="I59" s="338" t="n"/>
      <c r="J59" s="338" t="n"/>
    </row>
    <row r="60">
      <c r="A60" s="117" t="n"/>
      <c r="B60" s="283" t="n"/>
      <c r="C60" s="113" t="inlineStr">
        <is>
          <t xml:space="preserve">АО ФМ Ложистик Восток  транспортные услуги </t>
        </is>
      </c>
      <c r="D60" s="107" t="n">
        <v>473424</v>
      </c>
      <c r="E60" s="118" t="n"/>
      <c r="F60" s="119" t="n"/>
      <c r="G60" s="121" t="n"/>
      <c r="H60" s="120" t="n"/>
      <c r="I60" s="338" t="n"/>
      <c r="J60" s="338" t="n"/>
    </row>
    <row r="61">
      <c r="A61" s="122" t="n"/>
      <c r="B61" s="283" t="n"/>
      <c r="C61" s="113" t="inlineStr">
        <is>
          <t>Размещение на депозите 278000</t>
        </is>
      </c>
      <c r="D61" s="107" t="n">
        <v>0</v>
      </c>
      <c r="E61" s="118" t="n"/>
      <c r="F61" s="118" t="n"/>
      <c r="G61" s="123" t="n"/>
      <c r="H61" s="120" t="n"/>
      <c r="I61" s="338" t="n"/>
      <c r="J61" s="338" t="n"/>
    </row>
    <row r="62">
      <c r="A62" s="124" t="n"/>
      <c r="B62" s="284" t="n"/>
      <c r="C62" s="113" t="n"/>
      <c r="D62" s="107" t="n"/>
      <c r="E62" s="124" t="n"/>
      <c r="F62" s="118" t="n"/>
      <c r="G62" s="110" t="n"/>
      <c r="H62" s="120" t="n"/>
      <c r="I62" s="338" t="n"/>
      <c r="J62" s="338" t="n"/>
    </row>
    <row r="63">
      <c r="A63" s="124" t="n"/>
      <c r="B63" s="285" t="n"/>
      <c r="C63" s="112" t="n"/>
      <c r="D63" s="126" t="n"/>
      <c r="E63" s="124" t="n"/>
      <c r="F63" s="118" t="n"/>
      <c r="G63" s="110" t="n"/>
      <c r="H63" s="120" t="n"/>
      <c r="I63" s="338" t="n"/>
      <c r="J63" s="338" t="n"/>
    </row>
    <row r="64">
      <c r="A64" s="124" t="n"/>
      <c r="B64" s="285" t="n"/>
      <c r="C64" s="112" t="n"/>
      <c r="D64" s="126" t="n"/>
      <c r="E64" s="124" t="n"/>
      <c r="F64" s="118" t="n"/>
      <c r="G64" s="110" t="n"/>
      <c r="H64" s="120" t="n"/>
      <c r="I64" s="338" t="n"/>
      <c r="J64" s="338" t="n"/>
    </row>
    <row r="65">
      <c r="A65" s="124" t="n"/>
      <c r="B65" s="285" t="n"/>
      <c r="C65" s="112" t="n"/>
      <c r="D65" s="126" t="n"/>
      <c r="E65" s="124" t="n"/>
      <c r="F65" s="118" t="n"/>
      <c r="G65" s="110" t="n"/>
      <c r="H65" s="120" t="n"/>
      <c r="I65" s="338" t="n"/>
      <c r="J65" s="338" t="n"/>
    </row>
    <row r="66">
      <c r="A66" s="124" t="n"/>
      <c r="B66" s="285" t="n"/>
      <c r="C66" s="112" t="n"/>
      <c r="D66" s="343" t="n"/>
      <c r="E66" s="124" t="n"/>
      <c r="F66" s="118" t="n"/>
      <c r="G66" s="110" t="n"/>
      <c r="H66" s="120" t="n"/>
      <c r="I66" s="338" t="n"/>
      <c r="J66" s="338" t="n"/>
    </row>
    <row r="67">
      <c r="A67" s="124" t="n"/>
      <c r="B67" s="125" t="n"/>
      <c r="C67" s="110" t="n"/>
      <c r="D67" s="126" t="n"/>
      <c r="E67" s="124" t="n"/>
      <c r="F67" s="118" t="n"/>
      <c r="G67" s="110" t="n"/>
      <c r="H67" s="120" t="n"/>
      <c r="I67" s="338" t="n"/>
      <c r="J67" s="338" t="n"/>
    </row>
    <row r="68">
      <c r="A68" s="127" t="n"/>
      <c r="B68" s="128">
        <f>SUM(B55:B67)+C52</f>
        <v/>
      </c>
      <c r="C68" s="129" t="n"/>
      <c r="D68" s="128">
        <f>SUM(D55:D67)</f>
        <v/>
      </c>
      <c r="E68" s="130" t="n"/>
      <c r="F68" s="130">
        <f>SUM(F55:F67)</f>
        <v/>
      </c>
      <c r="G68" s="130" t="n"/>
      <c r="H68" s="130">
        <f>SUM(H55:H67)</f>
        <v/>
      </c>
      <c r="I68" s="344" t="n"/>
      <c r="J68" s="345" t="n"/>
    </row>
    <row r="69">
      <c r="A69" s="131" t="inlineStr">
        <is>
          <t>Остаток на конец дня:</t>
        </is>
      </c>
      <c r="B69" s="132">
        <f>B68-D68</f>
        <v/>
      </c>
      <c r="C69" s="56" t="n"/>
      <c r="D69" s="47" t="n"/>
      <c r="E69" s="100" t="inlineStr">
        <is>
          <t>Остаток на конец дня:</t>
        </is>
      </c>
      <c r="F69" s="101" t="n">
        <v>2428.5</v>
      </c>
      <c r="G69" s="56" t="n"/>
      <c r="H69" s="47" t="n"/>
      <c r="I69" s="330" t="inlineStr">
        <is>
          <t xml:space="preserve">Остаток на конец дня </t>
        </is>
      </c>
      <c r="J69" s="344" t="n"/>
    </row>
    <row r="70">
      <c r="A70" s="133" t="inlineStr">
        <is>
          <t>ИТОГО:</t>
        </is>
      </c>
      <c r="B70" s="47" t="n"/>
      <c r="C70" s="134" t="n">
        <v>280811.91</v>
      </c>
      <c r="D70" s="56" t="n"/>
      <c r="E70" s="56" t="n"/>
      <c r="F70" s="56" t="n"/>
      <c r="G70" s="56" t="n"/>
      <c r="H70" s="47" t="n"/>
      <c r="I70" s="257" t="n"/>
      <c r="J70" s="257" t="n"/>
    </row>
    <row r="71">
      <c r="A71" s="41" t="n"/>
      <c r="B71" s="94" t="n"/>
      <c r="C71" s="43" t="n"/>
      <c r="D71" s="41" t="n"/>
      <c r="E71" s="41" t="n"/>
      <c r="F71" s="41" t="n"/>
      <c r="G71" s="41" t="n"/>
      <c r="H71" s="93" t="n"/>
      <c r="I71" s="135" t="n"/>
      <c r="J71" s="135" t="n"/>
    </row>
    <row r="72">
      <c r="A72" s="136" t="n"/>
      <c r="B72" s="137" t="inlineStr">
        <is>
          <t>Реализация по безналичному расчёту</t>
        </is>
      </c>
      <c r="D72" s="2" t="n"/>
      <c r="E72" s="41" t="n"/>
      <c r="F72" s="41" t="n"/>
      <c r="G72" s="41" t="n"/>
      <c r="H72" s="138" t="n"/>
      <c r="I72" s="2" t="n"/>
      <c r="J72" s="2" t="n"/>
    </row>
    <row r="73">
      <c r="A73" s="139" t="inlineStr">
        <is>
          <t>Контрагент</t>
        </is>
      </c>
      <c r="B73" s="140" t="inlineStr">
        <is>
          <t>поставщик</t>
        </is>
      </c>
      <c r="C73" s="141" t="inlineStr">
        <is>
          <t>наименование</t>
        </is>
      </c>
      <c r="D73" s="142" t="inlineStr">
        <is>
          <t>вес упаковки, тарелки</t>
        </is>
      </c>
      <c r="E73" s="143" t="inlineStr">
        <is>
          <t>кол.-во пакетов, коробок</t>
        </is>
      </c>
      <c r="F73" s="144" t="inlineStr">
        <is>
          <t>кол-во мест в коробке/упаковке</t>
        </is>
      </c>
      <c r="G73" s="145" t="inlineStr">
        <is>
          <t>общий вес, кг.</t>
        </is>
      </c>
      <c r="H73" s="146" t="inlineStr">
        <is>
          <t>цена пакет, тарелка</t>
        </is>
      </c>
      <c r="I73" s="147" t="inlineStr">
        <is>
          <t>сумма</t>
        </is>
      </c>
      <c r="J73" s="348" t="inlineStr">
        <is>
          <t>Комментарий</t>
        </is>
      </c>
    </row>
    <row r="74">
      <c r="A74" s="244" t="inlineStr">
        <is>
          <t>Элемент трейд</t>
        </is>
      </c>
      <c r="B74" s="267" t="inlineStr">
        <is>
          <t>Снекпром</t>
        </is>
      </c>
      <c r="C74" s="268" t="inlineStr">
        <is>
          <t>Арахис в хрустящей корочке "Квадромикс", тарелка 200 г</t>
        </is>
      </c>
      <c r="D74" s="269" t="n">
        <v>0.2</v>
      </c>
      <c r="E74" s="51" t="n">
        <v>80</v>
      </c>
      <c r="F74" s="51" t="n">
        <v>18</v>
      </c>
      <c r="G74" s="349">
        <f>D74*E74*F74</f>
        <v/>
      </c>
      <c r="H74" s="350" t="n">
        <v>68</v>
      </c>
      <c r="I74" s="350">
        <f>H74*F74*E74</f>
        <v/>
      </c>
      <c r="J74" s="351" t="n"/>
    </row>
    <row r="75">
      <c r="A75" s="244" t="n"/>
      <c r="B75" s="267" t="n"/>
      <c r="C75" s="268" t="inlineStr">
        <is>
          <t>Ассорти арахиса жареного со специями, тарелка 200 г</t>
        </is>
      </c>
      <c r="D75" s="269" t="n">
        <v>0.2</v>
      </c>
      <c r="E75" s="51" t="n">
        <v>80</v>
      </c>
      <c r="F75" s="51" t="n">
        <v>18</v>
      </c>
      <c r="G75" s="349">
        <f>D75*E75*F75</f>
        <v/>
      </c>
      <c r="H75" s="350" t="n">
        <v>94.09999999999999</v>
      </c>
      <c r="I75" s="350">
        <f>H75*F75*E75</f>
        <v/>
      </c>
      <c r="J75" s="352" t="n"/>
    </row>
    <row r="76">
      <c r="A76" s="244" t="inlineStr">
        <is>
          <t>Золотой снек</t>
        </is>
      </c>
      <c r="B76" s="267" t="inlineStr">
        <is>
          <t>Снекпром</t>
        </is>
      </c>
      <c r="C76" s="268" t="inlineStr">
        <is>
          <t>Арахис в хрустящей корочке МИКС 1 кг/10 шт</t>
        </is>
      </c>
      <c r="D76" s="269" t="n">
        <v>1</v>
      </c>
      <c r="E76" s="51" t="n">
        <v>150</v>
      </c>
      <c r="F76" s="51" t="n">
        <v>10</v>
      </c>
      <c r="G76" s="349">
        <f>D76*E76*F76</f>
        <v/>
      </c>
      <c r="H76" s="350" t="n">
        <v>190</v>
      </c>
      <c r="I76" s="350">
        <f>H76*G76</f>
        <v/>
      </c>
      <c r="J76" s="353" t="n"/>
    </row>
    <row r="77">
      <c r="A77" s="244" t="n"/>
      <c r="B77" s="267" t="n"/>
      <c r="C77" s="268" t="inlineStr">
        <is>
          <t>Арахис в хрустящей корочке Шашлык 1 кг/10 шт</t>
        </is>
      </c>
      <c r="D77" s="269" t="n">
        <v>1</v>
      </c>
      <c r="E77" s="51" t="n">
        <v>100</v>
      </c>
      <c r="F77" s="51" t="n">
        <v>10</v>
      </c>
      <c r="G77" s="349">
        <f>F77*E77</f>
        <v/>
      </c>
      <c r="H77" s="350" t="n">
        <v>190</v>
      </c>
      <c r="I77" s="350">
        <f>H77*G77</f>
        <v/>
      </c>
      <c r="J77" s="357" t="n"/>
    </row>
    <row r="78">
      <c r="A78" s="244" t="n"/>
      <c r="B78" s="244" t="n"/>
      <c r="C78" s="268" t="n"/>
      <c r="D78" s="269" t="n"/>
      <c r="E78" s="51" t="n"/>
      <c r="F78" s="51" t="n"/>
      <c r="G78" s="349" t="n"/>
      <c r="H78" s="350" t="n"/>
      <c r="I78" s="350" t="n"/>
      <c r="J78" s="358" t="n"/>
    </row>
    <row r="79">
      <c r="A79" s="244" t="n"/>
      <c r="B79" s="267" t="n"/>
      <c r="C79" s="268" t="n"/>
      <c r="D79" s="269" t="n"/>
      <c r="E79" s="51" t="n"/>
      <c r="F79" s="51" t="n"/>
      <c r="G79" s="349" t="n"/>
      <c r="H79" s="350" t="n"/>
      <c r="I79" s="350" t="n"/>
      <c r="J79" s="351" t="n"/>
    </row>
    <row r="80">
      <c r="A80" s="244" t="n"/>
      <c r="B80" s="244" t="n"/>
      <c r="C80" s="268" t="n"/>
      <c r="D80" s="269" t="n"/>
      <c r="E80" s="51" t="n"/>
      <c r="F80" s="51" t="n"/>
      <c r="G80" s="349" t="n"/>
      <c r="H80" s="350" t="n"/>
      <c r="I80" s="350" t="n"/>
      <c r="J80" s="352" t="n"/>
    </row>
    <row r="81">
      <c r="A81" s="162" t="n"/>
      <c r="B81" s="163" t="n"/>
      <c r="C81" s="164" t="n"/>
      <c r="D81" s="165" t="n"/>
      <c r="E81" s="166" t="n"/>
      <c r="F81" s="167" t="n"/>
      <c r="G81" s="168" t="n"/>
      <c r="H81" s="169" t="n"/>
      <c r="I81" s="170" t="n"/>
      <c r="J81" s="161" t="n"/>
    </row>
    <row r="82">
      <c r="A82" s="162" t="n"/>
      <c r="B82" s="163" t="n"/>
      <c r="C82" s="171" t="n"/>
      <c r="D82" s="153" t="n"/>
      <c r="E82" s="172" t="n"/>
      <c r="F82" s="155" t="n"/>
      <c r="G82" s="168" t="n"/>
      <c r="H82" s="156" t="n"/>
      <c r="I82" s="170" t="n"/>
      <c r="J82" s="161" t="n"/>
    </row>
    <row r="83">
      <c r="A83" s="162" t="n"/>
      <c r="B83" s="163" t="n"/>
      <c r="C83" s="171" t="n"/>
      <c r="D83" s="153" t="n"/>
      <c r="E83" s="172" t="n"/>
      <c r="F83" s="155" t="n"/>
      <c r="G83" s="168" t="n"/>
      <c r="H83" s="156" t="n"/>
      <c r="I83" s="170" t="n"/>
      <c r="J83" s="161" t="n"/>
    </row>
    <row r="84">
      <c r="A84" s="162" t="n"/>
      <c r="B84" s="163" t="n"/>
      <c r="C84" s="171" t="n"/>
      <c r="D84" s="153" t="n"/>
      <c r="E84" s="172" t="n"/>
      <c r="F84" s="155" t="n"/>
      <c r="G84" s="168" t="n"/>
      <c r="H84" s="156" t="n"/>
      <c r="I84" s="170" t="n"/>
      <c r="J84" s="161" t="n"/>
    </row>
    <row r="85">
      <c r="A85" s="162" t="n"/>
      <c r="B85" s="163" t="n"/>
      <c r="C85" s="171" t="n"/>
      <c r="D85" s="153" t="n"/>
      <c r="E85" s="172" t="n"/>
      <c r="F85" s="155" t="n"/>
      <c r="G85" s="168" t="n"/>
      <c r="H85" s="156" t="n"/>
      <c r="I85" s="170" t="n"/>
      <c r="J85" s="161" t="n"/>
    </row>
    <row r="86">
      <c r="A86" s="173" t="n"/>
      <c r="B86" s="174" t="n"/>
      <c r="C86" s="175" t="n"/>
      <c r="D86" s="176" t="n"/>
      <c r="E86" s="177" t="n"/>
      <c r="F86" s="178" t="n"/>
      <c r="G86" s="179" t="n"/>
      <c r="H86" s="180" t="n"/>
      <c r="I86" s="181" t="n"/>
      <c r="J86" s="161" t="n"/>
    </row>
    <row r="87">
      <c r="A87" s="182" t="n"/>
      <c r="B87" s="163" t="n"/>
      <c r="C87" s="183" t="n"/>
      <c r="D87" s="184" t="n"/>
      <c r="E87" s="166" t="n"/>
      <c r="F87" s="167" t="n"/>
      <c r="G87" s="185">
        <f>D87*F87</f>
        <v/>
      </c>
      <c r="H87" s="186" t="n"/>
      <c r="I87" s="186">
        <f>F87*H87*E87</f>
        <v/>
      </c>
      <c r="J87" s="187" t="n"/>
    </row>
    <row r="88">
      <c r="A88" s="182" t="n"/>
      <c r="B88" s="163" t="n"/>
      <c r="C88" s="188" t="n"/>
      <c r="D88" s="189" t="n"/>
      <c r="E88" s="190" t="n"/>
      <c r="F88" s="189" t="n"/>
      <c r="G88" s="185">
        <f>D88*F88</f>
        <v/>
      </c>
      <c r="H88" s="191" t="n"/>
      <c r="I88" s="186">
        <f>F88*H88*E88</f>
        <v/>
      </c>
      <c r="J88" s="187" t="n"/>
    </row>
    <row r="89">
      <c r="A89" s="192" t="inlineStr">
        <is>
          <t>ИТОГО:</t>
        </is>
      </c>
      <c r="B89" s="193" t="n"/>
      <c r="C89" s="194" t="n"/>
      <c r="D89" s="195" t="n"/>
      <c r="E89" s="196">
        <f>SUM(E74:E88)</f>
        <v/>
      </c>
      <c r="F89" s="197">
        <f>SUM(F74:F86)</f>
        <v/>
      </c>
      <c r="G89" s="198">
        <f>SUM(G74:G81)</f>
        <v/>
      </c>
      <c r="H89" s="199" t="n"/>
      <c r="I89" s="199">
        <f>SUM(I74:I82)</f>
        <v/>
      </c>
      <c r="J89" s="200" t="n"/>
    </row>
    <row r="90">
      <c r="A90" s="2" t="n"/>
      <c r="B90" s="94" t="n"/>
      <c r="C90" s="43" t="n"/>
      <c r="D90" s="41" t="n"/>
      <c r="E90" s="41" t="n"/>
      <c r="F90" s="41" t="n"/>
      <c r="G90" s="41" t="n"/>
      <c r="H90" s="2" t="n"/>
      <c r="I90" s="2" t="n"/>
      <c r="J90" s="2" t="n"/>
    </row>
    <row r="91">
      <c r="A91" s="201" t="inlineStr">
        <is>
          <t>реализация Всего касса+безнал:</t>
        </is>
      </c>
      <c r="B91" s="202" t="inlineStr">
        <is>
          <t>кг</t>
        </is>
      </c>
      <c r="C91" s="203" t="inlineStr">
        <is>
          <t>на сумму</t>
        </is>
      </c>
      <c r="D91" s="41" t="n"/>
      <c r="E91" s="41" t="n"/>
      <c r="F91" s="41" t="n"/>
      <c r="G91" s="41" t="n"/>
      <c r="H91" s="2" t="n"/>
      <c r="I91" s="2" t="n"/>
      <c r="J91" s="2" t="n"/>
    </row>
    <row r="92">
      <c r="A92" s="204" t="n"/>
      <c r="B92" s="205">
        <f>E25+G89</f>
        <v/>
      </c>
      <c r="C92" s="206">
        <f>I25+H89+I89</f>
        <v/>
      </c>
      <c r="D92" s="41" t="n"/>
      <c r="E92" s="41" t="n"/>
      <c r="F92" s="41" t="n"/>
      <c r="G92" s="41" t="n"/>
      <c r="H92" s="2" t="n"/>
      <c r="I92" s="2" t="n"/>
      <c r="J92" s="2" t="n"/>
    </row>
    <row r="93">
      <c r="A93" s="207" t="inlineStr">
        <is>
          <t>Услуги оказывают нам (доставка сырья и комплектующих на склад, Товара покупателям)</t>
        </is>
      </c>
      <c r="B93" s="54" t="n"/>
      <c r="C93" s="54" t="n"/>
      <c r="D93" s="54" t="n"/>
      <c r="E93" s="54" t="n"/>
      <c r="F93" s="54" t="n"/>
      <c r="G93" s="54" t="n"/>
      <c r="H93" s="54" t="n"/>
      <c r="I93" s="291" t="n"/>
      <c r="J93" s="58" t="n"/>
    </row>
    <row r="94">
      <c r="A94" s="209" t="inlineStr">
        <is>
          <t>Контрагент</t>
        </is>
      </c>
      <c r="B94" s="210" t="inlineStr">
        <is>
          <t>вид услуги</t>
        </is>
      </c>
      <c r="C94" s="211" t="inlineStr">
        <is>
          <t>Кому / От кого</t>
        </is>
      </c>
      <c r="D94" s="212" t="inlineStr">
        <is>
          <t>наименование</t>
        </is>
      </c>
      <c r="E94" s="213" t="inlineStr">
        <is>
          <t xml:space="preserve">город доставки </t>
        </is>
      </c>
      <c r="F94" s="214" t="inlineStr">
        <is>
          <t>цена</t>
        </is>
      </c>
      <c r="G94" s="213" t="inlineStr">
        <is>
          <t>сумма</t>
        </is>
      </c>
      <c r="H94" s="212" t="inlineStr">
        <is>
          <t>за тонну</t>
        </is>
      </c>
      <c r="I94" s="291" t="n"/>
      <c r="J94" s="58" t="n"/>
    </row>
    <row r="95">
      <c r="A95" s="215" t="inlineStr">
        <is>
          <t>ФМ</t>
        </is>
      </c>
      <c r="B95" s="60" t="inlineStr">
        <is>
          <t>доставка</t>
        </is>
      </c>
      <c r="C95" s="63" t="inlineStr">
        <is>
          <t>Элемент-трейд</t>
        </is>
      </c>
      <c r="D95" s="226" t="n"/>
      <c r="E95" s="317" t="inlineStr">
        <is>
          <t>Пермь</t>
        </is>
      </c>
      <c r="F95" s="62" t="n">
        <v>12000</v>
      </c>
      <c r="G95" s="218" t="n">
        <v>12000</v>
      </c>
      <c r="H95" s="305" t="n"/>
      <c r="I95" s="291" t="n"/>
      <c r="J95" s="58" t="n"/>
    </row>
    <row r="96">
      <c r="A96" s="215" t="n"/>
      <c r="B96" s="60" t="n"/>
      <c r="C96" s="63" t="n"/>
      <c r="D96" s="226" t="n"/>
      <c r="E96" s="217" t="n"/>
      <c r="F96" s="62" t="n"/>
      <c r="G96" s="218" t="n"/>
      <c r="H96" s="305" t="n"/>
      <c r="I96" s="315" t="n"/>
      <c r="J96" s="58" t="n"/>
    </row>
    <row r="97">
      <c r="A97" s="215" t="n"/>
      <c r="B97" s="60" t="n"/>
      <c r="C97" s="63" t="n"/>
      <c r="D97" s="226" t="n"/>
      <c r="E97" s="217" t="n"/>
      <c r="F97" s="223" t="n"/>
      <c r="G97" s="218" t="n"/>
      <c r="H97" s="305" t="n"/>
      <c r="I97" s="2" t="n"/>
      <c r="J97" s="2" t="n"/>
    </row>
    <row r="98">
      <c r="A98" s="215" t="n"/>
      <c r="B98" s="60" t="n"/>
      <c r="C98" s="63" t="n"/>
      <c r="D98" s="222" t="n"/>
      <c r="E98" s="274" t="n"/>
      <c r="F98" s="223" t="n"/>
      <c r="G98" s="218" t="n"/>
      <c r="H98" s="219" t="n"/>
      <c r="I98" s="2" t="n"/>
      <c r="J98" s="2" t="n"/>
    </row>
    <row r="99">
      <c r="A99" s="215" t="n"/>
      <c r="B99" s="60" t="n"/>
      <c r="C99" s="63" t="n"/>
      <c r="D99" s="226" t="n"/>
      <c r="E99" s="274" t="n"/>
      <c r="F99" s="223" t="n"/>
      <c r="G99" s="218" t="n"/>
      <c r="H99" s="219" t="n"/>
      <c r="I99" s="2" t="n"/>
      <c r="J99" s="2" t="n"/>
    </row>
    <row r="100">
      <c r="A100" s="215" t="n"/>
      <c r="B100" s="60" t="n"/>
      <c r="C100" s="63" t="n"/>
      <c r="D100" s="226" t="n"/>
      <c r="E100" s="227" t="n"/>
      <c r="F100" s="223" t="n"/>
      <c r="G100" s="218">
        <f>F100</f>
        <v/>
      </c>
      <c r="H100" s="219" t="n"/>
      <c r="I100" s="2" t="n"/>
      <c r="J100" s="2" t="n"/>
    </row>
    <row r="101">
      <c r="A101" s="220" t="n"/>
      <c r="B101" s="60" t="n"/>
      <c r="C101" s="221" t="n"/>
      <c r="D101" s="226" t="n"/>
      <c r="E101" s="227" t="n"/>
      <c r="F101" s="223" t="n"/>
      <c r="G101" s="218">
        <f>F101</f>
        <v/>
      </c>
      <c r="H101" s="219" t="n"/>
      <c r="I101" s="2" t="n"/>
      <c r="J101" s="2" t="n"/>
    </row>
    <row r="102">
      <c r="A102" s="220" t="n"/>
      <c r="B102" s="60" t="n"/>
      <c r="C102" s="221" t="n"/>
      <c r="D102" s="226" t="n"/>
      <c r="E102" s="227" t="n"/>
      <c r="F102" s="223" t="n"/>
      <c r="G102" s="218">
        <f>F102</f>
        <v/>
      </c>
      <c r="H102" s="228" t="n"/>
      <c r="I102" s="2" t="n"/>
      <c r="J102" s="2" t="n"/>
    </row>
    <row r="103">
      <c r="A103" s="229" t="inlineStr">
        <is>
          <t>ИТОГО:</t>
        </is>
      </c>
      <c r="B103" s="230" t="n"/>
      <c r="C103" s="231" t="n"/>
      <c r="D103" s="232" t="n"/>
      <c r="E103" s="233">
        <f>SUM(E95:E102)</f>
        <v/>
      </c>
      <c r="F103" s="234" t="n"/>
      <c r="G103" s="235">
        <f>SUM(G95:G102)</f>
        <v/>
      </c>
      <c r="H103" s="235" t="n"/>
      <c r="I103" s="2" t="n"/>
      <c r="J103" s="2" t="n"/>
    </row>
    <row r="104">
      <c r="A104" s="41" t="n"/>
      <c r="B104" s="94" t="n"/>
      <c r="C104" s="43" t="n"/>
      <c r="D104" s="41" t="n"/>
      <c r="E104" s="41" t="n"/>
      <c r="F104" s="41" t="n"/>
      <c r="G104" s="41" t="n"/>
      <c r="H104" s="41" t="n"/>
      <c r="I104" s="2" t="n"/>
      <c r="J104" s="2" t="n"/>
    </row>
    <row r="105">
      <c r="A105" s="236" t="inlineStr">
        <is>
          <t>Услуги оказываем мы</t>
        </is>
      </c>
      <c r="B105" s="54" t="n"/>
      <c r="C105" s="54" t="n"/>
      <c r="D105" s="54" t="n"/>
      <c r="E105" s="54" t="n"/>
      <c r="F105" s="54" t="n"/>
      <c r="G105" s="54" t="n"/>
      <c r="H105" s="54" t="n"/>
      <c r="I105" s="237" t="n"/>
      <c r="J105" s="2" t="n"/>
    </row>
    <row r="106">
      <c r="A106" s="209" t="inlineStr">
        <is>
          <t>Контрагент</t>
        </is>
      </c>
      <c r="B106" s="238" t="inlineStr">
        <is>
          <t>вид услуги</t>
        </is>
      </c>
      <c r="C106" s="239" t="inlineStr">
        <is>
          <t>наименование</t>
        </is>
      </c>
      <c r="D106" s="240" t="inlineStr">
        <is>
          <t>вес, кг, шт</t>
        </is>
      </c>
      <c r="E106" s="240" t="inlineStr">
        <is>
          <t>цена</t>
        </is>
      </c>
      <c r="F106" s="240" t="inlineStr">
        <is>
          <t>сумма</t>
        </is>
      </c>
      <c r="G106" s="213" t="inlineStr">
        <is>
          <t>№УПД</t>
        </is>
      </c>
      <c r="H106" s="213" t="n"/>
      <c r="I106" s="2" t="n"/>
      <c r="J106" s="2" t="n"/>
    </row>
    <row r="107">
      <c r="A107" s="275" t="n"/>
      <c r="B107" s="276" t="n"/>
      <c r="C107" s="243" t="n"/>
      <c r="D107" s="244" t="n"/>
      <c r="E107" s="277" t="n"/>
      <c r="F107" s="278" t="n"/>
      <c r="G107" s="247" t="n"/>
      <c r="H107" s="248" t="n"/>
      <c r="I107" s="2" t="n"/>
      <c r="J107" s="2" t="n"/>
    </row>
    <row r="108">
      <c r="A108" s="249" t="n"/>
      <c r="B108" s="250" t="n"/>
      <c r="C108" s="251" t="n"/>
      <c r="D108" s="252" t="n"/>
      <c r="E108" s="253" t="n"/>
      <c r="F108" s="254">
        <f>D108*E108</f>
        <v/>
      </c>
      <c r="G108" s="255" t="n"/>
      <c r="H108" s="256" t="n"/>
      <c r="I108" s="2" t="n"/>
      <c r="J108" s="2" t="n"/>
    </row>
    <row r="109">
      <c r="A109" s="257" t="n"/>
      <c r="B109" s="258" t="n"/>
      <c r="C109" s="257" t="n"/>
      <c r="D109" s="257" t="n"/>
      <c r="E109" s="257" t="n"/>
      <c r="F109" s="254">
        <f>D109*E109</f>
        <v/>
      </c>
      <c r="G109" s="257" t="n"/>
      <c r="H109" s="257" t="n"/>
      <c r="I109" s="2" t="n"/>
      <c r="J109" s="2" t="n"/>
    </row>
    <row r="110">
      <c r="A110" s="249" t="n"/>
      <c r="B110" s="258" t="n"/>
      <c r="C110" s="257" t="n"/>
      <c r="D110" s="259" t="n"/>
      <c r="E110" s="257" t="n"/>
      <c r="F110" s="260" t="n"/>
      <c r="G110" s="257" t="n"/>
      <c r="H110" s="257" t="n"/>
      <c r="I110" s="2" t="n"/>
      <c r="J110" s="2" t="n"/>
    </row>
    <row r="111">
      <c r="A111" s="2" t="n"/>
      <c r="B111" s="261" t="n"/>
      <c r="C111" s="2" t="n"/>
      <c r="D111" s="2" t="n"/>
      <c r="E111" s="2" t="n"/>
      <c r="F111" s="262" t="n"/>
      <c r="G111" s="2" t="n"/>
      <c r="H111" s="2" t="n"/>
      <c r="I111" s="263" t="n"/>
      <c r="J111" s="264" t="n"/>
    </row>
  </sheetData>
  <mergeCells count="10">
    <mergeCell ref="A50:H50"/>
    <mergeCell ref="A1:J1"/>
    <mergeCell ref="A30:H30"/>
    <mergeCell ref="A105:H105"/>
    <mergeCell ref="J79:J80"/>
    <mergeCell ref="J74:J75"/>
    <mergeCell ref="I53:J53"/>
    <mergeCell ref="A2:J2"/>
    <mergeCell ref="I52:J52"/>
    <mergeCell ref="A93:H9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13.125" customWidth="1" min="6" max="6"/>
    <col width="13.75" customWidth="1" min="7" max="7"/>
    <col width="11.125" customWidth="1" min="8" max="8"/>
    <col width="18.2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n"/>
      <c r="B4" s="267" t="n"/>
      <c r="C4" s="268" t="n"/>
      <c r="D4" s="269" t="n"/>
      <c r="E4" s="17" t="n"/>
      <c r="F4" s="17" t="n"/>
      <c r="G4" s="270" t="n"/>
      <c r="H4" s="19" t="n"/>
      <c r="I4" s="19" t="n"/>
      <c r="J4" s="20" t="n"/>
    </row>
    <row r="5">
      <c r="A5" s="13" t="n"/>
      <c r="B5" s="267" t="n"/>
      <c r="C5" s="268" t="n"/>
      <c r="D5" s="269" t="n"/>
      <c r="E5" s="17" t="n"/>
      <c r="F5" s="17" t="n"/>
      <c r="G5" s="270" t="n"/>
      <c r="H5" s="19" t="n"/>
      <c r="I5" s="19" t="n"/>
      <c r="J5" s="20" t="n"/>
    </row>
    <row r="6">
      <c r="A6" s="13" t="n"/>
      <c r="B6" s="267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30" t="n"/>
      <c r="C7" s="268" t="n"/>
      <c r="D7" s="269" t="n"/>
      <c r="E7" s="17" t="n"/>
      <c r="F7" s="17" t="n"/>
      <c r="G7" s="270" t="n"/>
      <c r="H7" s="19" t="n"/>
      <c r="I7" s="19" t="n"/>
      <c r="J7" s="20" t="n"/>
    </row>
    <row r="8">
      <c r="A8" s="13" t="n"/>
      <c r="B8" s="30" t="n"/>
      <c r="C8" s="268" t="n"/>
      <c r="D8" s="269" t="n"/>
      <c r="E8" s="17" t="n"/>
      <c r="F8" s="17" t="n"/>
      <c r="G8" s="270" t="n"/>
      <c r="H8" s="19" t="n"/>
      <c r="I8" s="19" t="n"/>
      <c r="J8" s="20" t="n"/>
    </row>
    <row r="9">
      <c r="A9" s="13" t="n"/>
      <c r="B9" s="30" t="n"/>
      <c r="C9" s="268" t="n"/>
      <c r="D9" s="269" t="n"/>
      <c r="E9" s="16" t="n"/>
      <c r="F9" s="17" t="n"/>
      <c r="G9" s="270" t="n"/>
      <c r="H9" s="19" t="n"/>
      <c r="I9" s="19" t="n"/>
      <c r="J9" s="20" t="n"/>
    </row>
    <row r="10">
      <c r="A10" s="13" t="n"/>
      <c r="B10" s="30" t="n"/>
      <c r="C10" s="268" t="n"/>
      <c r="D10" s="269" t="n"/>
      <c r="E10" s="16" t="n"/>
      <c r="F10" s="17" t="n"/>
      <c r="G10" s="270" t="n"/>
      <c r="H10" s="19" t="n"/>
      <c r="I10" s="19" t="n"/>
      <c r="J10" s="20" t="n"/>
    </row>
    <row r="11">
      <c r="A11" s="13" t="n"/>
      <c r="B11" s="30" t="n"/>
      <c r="C11" s="268" t="n"/>
      <c r="D11" s="269" t="n"/>
      <c r="E11" s="17" t="n"/>
      <c r="F11" s="17" t="n"/>
      <c r="G11" s="270" t="n"/>
      <c r="H11" s="19" t="n"/>
      <c r="I11" s="19" t="n"/>
      <c r="J11" s="20" t="n"/>
    </row>
    <row r="12">
      <c r="A12" s="13" t="n"/>
      <c r="B12" s="30" t="n"/>
      <c r="C12" s="268" t="n"/>
      <c r="D12" s="269" t="n"/>
      <c r="E12" s="17" t="n"/>
      <c r="F12" s="17" t="n"/>
      <c r="G12" s="270" t="n"/>
      <c r="H12" s="19" t="n"/>
      <c r="I12" s="19" t="n"/>
      <c r="J12" s="20" t="n"/>
    </row>
    <row r="13">
      <c r="A13" s="13" t="n"/>
      <c r="B13" s="30" t="n"/>
      <c r="C13" s="268" t="n"/>
      <c r="D13" s="269" t="n"/>
      <c r="E13" s="17" t="n"/>
      <c r="F13" s="17" t="n"/>
      <c r="G13" s="270" t="n"/>
      <c r="H13" s="19" t="n"/>
      <c r="I13" s="19" t="n"/>
      <c r="J13" s="20" t="n"/>
    </row>
    <row r="14">
      <c r="A14" s="13" t="n"/>
      <c r="B14" s="30" t="n"/>
      <c r="C14" s="268" t="n"/>
      <c r="D14" s="269" t="n"/>
      <c r="E14" s="17" t="n"/>
      <c r="F14" s="17" t="n"/>
      <c r="G14" s="270" t="n"/>
      <c r="H14" s="19" t="n"/>
      <c r="I14" s="19" t="n"/>
      <c r="J14" s="20" t="n"/>
    </row>
    <row r="15">
      <c r="A15" s="13" t="n"/>
      <c r="B15" s="30" t="n"/>
      <c r="C15" s="268" t="n"/>
      <c r="D15" s="269" t="n"/>
      <c r="E15" s="16" t="n"/>
      <c r="F15" s="17" t="n"/>
      <c r="G15" s="270" t="n"/>
      <c r="H15" s="19" t="n"/>
      <c r="I15" s="19" t="n"/>
      <c r="J15" s="20" t="n"/>
    </row>
    <row r="16">
      <c r="A16" s="13" t="n"/>
      <c r="B16" s="30" t="n"/>
      <c r="C16" s="268" t="n"/>
      <c r="D16" s="269" t="n"/>
      <c r="E16" s="16" t="n"/>
      <c r="F16" s="17" t="n"/>
      <c r="G16" s="270" t="n"/>
      <c r="H16" s="19" t="n"/>
      <c r="I16" s="19" t="n"/>
      <c r="J16" s="20" t="n"/>
    </row>
    <row r="17">
      <c r="A17" s="13" t="n"/>
      <c r="B17" s="30" t="n"/>
      <c r="C17" s="268" t="n"/>
      <c r="D17" s="269" t="n"/>
      <c r="E17" s="16" t="n"/>
      <c r="F17" s="17" t="n"/>
      <c r="G17" s="270" t="n"/>
      <c r="H17" s="19" t="n"/>
      <c r="I17" s="19" t="n"/>
      <c r="J17" s="20" t="n"/>
    </row>
    <row r="18">
      <c r="A18" s="13" t="n"/>
      <c r="B18" s="30" t="n"/>
      <c r="C18" s="268" t="n"/>
      <c r="D18" s="269" t="n"/>
      <c r="E18" s="16" t="n"/>
      <c r="F18" s="17" t="n"/>
      <c r="G18" s="270" t="n"/>
      <c r="H18" s="19" t="n"/>
      <c r="I18" s="19" t="n"/>
      <c r="J18" s="20" t="n"/>
    </row>
    <row r="19">
      <c r="A19" s="13" t="n"/>
      <c r="B19" s="30" t="n"/>
      <c r="C19" s="268" t="n"/>
      <c r="D19" s="269" t="n"/>
      <c r="E19" s="16" t="n"/>
      <c r="F19" s="17" t="n"/>
      <c r="G19" s="270" t="n"/>
      <c r="H19" s="19" t="n"/>
      <c r="I19" s="19" t="n"/>
      <c r="J19" s="20" t="n"/>
    </row>
    <row r="20">
      <c r="A20" s="13" t="n"/>
      <c r="B20" s="30" t="n"/>
      <c r="C20" s="268" t="n"/>
      <c r="D20" s="269" t="n"/>
      <c r="E20" s="16" t="n"/>
      <c r="F20" s="17" t="n"/>
      <c r="G20" s="270" t="n"/>
      <c r="H20" s="19" t="n"/>
      <c r="I20" s="19" t="n"/>
      <c r="J20" s="20" t="n"/>
    </row>
    <row r="21">
      <c r="A21" s="13" t="n"/>
      <c r="B21" s="30" t="n"/>
      <c r="C21" s="268" t="n"/>
      <c r="D21" s="26" t="n"/>
      <c r="E21" s="16" t="n"/>
      <c r="F21" s="17" t="n"/>
      <c r="G21" s="270" t="n"/>
      <c r="H21" s="19" t="n"/>
      <c r="I21" s="19" t="n"/>
      <c r="J21" s="20" t="n"/>
    </row>
    <row r="22">
      <c r="A22" s="13" t="n"/>
      <c r="B22" s="30" t="n"/>
      <c r="C22" s="21" t="n"/>
      <c r="D22" s="26" t="n"/>
      <c r="E22" s="16" t="n"/>
      <c r="F22" s="17" t="n"/>
      <c r="G22" s="270" t="n"/>
      <c r="H22" s="19" t="n"/>
      <c r="I22" s="19" t="n"/>
      <c r="J22" s="20" t="n"/>
    </row>
    <row r="23">
      <c r="A23" s="13" t="n"/>
      <c r="B23" s="30" t="n"/>
      <c r="C23" s="21" t="n"/>
      <c r="D23" s="26" t="n"/>
      <c r="E23" s="16" t="n"/>
      <c r="F23" s="17" t="n"/>
      <c r="G23" s="270" t="n"/>
      <c r="H23" s="19" t="n"/>
      <c r="I23" s="19" t="n"/>
      <c r="J23" s="20" t="n"/>
    </row>
    <row r="24">
      <c r="A24" s="29" t="n"/>
      <c r="B24" s="30" t="n"/>
      <c r="C24" s="21" t="n"/>
      <c r="D24" s="26" t="n"/>
      <c r="E24" s="16" t="n"/>
      <c r="F24" s="17" t="n"/>
      <c r="G24" s="270">
        <f>D24*F24</f>
        <v/>
      </c>
      <c r="H24" s="19" t="n"/>
      <c r="I24" s="19">
        <f>H24*E24</f>
        <v/>
      </c>
      <c r="J24" s="32" t="n"/>
    </row>
    <row r="25">
      <c r="A25" s="33" t="n"/>
      <c r="B25" s="34" t="n"/>
      <c r="C25" s="35" t="n"/>
      <c r="D25" s="33" t="n"/>
      <c r="E25" s="36">
        <f>SUM(E4:E24)</f>
        <v/>
      </c>
      <c r="F25" s="36">
        <f>SUM(F4:F24)</f>
        <v/>
      </c>
      <c r="G25" s="37">
        <f>SUM(G4:G24)</f>
        <v/>
      </c>
      <c r="H25" s="38" t="n"/>
      <c r="I25" s="39">
        <f>SUM(I4:I24)</f>
        <v/>
      </c>
      <c r="J25" s="40" t="n"/>
    </row>
    <row r="26">
      <c r="A26" s="41" t="n"/>
      <c r="B26" s="42" t="n"/>
      <c r="C26" s="43" t="n"/>
      <c r="D26" s="41" t="n"/>
      <c r="E26" s="41" t="n"/>
      <c r="F26" s="41" t="n"/>
      <c r="G26" s="41" t="n"/>
      <c r="H26" s="41" t="n"/>
      <c r="I26" s="2" t="n"/>
      <c r="J26" s="2" t="n"/>
    </row>
    <row r="27">
      <c r="A27" s="44" t="inlineStr">
        <is>
          <t xml:space="preserve">Поступление от </t>
        </is>
      </c>
      <c r="B27" s="45" t="inlineStr">
        <is>
          <t>сумма</t>
        </is>
      </c>
      <c r="C27" s="46" t="inlineStr">
        <is>
          <t>примечание</t>
        </is>
      </c>
      <c r="D27" s="47" t="n"/>
      <c r="E27" s="41" t="n"/>
      <c r="F27" s="41" t="n"/>
      <c r="G27" s="41" t="n"/>
      <c r="H27" s="41" t="n"/>
      <c r="I27" s="2" t="n"/>
      <c r="J27" s="2" t="n"/>
    </row>
    <row r="28">
      <c r="A28" s="48" t="n"/>
      <c r="B28" s="49" t="n"/>
      <c r="C28" s="50" t="n"/>
      <c r="D28" s="47" t="n"/>
      <c r="E28" s="41" t="n"/>
      <c r="F28" s="41" t="n"/>
      <c r="G28" s="41" t="n"/>
      <c r="H28" s="41" t="n"/>
      <c r="I28" s="2" t="n"/>
      <c r="J28" s="2" t="n"/>
    </row>
    <row r="29">
      <c r="A29" s="29" t="n"/>
      <c r="B29" s="51" t="n"/>
      <c r="C29" s="52" t="n"/>
      <c r="D29" s="47" t="n"/>
      <c r="E29" s="41" t="n"/>
      <c r="F29" s="41" t="n"/>
      <c r="G29" s="41" t="n"/>
      <c r="H29" s="41" t="n"/>
      <c r="I29" s="2" t="n"/>
      <c r="J29" s="2" t="n"/>
    </row>
    <row r="30">
      <c r="A30" s="53" t="inlineStr">
        <is>
          <t>Касса</t>
        </is>
      </c>
      <c r="B30" s="54" t="n"/>
      <c r="C30" s="54" t="n"/>
      <c r="D30" s="54" t="n"/>
      <c r="E30" s="54" t="n"/>
      <c r="F30" s="54" t="n"/>
      <c r="G30" s="54" t="n"/>
      <c r="H30" s="54" t="n"/>
      <c r="I30" s="2" t="n"/>
      <c r="J30" s="2" t="n"/>
    </row>
    <row r="31">
      <c r="A31" s="55" t="inlineStr">
        <is>
          <t>Производство</t>
        </is>
      </c>
      <c r="B31" s="56" t="n"/>
      <c r="C31" s="56" t="n"/>
      <c r="D31" s="47" t="n"/>
      <c r="E31" s="55" t="inlineStr">
        <is>
          <t xml:space="preserve">Бухгалтерия </t>
        </is>
      </c>
      <c r="F31" s="56" t="n"/>
      <c r="G31" s="56" t="n"/>
      <c r="H31" s="47" t="n"/>
      <c r="I31" s="57" t="n"/>
      <c r="J31" s="58" t="n"/>
    </row>
    <row r="32">
      <c r="A32" s="59" t="inlineStr">
        <is>
          <t>Остаток на начало дня:</t>
        </is>
      </c>
      <c r="B32" s="60" t="n"/>
      <c r="C32" s="61" t="n"/>
      <c r="D32" s="62" t="n">
        <v>21388.24999999996</v>
      </c>
      <c r="E32" s="59" t="inlineStr">
        <is>
          <t>Остаток на начало дня:</t>
        </is>
      </c>
      <c r="F32" s="63" t="n"/>
      <c r="G32" s="61" t="n"/>
      <c r="H32" s="64" t="n">
        <v>0</v>
      </c>
      <c r="I32" s="65" t="n"/>
      <c r="J32" s="2" t="n"/>
    </row>
    <row r="33">
      <c r="A33" s="66" t="inlineStr">
        <is>
          <t>поступление займа от АА через НС</t>
        </is>
      </c>
      <c r="B33" s="67" t="n"/>
      <c r="C33" s="68" t="n">
        <v>20000</v>
      </c>
      <c r="D33" s="68" t="n">
        <v>20000</v>
      </c>
      <c r="E33" s="69" t="n"/>
      <c r="F33" s="70" t="n"/>
      <c r="G33" s="71" t="n"/>
      <c r="H33" s="72" t="n"/>
      <c r="I33" s="313" t="n"/>
      <c r="J33" s="313" t="n"/>
    </row>
    <row r="34">
      <c r="A34" s="66" t="n"/>
      <c r="B34" s="67" t="n"/>
      <c r="C34" s="68" t="n"/>
      <c r="D34" s="68" t="n"/>
      <c r="E34" s="69" t="n"/>
      <c r="F34" s="70" t="n"/>
      <c r="G34" s="71" t="n"/>
      <c r="H34" s="72" t="n"/>
      <c r="I34" s="313" t="n"/>
      <c r="J34" s="2" t="n"/>
    </row>
    <row r="35">
      <c r="A35" s="66" t="n"/>
      <c r="B35" s="67" t="n"/>
      <c r="C35" s="68" t="n"/>
      <c r="D35" s="68" t="n"/>
      <c r="E35" s="69" t="n"/>
      <c r="F35" s="70" t="n"/>
      <c r="G35" s="71" t="n"/>
      <c r="H35" s="72">
        <f>F35*G35</f>
        <v/>
      </c>
      <c r="I35" s="2" t="n"/>
      <c r="J35" s="2" t="n"/>
    </row>
    <row r="36">
      <c r="A36" s="66" t="n"/>
      <c r="B36" s="67" t="n"/>
      <c r="C36" s="68" t="n"/>
      <c r="D36" s="68" t="n"/>
      <c r="E36" s="69" t="n"/>
      <c r="F36" s="70" t="n"/>
      <c r="G36" s="71" t="n"/>
      <c r="H36" s="72">
        <f>F36*G36</f>
        <v/>
      </c>
      <c r="I36" s="2" t="n"/>
      <c r="J36" s="2" t="n"/>
    </row>
    <row r="37">
      <c r="A37" s="66" t="n"/>
      <c r="B37" s="73" t="n"/>
      <c r="C37" s="74" t="n"/>
      <c r="D37" s="75" t="n"/>
      <c r="E37" s="69" t="n"/>
      <c r="F37" s="70" t="n"/>
      <c r="G37" s="71" t="n"/>
      <c r="H37" s="72">
        <f>F37*G37</f>
        <v/>
      </c>
      <c r="I37" s="2" t="n"/>
      <c r="J37" s="2" t="n"/>
    </row>
    <row r="38">
      <c r="A38" s="76" t="n"/>
      <c r="B38" s="67" t="n"/>
      <c r="C38" s="68" t="n"/>
      <c r="D38" s="75" t="n"/>
      <c r="E38" s="77" t="inlineStr">
        <is>
          <t>Итого приход:</t>
        </is>
      </c>
      <c r="F38" s="78" t="n"/>
      <c r="G38" s="79" t="n"/>
      <c r="H38" s="80">
        <f>SUM(H33:H34)</f>
        <v/>
      </c>
      <c r="I38" s="2" t="n"/>
      <c r="J38" s="2" t="n"/>
    </row>
    <row r="39">
      <c r="A39" s="76" t="inlineStr">
        <is>
          <t>Расход за день:</t>
        </is>
      </c>
      <c r="B39" s="67" t="n"/>
      <c r="C39" s="79" t="n"/>
      <c r="D39" s="80" t="n"/>
      <c r="E39" s="76" t="inlineStr">
        <is>
          <t>Расход за день:</t>
        </is>
      </c>
      <c r="F39" s="78" t="n"/>
      <c r="G39" s="79" t="n"/>
      <c r="H39" s="80" t="n"/>
      <c r="I39" s="2" t="n"/>
      <c r="J39" s="2" t="n"/>
    </row>
    <row r="40">
      <c r="A40" s="81" t="inlineStr">
        <is>
          <t>уборка</t>
        </is>
      </c>
      <c r="B40" s="67" t="n"/>
      <c r="C40" s="68" t="n"/>
      <c r="D40" s="68" t="n">
        <v>0</v>
      </c>
      <c r="E40" s="76" t="n"/>
      <c r="F40" s="78" t="n"/>
      <c r="G40" s="79" t="n"/>
      <c r="H40" s="72">
        <f>F40*G40</f>
        <v/>
      </c>
      <c r="I40" s="2" t="n"/>
      <c r="J40" s="2" t="n"/>
    </row>
    <row r="41">
      <c r="A41" s="69" t="inlineStr">
        <is>
          <t>премия Амплеева</t>
        </is>
      </c>
      <c r="B41" s="67" t="n"/>
      <c r="C41" s="68" t="n">
        <v>5000</v>
      </c>
      <c r="D41" s="74" t="n">
        <v>5000</v>
      </c>
      <c r="E41" s="76" t="n"/>
      <c r="F41" s="78" t="n"/>
      <c r="G41" s="79" t="n"/>
      <c r="H41" s="72">
        <f>F41*G41</f>
        <v/>
      </c>
      <c r="I41" s="2" t="n"/>
      <c r="J41" s="2" t="n"/>
    </row>
    <row r="42">
      <c r="A42" s="69" t="inlineStr">
        <is>
          <t>премия Пургина</t>
        </is>
      </c>
      <c r="B42" s="67" t="n"/>
      <c r="C42" s="68" t="n">
        <v>5000</v>
      </c>
      <c r="D42" s="74" t="n">
        <v>5000</v>
      </c>
      <c r="E42" s="76" t="n"/>
      <c r="F42" s="78" t="n"/>
      <c r="G42" s="79" t="n"/>
      <c r="H42" s="72">
        <f>F42*G42</f>
        <v/>
      </c>
      <c r="I42" s="2" t="n"/>
      <c r="J42" s="2" t="n"/>
    </row>
    <row r="43">
      <c r="A43" s="69" t="inlineStr">
        <is>
          <t>премия Реброва</t>
        </is>
      </c>
      <c r="B43" s="67" t="n"/>
      <c r="C43" s="68" t="n">
        <v>5000</v>
      </c>
      <c r="D43" s="74" t="n">
        <v>5000</v>
      </c>
      <c r="E43" s="76" t="n"/>
      <c r="F43" s="78" t="n"/>
      <c r="G43" s="79" t="n"/>
      <c r="H43" s="72">
        <f>F43*G43</f>
        <v/>
      </c>
      <c r="I43" s="2" t="n"/>
      <c r="J43" s="2" t="n"/>
    </row>
    <row r="44">
      <c r="A44" s="69" t="inlineStr">
        <is>
          <t>премия Гончарова</t>
        </is>
      </c>
      <c r="B44" s="67" t="n"/>
      <c r="C44" s="68" t="n">
        <v>5000</v>
      </c>
      <c r="D44" s="68" t="n">
        <v>5000</v>
      </c>
      <c r="E44" s="76" t="n"/>
      <c r="F44" s="78" t="n"/>
      <c r="G44" s="79" t="n"/>
      <c r="H44" s="72">
        <f>F44*G44</f>
        <v/>
      </c>
      <c r="I44" s="313" t="n"/>
      <c r="J44" s="2" t="n"/>
    </row>
    <row r="45">
      <c r="A45" s="69" t="inlineStr">
        <is>
          <t>угощения для сотрудников</t>
        </is>
      </c>
      <c r="B45" s="67" t="n"/>
      <c r="C45" s="68" t="n">
        <v>3148</v>
      </c>
      <c r="D45" s="68" t="n">
        <v>3148</v>
      </c>
      <c r="E45" s="76" t="n"/>
      <c r="F45" s="78" t="n"/>
      <c r="G45" s="79" t="n"/>
      <c r="H45" s="72">
        <f>F45*G45</f>
        <v/>
      </c>
      <c r="I45" s="2" t="n"/>
      <c r="J45" s="2" t="n"/>
    </row>
    <row r="46">
      <c r="A46" s="69" t="n"/>
      <c r="B46" s="67" t="n"/>
      <c r="C46" s="68" t="n"/>
      <c r="D46" s="75" t="n"/>
      <c r="E46" s="76" t="n"/>
      <c r="F46" s="78" t="n"/>
      <c r="G46" s="79" t="n"/>
      <c r="H46" s="72">
        <f>F46*G46</f>
        <v/>
      </c>
      <c r="I46" s="2" t="n"/>
      <c r="J46" s="2" t="n"/>
    </row>
    <row r="47">
      <c r="A47" s="83" t="n"/>
      <c r="B47" s="67" t="n"/>
      <c r="C47" s="68" t="n"/>
      <c r="D47" s="84" t="n"/>
      <c r="E47" s="85" t="inlineStr">
        <is>
          <t>Итого расход:</t>
        </is>
      </c>
      <c r="F47" s="78" t="n"/>
      <c r="G47" s="79" t="n"/>
      <c r="H47" s="72">
        <f>F47*G47</f>
        <v/>
      </c>
      <c r="I47" s="86" t="n"/>
      <c r="J47" s="86" t="n"/>
    </row>
    <row r="48">
      <c r="A48" s="87" t="inlineStr">
        <is>
          <t>Остаток на конец дня:</t>
        </is>
      </c>
      <c r="B48" s="88" t="n"/>
      <c r="C48" s="89" t="n"/>
      <c r="D48" s="90">
        <f>SUM(D33,D34:D37,D32,)-SUM(D40:D47,)</f>
        <v/>
      </c>
      <c r="E48" s="87" t="inlineStr">
        <is>
          <t>Остаток на конец дня:</t>
        </is>
      </c>
      <c r="F48" s="91" t="n"/>
      <c r="G48" s="89" t="n"/>
      <c r="H48" s="92">
        <f>SUM(H32+H38-H47)</f>
        <v/>
      </c>
      <c r="I48" s="2" t="n"/>
      <c r="J48" s="2" t="n"/>
    </row>
    <row r="49">
      <c r="A49" s="93" t="n"/>
      <c r="B49" s="94" t="n"/>
      <c r="C49" s="43" t="n"/>
      <c r="D49" s="41" t="n"/>
      <c r="E49" s="41" t="n"/>
      <c r="F49" s="41" t="n"/>
      <c r="G49" s="2" t="n"/>
      <c r="H49" s="2" t="n"/>
      <c r="I49" s="2" t="n"/>
      <c r="J49" s="2" t="n"/>
    </row>
    <row r="50">
      <c r="A50" s="95" t="inlineStr">
        <is>
          <t>Расчётный счёт</t>
        </is>
      </c>
      <c r="B50" s="54" t="n"/>
      <c r="C50" s="54" t="n"/>
      <c r="D50" s="54" t="n"/>
      <c r="E50" s="54" t="n"/>
      <c r="F50" s="54" t="n"/>
      <c r="G50" s="54" t="n"/>
      <c r="H50" s="54" t="n"/>
      <c r="I50" s="2" t="n"/>
      <c r="J50" s="2" t="n"/>
    </row>
    <row r="51">
      <c r="A51" s="96" t="inlineStr">
        <is>
          <t>ВТБ</t>
        </is>
      </c>
      <c r="B51" s="279" t="inlineStr">
        <is>
          <t>ВТБ</t>
        </is>
      </c>
      <c r="C51" s="279" t="n"/>
      <c r="D51" s="47" t="n"/>
      <c r="E51" s="97" t="inlineStr">
        <is>
          <t>Альфабанк</t>
        </is>
      </c>
      <c r="F51" s="56" t="n"/>
      <c r="G51" s="56" t="n"/>
      <c r="H51" s="47" t="n"/>
      <c r="I51" s="330" t="inlineStr">
        <is>
          <t>Уралсиб</t>
        </is>
      </c>
    </row>
    <row r="52">
      <c r="A52" s="98" t="inlineStr">
        <is>
          <t>Остаток на начало дня:</t>
        </is>
      </c>
      <c r="B52" s="280" t="n"/>
      <c r="C52" s="290" t="n">
        <v>278383.41</v>
      </c>
      <c r="D52" s="56" t="n"/>
      <c r="E52" s="100" t="inlineStr">
        <is>
          <t>Остаток на начало дня:</t>
        </is>
      </c>
      <c r="F52" s="47" t="n"/>
      <c r="G52" s="101" t="n">
        <v>2428.5</v>
      </c>
      <c r="H52" s="47" t="n"/>
      <c r="I52" s="330" t="inlineStr">
        <is>
          <t>Остаток на начало дня :</t>
        </is>
      </c>
      <c r="J52" s="332" t="n"/>
    </row>
    <row r="53">
      <c r="A53" s="102" t="inlineStr">
        <is>
          <t>Поступление</t>
        </is>
      </c>
      <c r="B53" s="47" t="n"/>
      <c r="C53" s="102" t="inlineStr">
        <is>
          <t>Расход</t>
        </is>
      </c>
      <c r="D53" s="47" t="n"/>
      <c r="E53" s="102" t="inlineStr">
        <is>
          <t>Поступление</t>
        </is>
      </c>
      <c r="F53" s="47" t="n"/>
      <c r="G53" s="102" t="inlineStr">
        <is>
          <t>Расход</t>
        </is>
      </c>
      <c r="H53" s="47" t="n"/>
      <c r="I53" s="334" t="inlineStr">
        <is>
          <t xml:space="preserve">Поступление </t>
        </is>
      </c>
      <c r="J53" s="332" t="n"/>
    </row>
    <row r="54">
      <c r="A54" s="103" t="inlineStr">
        <is>
          <t>от кого</t>
        </is>
      </c>
      <c r="B54" s="103" t="inlineStr">
        <is>
          <t>сумма</t>
        </is>
      </c>
      <c r="C54" s="103" t="inlineStr">
        <is>
          <t>кому</t>
        </is>
      </c>
      <c r="D54" s="103" t="inlineStr">
        <is>
          <t>сумма</t>
        </is>
      </c>
      <c r="E54" s="103" t="inlineStr">
        <is>
          <t>от кого</t>
        </is>
      </c>
      <c r="F54" s="103" t="inlineStr">
        <is>
          <t>сумма</t>
        </is>
      </c>
      <c r="G54" s="336" t="inlineStr">
        <is>
          <t xml:space="preserve">кому </t>
        </is>
      </c>
      <c r="H54" s="103" t="inlineStr">
        <is>
          <t>сумма</t>
        </is>
      </c>
      <c r="I54" s="334" t="inlineStr">
        <is>
          <t xml:space="preserve">от кого </t>
        </is>
      </c>
      <c r="J54" s="334" t="inlineStr">
        <is>
          <t xml:space="preserve">сумма </t>
        </is>
      </c>
    </row>
    <row r="55">
      <c r="A55" s="104" t="n"/>
      <c r="B55" s="281" t="n"/>
      <c r="C55" s="106" t="n"/>
      <c r="D55" s="107" t="n"/>
      <c r="E55" s="108" t="n"/>
      <c r="F55" s="109" t="n"/>
      <c r="G55" s="110" t="n"/>
      <c r="H55" s="109" t="n"/>
      <c r="I55" s="338" t="n"/>
      <c r="J55" s="339" t="n"/>
    </row>
    <row r="56">
      <c r="A56" s="282" t="inlineStr">
        <is>
          <t xml:space="preserve">Проценты по депозиту </t>
        </is>
      </c>
      <c r="B56" s="281" t="n">
        <v>142.81</v>
      </c>
      <c r="C56" s="112" t="inlineStr">
        <is>
          <t xml:space="preserve">комиссия банка </t>
        </is>
      </c>
      <c r="D56" s="107" t="n">
        <v>150</v>
      </c>
      <c r="E56" s="110" t="inlineStr">
        <is>
          <t xml:space="preserve">финансирование по факторингу </t>
        </is>
      </c>
      <c r="F56" s="109" t="n">
        <v>542016</v>
      </c>
      <c r="G56" s="110" t="inlineStr">
        <is>
          <t xml:space="preserve">перевод в ВТБ </t>
        </is>
      </c>
      <c r="H56" s="109" t="n">
        <v>542000</v>
      </c>
      <c r="I56" s="338" t="n"/>
      <c r="J56" s="338" t="n"/>
    </row>
    <row r="57">
      <c r="A57" s="111" t="inlineStr">
        <is>
          <t xml:space="preserve">Золотой снек  за арахис </t>
        </is>
      </c>
      <c r="B57" s="283" t="n">
        <v>100000</v>
      </c>
      <c r="C57" s="113" t="inlineStr">
        <is>
          <t xml:space="preserve">ООО Эколаб за услуги дератизации </t>
        </is>
      </c>
      <c r="D57" s="107" t="n">
        <v>7000</v>
      </c>
      <c r="E57" s="110" t="n"/>
      <c r="F57" s="109" t="n"/>
      <c r="G57" s="114" t="n"/>
      <c r="H57" s="109" t="n"/>
      <c r="I57" s="338" t="n"/>
      <c r="J57" s="338" t="n"/>
    </row>
    <row r="58">
      <c r="A58" s="115" t="inlineStr">
        <is>
          <t xml:space="preserve">Перевод с альфа банка </t>
        </is>
      </c>
      <c r="B58" s="283" t="n">
        <v>542000</v>
      </c>
      <c r="C58" s="113" t="inlineStr">
        <is>
          <t xml:space="preserve">ООО Промстеклоснаб  транспортные услуги </t>
        </is>
      </c>
      <c r="D58" s="107" t="n">
        <v>20000</v>
      </c>
      <c r="E58" s="108" t="n"/>
      <c r="F58" s="116" t="n"/>
      <c r="G58" s="114" t="n"/>
      <c r="H58" s="109" t="n"/>
      <c r="I58" s="338" t="n"/>
      <c r="J58" s="338" t="n"/>
    </row>
    <row r="59">
      <c r="A59" s="117" t="n"/>
      <c r="B59" s="283" t="n"/>
      <c r="C59" s="113" t="inlineStr">
        <is>
          <t>ООО ПФ Крэдо за ремонт двигателя</t>
        </is>
      </c>
      <c r="D59" s="107" t="n">
        <v>31411</v>
      </c>
      <c r="E59" s="118" t="n"/>
      <c r="F59" s="119" t="n"/>
      <c r="G59" s="120" t="n"/>
      <c r="H59" s="120" t="n"/>
      <c r="I59" s="338" t="n"/>
      <c r="J59" s="338" t="n"/>
    </row>
    <row r="60">
      <c r="A60" s="117" t="n"/>
      <c r="B60" s="283" t="n"/>
      <c r="C60" s="113" t="inlineStr">
        <is>
          <t xml:space="preserve">ИП Головлин  аренда </t>
        </is>
      </c>
      <c r="D60" s="107" t="n">
        <v>400000</v>
      </c>
      <c r="E60" s="118" t="n"/>
      <c r="F60" s="119" t="n"/>
      <c r="G60" s="121" t="n"/>
      <c r="H60" s="120" t="n"/>
      <c r="I60" s="338" t="n"/>
      <c r="J60" s="338" t="n"/>
    </row>
    <row r="61">
      <c r="A61" s="122" t="n"/>
      <c r="B61" s="283" t="n"/>
      <c r="C61" s="113" t="inlineStr">
        <is>
          <t>размещение на депозите 312340</t>
        </is>
      </c>
      <c r="D61" s="107" t="n">
        <v>0</v>
      </c>
      <c r="E61" s="118" t="n"/>
      <c r="F61" s="118" t="n"/>
      <c r="G61" s="123" t="n"/>
      <c r="H61" s="120" t="n"/>
      <c r="I61" s="338" t="n"/>
      <c r="J61" s="338" t="n"/>
    </row>
    <row r="62">
      <c r="A62" s="124" t="n"/>
      <c r="B62" s="284" t="n"/>
      <c r="C62" s="113" t="n"/>
      <c r="D62" s="107" t="n"/>
      <c r="E62" s="124" t="n"/>
      <c r="F62" s="118" t="n"/>
      <c r="G62" s="110" t="n"/>
      <c r="H62" s="120" t="n"/>
      <c r="I62" s="338" t="n"/>
      <c r="J62" s="338" t="n"/>
    </row>
    <row r="63">
      <c r="A63" s="124" t="n"/>
      <c r="B63" s="285" t="n"/>
      <c r="C63" s="112" t="n"/>
      <c r="D63" s="126" t="n"/>
      <c r="E63" s="124" t="n"/>
      <c r="F63" s="118" t="n"/>
      <c r="G63" s="110" t="n"/>
      <c r="H63" s="120" t="n"/>
      <c r="I63" s="338" t="n"/>
      <c r="J63" s="338" t="n"/>
    </row>
    <row r="64">
      <c r="A64" s="124" t="n"/>
      <c r="B64" s="285" t="n"/>
      <c r="C64" s="112" t="n"/>
      <c r="D64" s="126" t="n"/>
      <c r="E64" s="124" t="n"/>
      <c r="F64" s="118" t="n"/>
      <c r="G64" s="110" t="n"/>
      <c r="H64" s="120" t="n"/>
      <c r="I64" s="338" t="n"/>
      <c r="J64" s="338" t="n"/>
    </row>
    <row r="65">
      <c r="A65" s="124" t="n"/>
      <c r="B65" s="285" t="n"/>
      <c r="C65" s="112" t="n"/>
      <c r="D65" s="126" t="n"/>
      <c r="E65" s="124" t="n"/>
      <c r="F65" s="118" t="n"/>
      <c r="G65" s="110" t="n"/>
      <c r="H65" s="120" t="n"/>
      <c r="I65" s="338" t="n"/>
      <c r="J65" s="338" t="n"/>
    </row>
    <row r="66">
      <c r="A66" s="124" t="n"/>
      <c r="B66" s="285" t="n"/>
      <c r="C66" s="112" t="n"/>
      <c r="D66" s="343" t="n"/>
      <c r="E66" s="124" t="n"/>
      <c r="F66" s="118" t="n"/>
      <c r="G66" s="110" t="n"/>
      <c r="H66" s="120" t="n"/>
      <c r="I66" s="338" t="n"/>
      <c r="J66" s="338" t="n"/>
    </row>
    <row r="67">
      <c r="A67" s="124" t="n"/>
      <c r="B67" s="125" t="n"/>
      <c r="C67" s="110" t="n"/>
      <c r="D67" s="126" t="n"/>
      <c r="E67" s="124" t="n"/>
      <c r="F67" s="118" t="n"/>
      <c r="G67" s="110" t="n"/>
      <c r="H67" s="120" t="n"/>
      <c r="I67" s="338" t="n"/>
      <c r="J67" s="338" t="n"/>
    </row>
    <row r="68">
      <c r="A68" s="127" t="n"/>
      <c r="B68" s="128">
        <f>SUM(B55:B67)+C52</f>
        <v/>
      </c>
      <c r="C68" s="129" t="n"/>
      <c r="D68" s="128">
        <f>SUM(D55:D67)</f>
        <v/>
      </c>
      <c r="E68" s="130" t="n"/>
      <c r="F68" s="130">
        <f>SUM(F55:F67)</f>
        <v/>
      </c>
      <c r="G68" s="130" t="n"/>
      <c r="H68" s="130">
        <f>SUM(H55:H67)</f>
        <v/>
      </c>
      <c r="I68" s="344" t="n"/>
      <c r="J68" s="345" t="n"/>
    </row>
    <row r="69">
      <c r="A69" s="131" t="inlineStr">
        <is>
          <t>Остаток на конец дня:</t>
        </is>
      </c>
      <c r="B69" s="132">
        <f>B68-D68</f>
        <v/>
      </c>
      <c r="C69" s="56" t="n"/>
      <c r="D69" s="47" t="n"/>
      <c r="E69" s="100" t="inlineStr">
        <is>
          <t>Остаток на конец дня:</t>
        </is>
      </c>
      <c r="F69" s="101" t="n">
        <v>2444.5</v>
      </c>
      <c r="G69" s="56" t="n"/>
      <c r="H69" s="47" t="n"/>
      <c r="I69" s="330" t="inlineStr">
        <is>
          <t xml:space="preserve">Остаток на конец дня </t>
        </is>
      </c>
      <c r="J69" s="344" t="n"/>
    </row>
    <row r="70">
      <c r="A70" s="133" t="inlineStr">
        <is>
          <t>ИТОГО:</t>
        </is>
      </c>
      <c r="B70" s="47" t="n"/>
      <c r="C70" s="134" t="n">
        <v>464409.72</v>
      </c>
      <c r="D70" s="56" t="n"/>
      <c r="E70" s="56" t="n"/>
      <c r="F70" s="56" t="n"/>
      <c r="G70" s="56" t="n"/>
      <c r="H70" s="47" t="n"/>
      <c r="I70" s="257" t="n"/>
      <c r="J70" s="257" t="n"/>
    </row>
    <row r="71">
      <c r="A71" s="41" t="n"/>
      <c r="B71" s="94" t="n"/>
      <c r="C71" s="43" t="n"/>
      <c r="D71" s="41" t="n"/>
      <c r="E71" s="41" t="n"/>
      <c r="F71" s="41" t="n"/>
      <c r="G71" s="41" t="n"/>
      <c r="H71" s="93" t="n"/>
      <c r="I71" s="135" t="n"/>
      <c r="J71" s="135" t="n"/>
    </row>
    <row r="72">
      <c r="A72" s="136" t="n"/>
      <c r="B72" s="137" t="inlineStr">
        <is>
          <t>Реализация по безналичному расчёту</t>
        </is>
      </c>
      <c r="D72" s="2" t="n"/>
      <c r="E72" s="41" t="n"/>
      <c r="F72" s="41" t="n"/>
      <c r="G72" s="41" t="n"/>
      <c r="H72" s="138" t="n"/>
      <c r="I72" s="2" t="n"/>
      <c r="J72" s="2" t="n"/>
    </row>
    <row r="73">
      <c r="A73" s="139" t="inlineStr">
        <is>
          <t>Контрагент</t>
        </is>
      </c>
      <c r="B73" s="140" t="inlineStr">
        <is>
          <t>поставщик</t>
        </is>
      </c>
      <c r="C73" s="141" t="inlineStr">
        <is>
          <t>наименование</t>
        </is>
      </c>
      <c r="D73" s="142" t="inlineStr">
        <is>
          <t>вес упаковки, тарелки</t>
        </is>
      </c>
      <c r="E73" s="143" t="inlineStr">
        <is>
          <t>кол.-во пакетов, коробок</t>
        </is>
      </c>
      <c r="F73" s="144" t="inlineStr">
        <is>
          <t>кол-во мест в коробке/упаковке</t>
        </is>
      </c>
      <c r="G73" s="145" t="inlineStr">
        <is>
          <t>общий вес, кг.</t>
        </is>
      </c>
      <c r="H73" s="146" t="inlineStr">
        <is>
          <t>цена пакет, тарелка</t>
        </is>
      </c>
      <c r="I73" s="147" t="inlineStr">
        <is>
          <t>сумма</t>
        </is>
      </c>
      <c r="J73" s="348" t="inlineStr">
        <is>
          <t>Комментарий</t>
        </is>
      </c>
    </row>
    <row r="74">
      <c r="A74" s="244" t="inlineStr">
        <is>
          <t>Элемент трейд</t>
        </is>
      </c>
      <c r="B74" s="267" t="inlineStr">
        <is>
          <t>Снекпром</t>
        </is>
      </c>
      <c r="C74" s="268" t="inlineStr">
        <is>
          <t>Арахис в хрустящей корочке "Квадромикс", тарелка 200 г</t>
        </is>
      </c>
      <c r="D74" s="269" t="n">
        <v>0.2</v>
      </c>
      <c r="E74" s="51" t="n">
        <v>80</v>
      </c>
      <c r="F74" s="51" t="n">
        <v>18</v>
      </c>
      <c r="G74" s="349">
        <f>F74*E74*D74</f>
        <v/>
      </c>
      <c r="H74" s="350" t="n">
        <v>68</v>
      </c>
      <c r="I74" s="350">
        <f>H74*F74*E74</f>
        <v/>
      </c>
      <c r="J74" s="351" t="inlineStr">
        <is>
          <t>ЕКБ</t>
        </is>
      </c>
    </row>
    <row r="75">
      <c r="A75" s="244" t="n"/>
      <c r="B75" s="267" t="n"/>
      <c r="C75" s="268" t="inlineStr">
        <is>
          <t>Ассорти арахиса жареного со специями, тарелка 200 г</t>
        </is>
      </c>
      <c r="D75" s="269" t="n">
        <v>0.2</v>
      </c>
      <c r="E75" s="51" t="n">
        <v>80</v>
      </c>
      <c r="F75" s="51" t="n">
        <v>18</v>
      </c>
      <c r="G75" s="349">
        <f>F75*E75*D75</f>
        <v/>
      </c>
      <c r="H75" s="350" t="n">
        <v>94.09999999999999</v>
      </c>
      <c r="I75" s="350">
        <f>H75*F75*E75</f>
        <v/>
      </c>
      <c r="J75" s="352" t="n"/>
    </row>
    <row r="76">
      <c r="A76" s="244" t="n"/>
      <c r="B76" s="267" t="n"/>
      <c r="C76" s="268" t="n"/>
      <c r="D76" s="269" t="n"/>
      <c r="E76" s="51" t="n"/>
      <c r="F76" s="51" t="n"/>
      <c r="G76" s="349" t="n"/>
      <c r="H76" s="350" t="n"/>
      <c r="I76" s="350">
        <f>H76*F76*E76</f>
        <v/>
      </c>
      <c r="J76" s="353" t="n"/>
    </row>
    <row r="77">
      <c r="A77" s="244" t="n"/>
      <c r="B77" s="267" t="n"/>
      <c r="C77" s="268" t="n"/>
      <c r="D77" s="269" t="n"/>
      <c r="E77" s="51" t="n"/>
      <c r="F77" s="51" t="n"/>
      <c r="G77" s="349" t="n"/>
      <c r="H77" s="350" t="n"/>
      <c r="I77" s="350" t="n"/>
      <c r="J77" s="357" t="n"/>
    </row>
    <row r="78">
      <c r="A78" s="244" t="n"/>
      <c r="B78" s="244" t="n"/>
      <c r="C78" s="268" t="n"/>
      <c r="D78" s="269" t="n"/>
      <c r="E78" s="51" t="n"/>
      <c r="F78" s="51" t="n"/>
      <c r="G78" s="349" t="n"/>
      <c r="H78" s="350" t="n"/>
      <c r="I78" s="350" t="n"/>
      <c r="J78" s="358" t="n"/>
    </row>
    <row r="79">
      <c r="A79" s="244" t="n"/>
      <c r="B79" s="267" t="n"/>
      <c r="C79" s="268" t="n"/>
      <c r="D79" s="269" t="n"/>
      <c r="E79" s="51" t="n"/>
      <c r="F79" s="51" t="n"/>
      <c r="G79" s="349" t="n"/>
      <c r="H79" s="350" t="n"/>
      <c r="I79" s="350" t="n"/>
      <c r="J79" s="351" t="n"/>
    </row>
    <row r="80">
      <c r="A80" s="244" t="n"/>
      <c r="B80" s="244" t="n"/>
      <c r="C80" s="268" t="n"/>
      <c r="D80" s="269" t="n"/>
      <c r="E80" s="51" t="n"/>
      <c r="F80" s="51" t="n"/>
      <c r="G80" s="349" t="n"/>
      <c r="H80" s="350" t="n"/>
      <c r="I80" s="350" t="n"/>
      <c r="J80" s="352" t="n"/>
    </row>
    <row r="81">
      <c r="A81" s="162" t="n"/>
      <c r="B81" s="163" t="n"/>
      <c r="C81" s="164" t="n"/>
      <c r="D81" s="165" t="n"/>
      <c r="E81" s="166" t="n"/>
      <c r="F81" s="167" t="n"/>
      <c r="G81" s="168" t="n"/>
      <c r="H81" s="169" t="n"/>
      <c r="I81" s="170" t="n"/>
      <c r="J81" s="161" t="n"/>
    </row>
    <row r="82">
      <c r="A82" s="162" t="n"/>
      <c r="B82" s="163" t="n"/>
      <c r="C82" s="171" t="n"/>
      <c r="D82" s="153" t="n"/>
      <c r="E82" s="172" t="n"/>
      <c r="F82" s="155" t="n"/>
      <c r="G82" s="168" t="n"/>
      <c r="H82" s="156" t="n"/>
      <c r="I82" s="170" t="n"/>
      <c r="J82" s="161" t="n"/>
    </row>
    <row r="83">
      <c r="A83" s="162" t="n"/>
      <c r="B83" s="163" t="n"/>
      <c r="C83" s="171" t="n"/>
      <c r="D83" s="153" t="n"/>
      <c r="E83" s="172" t="n"/>
      <c r="F83" s="155" t="n"/>
      <c r="G83" s="168" t="n"/>
      <c r="H83" s="156" t="n"/>
      <c r="I83" s="170" t="n"/>
      <c r="J83" s="161" t="n"/>
    </row>
    <row r="84">
      <c r="A84" s="162" t="n"/>
      <c r="B84" s="163" t="n"/>
      <c r="C84" s="171" t="n"/>
      <c r="D84" s="153" t="n"/>
      <c r="E84" s="172" t="n"/>
      <c r="F84" s="155" t="n"/>
      <c r="G84" s="168" t="n"/>
      <c r="H84" s="156" t="n"/>
      <c r="I84" s="170" t="n"/>
      <c r="J84" s="161" t="n"/>
    </row>
    <row r="85">
      <c r="A85" s="162" t="n"/>
      <c r="B85" s="163" t="n"/>
      <c r="C85" s="171" t="n"/>
      <c r="D85" s="153" t="n"/>
      <c r="E85" s="172" t="n"/>
      <c r="F85" s="155" t="n"/>
      <c r="G85" s="168" t="n"/>
      <c r="H85" s="156" t="n"/>
      <c r="I85" s="170" t="n"/>
      <c r="J85" s="161" t="n"/>
    </row>
    <row r="86">
      <c r="A86" s="173" t="n"/>
      <c r="B86" s="174" t="n"/>
      <c r="C86" s="175" t="n"/>
      <c r="D86" s="176" t="n"/>
      <c r="E86" s="177" t="n"/>
      <c r="F86" s="178" t="n"/>
      <c r="G86" s="179" t="n"/>
      <c r="H86" s="180" t="n"/>
      <c r="I86" s="181" t="n"/>
      <c r="J86" s="161" t="n"/>
    </row>
    <row r="87">
      <c r="A87" s="182" t="n"/>
      <c r="B87" s="163" t="n"/>
      <c r="C87" s="183" t="n"/>
      <c r="D87" s="184" t="n"/>
      <c r="E87" s="166" t="n"/>
      <c r="F87" s="167" t="n"/>
      <c r="G87" s="185">
        <f>D87*F87</f>
        <v/>
      </c>
      <c r="H87" s="186" t="n"/>
      <c r="I87" s="186">
        <f>F87*H87*E87</f>
        <v/>
      </c>
      <c r="J87" s="187" t="n"/>
    </row>
    <row r="88">
      <c r="A88" s="182" t="n"/>
      <c r="B88" s="163" t="n"/>
      <c r="C88" s="188" t="n"/>
      <c r="D88" s="189" t="n"/>
      <c r="E88" s="190" t="n"/>
      <c r="F88" s="189" t="n"/>
      <c r="G88" s="185">
        <f>D88*F88</f>
        <v/>
      </c>
      <c r="H88" s="191" t="n"/>
      <c r="I88" s="186">
        <f>F88*H88*E88</f>
        <v/>
      </c>
      <c r="J88" s="187" t="n"/>
    </row>
    <row r="89">
      <c r="A89" s="192" t="inlineStr">
        <is>
          <t>ИТОГО:</t>
        </is>
      </c>
      <c r="B89" s="193" t="n"/>
      <c r="C89" s="194" t="n"/>
      <c r="D89" s="195" t="n"/>
      <c r="E89" s="196">
        <f>SUM(E74:E88)</f>
        <v/>
      </c>
      <c r="F89" s="197">
        <f>SUM(F74:F86)</f>
        <v/>
      </c>
      <c r="G89" s="198">
        <f>SUM(G74:G81)</f>
        <v/>
      </c>
      <c r="H89" s="199" t="n"/>
      <c r="I89" s="199">
        <f>SUM(I74:I82)</f>
        <v/>
      </c>
      <c r="J89" s="200" t="n"/>
    </row>
    <row r="90">
      <c r="A90" s="2" t="n"/>
      <c r="B90" s="94" t="n"/>
      <c r="C90" s="43" t="n"/>
      <c r="D90" s="41" t="n"/>
      <c r="E90" s="41" t="n"/>
      <c r="F90" s="41" t="n"/>
      <c r="G90" s="41" t="n"/>
      <c r="H90" s="2" t="n"/>
      <c r="I90" s="2" t="n"/>
      <c r="J90" s="2" t="n"/>
    </row>
    <row r="91">
      <c r="A91" s="201" t="inlineStr">
        <is>
          <t>реализация Всего касса+безнал:</t>
        </is>
      </c>
      <c r="B91" s="202" t="inlineStr">
        <is>
          <t>кг</t>
        </is>
      </c>
      <c r="C91" s="203" t="inlineStr">
        <is>
          <t>на сумму</t>
        </is>
      </c>
      <c r="D91" s="41" t="n"/>
      <c r="E91" s="41" t="n"/>
      <c r="F91" s="41" t="n"/>
      <c r="G91" s="41" t="n"/>
      <c r="H91" s="2" t="n"/>
      <c r="I91" s="2" t="n"/>
      <c r="J91" s="2" t="n"/>
    </row>
    <row r="92">
      <c r="A92" s="204" t="n"/>
      <c r="B92" s="205">
        <f>E25+G89</f>
        <v/>
      </c>
      <c r="C92" s="206">
        <f>I25+H89+I89</f>
        <v/>
      </c>
      <c r="D92" s="41" t="n"/>
      <c r="E92" s="41" t="n"/>
      <c r="F92" s="41" t="n"/>
      <c r="G92" s="41" t="n"/>
      <c r="H92" s="2" t="n"/>
      <c r="I92" s="2" t="n"/>
      <c r="J92" s="2" t="n"/>
    </row>
    <row r="93">
      <c r="A93" s="207" t="inlineStr">
        <is>
          <t>Услуги оказывают нам (доставка сырья и комплектующих на склад, Товара покупателям)</t>
        </is>
      </c>
      <c r="B93" s="54" t="n"/>
      <c r="C93" s="54" t="n"/>
      <c r="D93" s="54" t="n"/>
      <c r="E93" s="54" t="n"/>
      <c r="F93" s="54" t="n"/>
      <c r="G93" s="54" t="n"/>
      <c r="H93" s="54" t="n"/>
      <c r="I93" s="291" t="n"/>
      <c r="J93" s="58" t="n"/>
    </row>
    <row r="94">
      <c r="A94" s="209" t="inlineStr">
        <is>
          <t>Контрагент</t>
        </is>
      </c>
      <c r="B94" s="210" t="inlineStr">
        <is>
          <t>вид услуги</t>
        </is>
      </c>
      <c r="C94" s="211" t="inlineStr">
        <is>
          <t>Кому / От кого</t>
        </is>
      </c>
      <c r="D94" s="212" t="inlineStr">
        <is>
          <t>наименование</t>
        </is>
      </c>
      <c r="E94" s="213" t="inlineStr">
        <is>
          <t xml:space="preserve">город доставки </t>
        </is>
      </c>
      <c r="F94" s="214" t="inlineStr">
        <is>
          <t>цена</t>
        </is>
      </c>
      <c r="G94" s="213" t="inlineStr">
        <is>
          <t>сумма</t>
        </is>
      </c>
      <c r="H94" s="212" t="inlineStr">
        <is>
          <t>за тонну</t>
        </is>
      </c>
      <c r="I94" s="291" t="n"/>
      <c r="J94" s="58" t="n"/>
    </row>
    <row r="95">
      <c r="A95" s="215" t="inlineStr">
        <is>
          <t>ФМ</t>
        </is>
      </c>
      <c r="B95" s="60" t="inlineStr">
        <is>
          <t>доставка</t>
        </is>
      </c>
      <c r="C95" s="63" t="inlineStr">
        <is>
          <t>Элемент-трейд</t>
        </is>
      </c>
      <c r="D95" s="226" t="n"/>
      <c r="E95" s="317" t="inlineStr">
        <is>
          <t>Екатеринбург</t>
        </is>
      </c>
      <c r="F95" s="62" t="n">
        <v>14520</v>
      </c>
      <c r="G95" s="218" t="n">
        <v>14520</v>
      </c>
      <c r="H95" s="305" t="n"/>
      <c r="I95" s="291" t="n"/>
      <c r="J95" s="58" t="n"/>
    </row>
    <row r="96">
      <c r="A96" s="215" t="inlineStr">
        <is>
          <t>Промстеклоснаб</t>
        </is>
      </c>
      <c r="B96" s="60" t="inlineStr">
        <is>
          <t>доставка</t>
        </is>
      </c>
      <c r="C96" s="63" t="inlineStr">
        <is>
          <t>Акваэлемент</t>
        </is>
      </c>
      <c r="D96" s="226" t="n"/>
      <c r="E96" s="217" t="inlineStr">
        <is>
          <t>Химки</t>
        </is>
      </c>
      <c r="F96" s="62" t="n">
        <v>40000</v>
      </c>
      <c r="G96" s="218" t="n">
        <v>40000</v>
      </c>
      <c r="H96" s="305" t="n"/>
      <c r="I96" s="315" t="n"/>
      <c r="J96" s="58" t="n"/>
    </row>
    <row r="97">
      <c r="A97" s="215" t="n"/>
      <c r="B97" s="60" t="n"/>
      <c r="C97" s="63" t="n"/>
      <c r="D97" s="226" t="n"/>
      <c r="E97" s="217" t="n"/>
      <c r="F97" s="223" t="n"/>
      <c r="G97" s="218" t="n"/>
      <c r="H97" s="305" t="n"/>
      <c r="I97" s="2" t="n"/>
      <c r="J97" s="2" t="n"/>
    </row>
    <row r="98">
      <c r="A98" s="215" t="n"/>
      <c r="B98" s="60" t="n"/>
      <c r="C98" s="63" t="n"/>
      <c r="D98" s="222" t="n"/>
      <c r="E98" s="274" t="n"/>
      <c r="F98" s="223" t="n"/>
      <c r="G98" s="218" t="n"/>
      <c r="H98" s="219" t="n"/>
      <c r="I98" s="2" t="n"/>
      <c r="J98" s="2" t="n"/>
    </row>
    <row r="99">
      <c r="A99" s="215" t="n"/>
      <c r="B99" s="60" t="n"/>
      <c r="C99" s="63" t="n"/>
      <c r="D99" s="226" t="n"/>
      <c r="E99" s="274" t="n"/>
      <c r="F99" s="223" t="n"/>
      <c r="G99" s="218" t="n"/>
      <c r="H99" s="219" t="n"/>
      <c r="I99" s="2" t="n"/>
      <c r="J99" s="2" t="n"/>
    </row>
    <row r="100">
      <c r="A100" s="215" t="n"/>
      <c r="B100" s="60" t="n"/>
      <c r="C100" s="63" t="n"/>
      <c r="D100" s="226" t="n"/>
      <c r="E100" s="227" t="n"/>
      <c r="F100" s="223" t="n"/>
      <c r="G100" s="218">
        <f>F100</f>
        <v/>
      </c>
      <c r="H100" s="219" t="n"/>
      <c r="I100" s="2" t="n"/>
      <c r="J100" s="2" t="n"/>
    </row>
    <row r="101">
      <c r="A101" s="220" t="n"/>
      <c r="B101" s="60" t="n"/>
      <c r="C101" s="221" t="n"/>
      <c r="D101" s="226" t="n"/>
      <c r="E101" s="227" t="n"/>
      <c r="F101" s="223" t="n"/>
      <c r="G101" s="218">
        <f>F101</f>
        <v/>
      </c>
      <c r="H101" s="219" t="n"/>
      <c r="I101" s="2" t="n"/>
      <c r="J101" s="2" t="n"/>
    </row>
    <row r="102">
      <c r="A102" s="220" t="n"/>
      <c r="B102" s="60" t="n"/>
      <c r="C102" s="221" t="n"/>
      <c r="D102" s="226" t="n"/>
      <c r="E102" s="227" t="n"/>
      <c r="F102" s="223" t="n"/>
      <c r="G102" s="218">
        <f>F102</f>
        <v/>
      </c>
      <c r="H102" s="228" t="n"/>
      <c r="I102" s="2" t="n"/>
      <c r="J102" s="2" t="n"/>
    </row>
    <row r="103">
      <c r="A103" s="229" t="inlineStr">
        <is>
          <t>ИТОГО:</t>
        </is>
      </c>
      <c r="B103" s="230" t="n"/>
      <c r="C103" s="231" t="n"/>
      <c r="D103" s="232" t="n"/>
      <c r="E103" s="233">
        <f>SUM(E95:E102)</f>
        <v/>
      </c>
      <c r="F103" s="234" t="n"/>
      <c r="G103" s="235">
        <f>SUM(G95:G102)</f>
        <v/>
      </c>
      <c r="H103" s="235" t="n"/>
      <c r="I103" s="2" t="n"/>
      <c r="J103" s="2" t="n"/>
    </row>
    <row r="104">
      <c r="A104" s="41" t="n"/>
      <c r="B104" s="94" t="n"/>
      <c r="C104" s="43" t="n"/>
      <c r="D104" s="41" t="n"/>
      <c r="E104" s="41" t="n"/>
      <c r="F104" s="41" t="n"/>
      <c r="G104" s="41" t="n"/>
      <c r="H104" s="41" t="n"/>
      <c r="I104" s="2" t="n"/>
      <c r="J104" s="2" t="n"/>
    </row>
    <row r="105">
      <c r="A105" s="236" t="inlineStr">
        <is>
          <t>Услуги оказываем мы</t>
        </is>
      </c>
      <c r="B105" s="54" t="n"/>
      <c r="C105" s="54" t="n"/>
      <c r="D105" s="54" t="n"/>
      <c r="E105" s="54" t="n"/>
      <c r="F105" s="54" t="n"/>
      <c r="G105" s="54" t="n"/>
      <c r="H105" s="54" t="n"/>
      <c r="I105" s="237" t="n"/>
      <c r="J105" s="2" t="n"/>
    </row>
    <row r="106">
      <c r="A106" s="209" t="inlineStr">
        <is>
          <t>Контрагент</t>
        </is>
      </c>
      <c r="B106" s="238" t="inlineStr">
        <is>
          <t>вид услуги</t>
        </is>
      </c>
      <c r="C106" s="239" t="inlineStr">
        <is>
          <t>наименование</t>
        </is>
      </c>
      <c r="D106" s="240" t="inlineStr">
        <is>
          <t>вес, кг, шт</t>
        </is>
      </c>
      <c r="E106" s="240" t="inlineStr">
        <is>
          <t>цена</t>
        </is>
      </c>
      <c r="F106" s="240" t="inlineStr">
        <is>
          <t>сумма</t>
        </is>
      </c>
      <c r="G106" s="213" t="inlineStr">
        <is>
          <t>№УПД</t>
        </is>
      </c>
      <c r="H106" s="213" t="n"/>
      <c r="I106" s="2" t="n"/>
      <c r="J106" s="2" t="n"/>
    </row>
    <row r="107">
      <c r="A107" s="275" t="n"/>
      <c r="B107" s="276" t="n"/>
      <c r="C107" s="243" t="n"/>
      <c r="D107" s="244" t="n"/>
      <c r="E107" s="277" t="n"/>
      <c r="F107" s="278" t="n"/>
      <c r="G107" s="247" t="n"/>
      <c r="H107" s="248" t="n"/>
      <c r="I107" s="2" t="n"/>
      <c r="J107" s="2" t="n"/>
    </row>
    <row r="108">
      <c r="A108" s="249" t="inlineStr">
        <is>
          <t>Акваэлемент</t>
        </is>
      </c>
      <c r="B108" s="250" t="inlineStr">
        <is>
          <t>обжарка арахиса</t>
        </is>
      </c>
      <c r="C108" s="251" t="inlineStr">
        <is>
          <t>Услуга по обжарке арахиса</t>
        </is>
      </c>
      <c r="D108" s="252" t="n">
        <v>20000</v>
      </c>
      <c r="E108" s="253" t="n">
        <v>14</v>
      </c>
      <c r="F108" s="254">
        <f>D108*E108</f>
        <v/>
      </c>
      <c r="G108" s="255" t="n">
        <v>5</v>
      </c>
      <c r="H108" s="256" t="n"/>
      <c r="I108" s="2" t="n"/>
      <c r="J108" s="2" t="n"/>
    </row>
    <row r="109">
      <c r="A109" s="257" t="n"/>
      <c r="B109" s="258" t="n"/>
      <c r="C109" s="257" t="n"/>
      <c r="D109" s="257" t="n"/>
      <c r="E109" s="257" t="n"/>
      <c r="F109" s="254">
        <f>D109*E109</f>
        <v/>
      </c>
      <c r="G109" s="257" t="n"/>
      <c r="H109" s="257" t="n"/>
      <c r="I109" s="2" t="n"/>
      <c r="J109" s="2" t="n"/>
    </row>
    <row r="110">
      <c r="A110" s="249" t="n"/>
      <c r="B110" s="258" t="n"/>
      <c r="C110" s="257" t="n"/>
      <c r="D110" s="259" t="n"/>
      <c r="E110" s="257" t="n"/>
      <c r="F110" s="260" t="n"/>
      <c r="G110" s="257" t="n"/>
      <c r="H110" s="257" t="n"/>
      <c r="I110" s="2" t="n"/>
      <c r="J110" s="2" t="n"/>
    </row>
    <row r="111">
      <c r="A111" s="2" t="n"/>
      <c r="B111" s="261" t="n"/>
      <c r="C111" s="2" t="n"/>
      <c r="D111" s="2" t="n"/>
      <c r="E111" s="2" t="n"/>
      <c r="F111" s="262" t="n"/>
      <c r="G111" s="2" t="n"/>
      <c r="H111" s="2" t="n"/>
      <c r="I111" s="263" t="n"/>
      <c r="J111" s="264" t="n"/>
    </row>
  </sheetData>
  <mergeCells count="10">
    <mergeCell ref="A50:H50"/>
    <mergeCell ref="A1:J1"/>
    <mergeCell ref="A30:H30"/>
    <mergeCell ref="A105:H105"/>
    <mergeCell ref="J79:J80"/>
    <mergeCell ref="J74:J75"/>
    <mergeCell ref="I53:J53"/>
    <mergeCell ref="A2:J2"/>
    <mergeCell ref="I52:J52"/>
    <mergeCell ref="A93:H9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21.25" customWidth="1" min="5" max="5"/>
    <col width="12.875" customWidth="1" min="6" max="6"/>
    <col width="13" customWidth="1" min="7" max="7"/>
    <col width="16.625" customWidth="1" min="8" max="8"/>
    <col width="18.2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 xml:space="preserve">ИП1 </t>
        </is>
      </c>
      <c r="B4" s="267" t="inlineStr">
        <is>
          <t>ООО Снекпром</t>
        </is>
      </c>
      <c r="C4" s="268" t="inlineStr">
        <is>
          <t>квадромикс 200 гр</t>
        </is>
      </c>
      <c r="D4" s="269" t="n">
        <v>0.2</v>
      </c>
      <c r="E4" s="17" t="n">
        <v>5</v>
      </c>
      <c r="F4" s="17" t="n">
        <v>18</v>
      </c>
      <c r="G4" s="270">
        <f>E4*D4</f>
        <v/>
      </c>
      <c r="H4" s="19" t="n">
        <v>75</v>
      </c>
      <c r="I4" s="19">
        <f>H4*E4</f>
        <v/>
      </c>
      <c r="J4" s="20" t="n"/>
    </row>
    <row r="5">
      <c r="A5" s="13" t="n"/>
      <c r="B5" s="267" t="n"/>
      <c r="C5" s="268" t="inlineStr">
        <is>
          <t>арахис ассорти 200 гр</t>
        </is>
      </c>
      <c r="D5" s="269" t="n">
        <v>0.2</v>
      </c>
      <c r="E5" s="17" t="n">
        <v>5</v>
      </c>
      <c r="F5" s="17" t="n">
        <v>18</v>
      </c>
      <c r="G5" s="270">
        <f>E5*D5</f>
        <v/>
      </c>
      <c r="H5" s="19" t="n">
        <v>85</v>
      </c>
      <c r="I5" s="19">
        <f>H5*E5</f>
        <v/>
      </c>
      <c r="J5" s="20" t="n"/>
    </row>
    <row r="6">
      <c r="A6" s="13" t="n"/>
      <c r="B6" s="267" t="n"/>
      <c r="C6" s="268" t="inlineStr">
        <is>
          <t>васаби 110 гр</t>
        </is>
      </c>
      <c r="D6" s="269" t="n">
        <v>0.11</v>
      </c>
      <c r="E6" s="17" t="n">
        <v>4</v>
      </c>
      <c r="F6" s="17" t="n">
        <v>10</v>
      </c>
      <c r="G6" s="270">
        <f>E6*D6</f>
        <v/>
      </c>
      <c r="H6" s="19" t="n">
        <v>35</v>
      </c>
      <c r="I6" s="19">
        <f>H6*E6</f>
        <v/>
      </c>
      <c r="J6" s="20" t="n"/>
    </row>
    <row r="7">
      <c r="A7" s="13" t="n"/>
      <c r="B7" s="30" t="n"/>
      <c r="C7" s="268" t="inlineStr">
        <is>
          <t>сметана зелень 110 гр</t>
        </is>
      </c>
      <c r="D7" s="269" t="n">
        <v>0.11</v>
      </c>
      <c r="E7" s="17" t="n">
        <v>4</v>
      </c>
      <c r="F7" s="17" t="n">
        <v>10</v>
      </c>
      <c r="G7" s="270">
        <f>E7*D7</f>
        <v/>
      </c>
      <c r="H7" s="19" t="n">
        <v>35</v>
      </c>
      <c r="I7" s="19">
        <f>H7*E7</f>
        <v/>
      </c>
      <c r="J7" s="20" t="n"/>
    </row>
    <row r="8">
      <c r="A8" s="13" t="n"/>
      <c r="B8" s="30" t="n"/>
      <c r="C8" s="268" t="inlineStr">
        <is>
          <t>барбекю 110 гр</t>
        </is>
      </c>
      <c r="D8" s="269" t="n">
        <v>0.11</v>
      </c>
      <c r="E8" s="17" t="n">
        <v>4</v>
      </c>
      <c r="F8" s="17" t="n">
        <v>10</v>
      </c>
      <c r="G8" s="270">
        <f>E8*D8</f>
        <v/>
      </c>
      <c r="H8" s="19" t="n">
        <v>35</v>
      </c>
      <c r="I8" s="19">
        <f>H8*E8</f>
        <v/>
      </c>
      <c r="J8" s="20" t="n"/>
    </row>
    <row r="9">
      <c r="A9" s="13" t="n"/>
      <c r="B9" s="30" t="n"/>
      <c r="C9" s="268" t="inlineStr">
        <is>
          <t>сыр лук 110 гр</t>
        </is>
      </c>
      <c r="D9" s="269" t="n">
        <v>0.11</v>
      </c>
      <c r="E9" s="16" t="n">
        <v>4</v>
      </c>
      <c r="F9" s="17" t="n">
        <v>10</v>
      </c>
      <c r="G9" s="270">
        <f>E9*D9</f>
        <v/>
      </c>
      <c r="H9" s="19" t="n">
        <v>35</v>
      </c>
      <c r="I9" s="19">
        <f>H9*E9</f>
        <v/>
      </c>
      <c r="J9" s="20" t="n"/>
    </row>
    <row r="10">
      <c r="A10" s="13" t="n"/>
      <c r="B10" s="30" t="n"/>
      <c r="C10" s="268" t="n"/>
      <c r="D10" s="269" t="n"/>
      <c r="E10" s="16" t="n"/>
      <c r="F10" s="17" t="n"/>
      <c r="G10" s="270" t="n"/>
      <c r="H10" s="19" t="n"/>
      <c r="I10" s="19" t="n"/>
      <c r="J10" s="20" t="n"/>
    </row>
    <row r="11">
      <c r="A11" s="13" t="n"/>
      <c r="B11" s="30" t="n"/>
      <c r="C11" s="268" t="n"/>
      <c r="D11" s="269" t="n"/>
      <c r="E11" s="17" t="n"/>
      <c r="F11" s="17" t="n"/>
      <c r="G11" s="270" t="n"/>
      <c r="H11" s="19" t="n"/>
      <c r="I11" s="19" t="n"/>
      <c r="J11" s="20" t="n"/>
    </row>
    <row r="12">
      <c r="A12" s="13" t="n"/>
      <c r="B12" s="30" t="n"/>
      <c r="C12" s="268" t="n"/>
      <c r="D12" s="269" t="n"/>
      <c r="E12" s="17" t="n"/>
      <c r="F12" s="17" t="n"/>
      <c r="G12" s="270" t="n"/>
      <c r="H12" s="19" t="n"/>
      <c r="I12" s="19" t="n"/>
      <c r="J12" s="20" t="n"/>
    </row>
    <row r="13">
      <c r="A13" s="33" t="n"/>
      <c r="B13" s="34" t="n"/>
      <c r="C13" s="35" t="n"/>
      <c r="D13" s="33" t="n"/>
      <c r="E13" s="36">
        <f>SUM(E4:E12)</f>
        <v/>
      </c>
      <c r="F13" s="36">
        <f>SUM(F4:F12)</f>
        <v/>
      </c>
      <c r="G13" s="37">
        <f>SUM(G4:G12)</f>
        <v/>
      </c>
      <c r="H13" s="38" t="n"/>
      <c r="I13" s="39">
        <f>SUM(I4:I12)</f>
        <v/>
      </c>
      <c r="J13" s="40" t="n"/>
    </row>
    <row r="14">
      <c r="A14" s="41" t="n"/>
      <c r="B14" s="42" t="n"/>
      <c r="C14" s="43" t="n"/>
      <c r="D14" s="41" t="n"/>
      <c r="E14" s="41" t="n"/>
      <c r="F14" s="41" t="n"/>
      <c r="G14" s="41" t="n"/>
      <c r="H14" s="41" t="n"/>
      <c r="I14" s="2" t="n"/>
      <c r="J14" s="2" t="n"/>
    </row>
    <row r="15">
      <c r="A15" s="44" t="inlineStr">
        <is>
          <t xml:space="preserve">Поступление от </t>
        </is>
      </c>
      <c r="B15" s="45" t="inlineStr">
        <is>
          <t>сумма</t>
        </is>
      </c>
      <c r="C15" s="46" t="inlineStr">
        <is>
          <t>примечание</t>
        </is>
      </c>
      <c r="D15" s="47" t="n"/>
      <c r="E15" s="41" t="n"/>
      <c r="F15" s="41" t="n"/>
      <c r="G15" s="41" t="n"/>
      <c r="H15" s="41" t="n"/>
      <c r="I15" s="2" t="n"/>
      <c r="J15" s="2" t="n"/>
    </row>
    <row r="16">
      <c r="A16" s="48" t="n"/>
      <c r="B16" s="49" t="n"/>
      <c r="C16" s="50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29" t="n"/>
      <c r="B17" s="51" t="n"/>
      <c r="C17" s="52" t="n"/>
      <c r="D17" s="47" t="n"/>
      <c r="E17" s="41" t="n"/>
      <c r="F17" s="41" t="n"/>
      <c r="G17" s="41" t="n"/>
      <c r="H17" s="41" t="n"/>
      <c r="I17" s="2" t="n"/>
      <c r="J17" s="2" t="n"/>
    </row>
    <row r="18">
      <c r="A18" s="53" t="inlineStr">
        <is>
          <t>Касса</t>
        </is>
      </c>
      <c r="B18" s="54" t="n"/>
      <c r="C18" s="54" t="n"/>
      <c r="D18" s="54" t="n"/>
      <c r="E18" s="54" t="n"/>
      <c r="F18" s="54" t="n"/>
      <c r="G18" s="54" t="n"/>
      <c r="H18" s="54" t="n"/>
      <c r="I18" s="2" t="n"/>
      <c r="J18" s="2" t="n"/>
    </row>
    <row r="19">
      <c r="A19" s="55" t="inlineStr">
        <is>
          <t>Производство</t>
        </is>
      </c>
      <c r="B19" s="56" t="n"/>
      <c r="C19" s="56" t="n"/>
      <c r="D19" s="47" t="n"/>
      <c r="E19" s="55" t="inlineStr">
        <is>
          <t xml:space="preserve">Бухгалтерия </t>
        </is>
      </c>
      <c r="F19" s="56" t="n"/>
      <c r="G19" s="56" t="n"/>
      <c r="H19" s="47" t="n"/>
      <c r="I19" s="57" t="n"/>
      <c r="J19" s="58" t="n"/>
    </row>
    <row r="20">
      <c r="A20" s="59" t="inlineStr">
        <is>
          <t>Остаток на начало дня:</t>
        </is>
      </c>
      <c r="B20" s="60" t="n"/>
      <c r="C20" s="61" t="n"/>
      <c r="D20" s="62" t="n">
        <v>18240.24999999996</v>
      </c>
      <c r="E20" s="59" t="inlineStr">
        <is>
          <t>Остаток на начало дня:</t>
        </is>
      </c>
      <c r="F20" s="63" t="n"/>
      <c r="G20" s="61" t="n"/>
      <c r="H20" s="64" t="n">
        <v>0</v>
      </c>
      <c r="I20" s="65" t="n"/>
      <c r="J20" s="2" t="n"/>
    </row>
    <row r="21">
      <c r="A21" s="66" t="inlineStr">
        <is>
          <t>поступление от ИП 1</t>
        </is>
      </c>
      <c r="B21" s="67" t="n"/>
      <c r="C21" s="68" t="n">
        <v>400000</v>
      </c>
      <c r="D21" s="68" t="n">
        <v>400000</v>
      </c>
      <c r="E21" s="69" t="n"/>
      <c r="F21" s="70" t="n"/>
      <c r="G21" s="71" t="n"/>
      <c r="H21" s="72" t="n"/>
      <c r="I21" s="313" t="n"/>
      <c r="J21" s="313" t="n"/>
    </row>
    <row r="22">
      <c r="A22" s="66" t="inlineStr">
        <is>
          <t>поступление ч/л ИП1</t>
        </is>
      </c>
      <c r="B22" s="67" t="n"/>
      <c r="C22" s="68" t="n">
        <v>1360</v>
      </c>
      <c r="D22" s="68" t="n">
        <v>1360</v>
      </c>
      <c r="E22" s="69" t="n"/>
      <c r="F22" s="70" t="n"/>
      <c r="G22" s="71" t="n"/>
      <c r="H22" s="72" t="n"/>
      <c r="I22" s="313" t="n"/>
      <c r="J22" s="2" t="n"/>
    </row>
    <row r="23">
      <c r="A23" s="66" t="inlineStr">
        <is>
          <t>Поступление от ИП2</t>
        </is>
      </c>
      <c r="B23" s="67" t="n"/>
      <c r="C23" s="68" t="n">
        <v>48000</v>
      </c>
      <c r="D23" s="68" t="n">
        <v>48000</v>
      </c>
      <c r="E23" s="69" t="n"/>
      <c r="F23" s="70" t="n"/>
      <c r="G23" s="71" t="n"/>
      <c r="H23" s="72">
        <f>F23*G23</f>
        <v/>
      </c>
      <c r="I23" s="2" t="n"/>
      <c r="J23" s="2" t="n"/>
    </row>
    <row r="24">
      <c r="A24" s="66" t="n"/>
      <c r="B24" s="67" t="n"/>
      <c r="C24" s="68" t="n"/>
      <c r="D24" s="68" t="n"/>
      <c r="E24" s="69" t="n"/>
      <c r="F24" s="70" t="n"/>
      <c r="G24" s="71" t="n"/>
      <c r="H24" s="72">
        <f>F24*G24</f>
        <v/>
      </c>
      <c r="I24" s="2" t="n"/>
      <c r="J24" s="2" t="n"/>
    </row>
    <row r="25">
      <c r="A25" s="66" t="n"/>
      <c r="B25" s="73" t="n"/>
      <c r="C25" s="74" t="n"/>
      <c r="D25" s="75" t="n"/>
      <c r="E25" s="69" t="n"/>
      <c r="F25" s="70" t="n"/>
      <c r="G25" s="71" t="n"/>
      <c r="H25" s="72">
        <f>F25*G25</f>
        <v/>
      </c>
      <c r="I25" s="2" t="n"/>
      <c r="J25" s="2" t="n"/>
    </row>
    <row r="26">
      <c r="A26" s="76" t="n"/>
      <c r="B26" s="67" t="n"/>
      <c r="C26" s="68" t="n"/>
      <c r="D26" s="75" t="n"/>
      <c r="E26" s="77" t="inlineStr">
        <is>
          <t>Итого приход:</t>
        </is>
      </c>
      <c r="F26" s="78" t="n"/>
      <c r="G26" s="79" t="n"/>
      <c r="H26" s="80">
        <f>SUM(H21:H22)</f>
        <v/>
      </c>
      <c r="I26" s="2" t="n"/>
      <c r="J26" s="2" t="n"/>
    </row>
    <row r="27">
      <c r="A27" s="76" t="inlineStr">
        <is>
          <t>Расход за день:</t>
        </is>
      </c>
      <c r="B27" s="67" t="n"/>
      <c r="C27" s="79" t="n"/>
      <c r="D27" s="80" t="n"/>
      <c r="E27" s="76" t="inlineStr">
        <is>
          <t>Расход за день:</t>
        </is>
      </c>
      <c r="F27" s="78" t="n"/>
      <c r="G27" s="79" t="n"/>
      <c r="H27" s="80" t="n"/>
      <c r="I27" s="2" t="n"/>
      <c r="J27" s="2" t="n"/>
    </row>
    <row r="28">
      <c r="A28" s="81" t="inlineStr">
        <is>
          <t>уборка</t>
        </is>
      </c>
      <c r="B28" s="67" t="n"/>
      <c r="C28" s="68" t="n">
        <v>4000</v>
      </c>
      <c r="D28" s="68" t="n">
        <v>4000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inlineStr">
        <is>
          <t>комиссия ИП1</t>
        </is>
      </c>
      <c r="B29" s="67" t="n"/>
      <c r="C29" s="68" t="n">
        <v>32000</v>
      </c>
      <c r="D29" s="74" t="n">
        <v>32000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69" t="inlineStr">
        <is>
          <t>Комиссия ИП 2</t>
        </is>
      </c>
      <c r="B30" s="67" t="n"/>
      <c r="C30" s="68" t="n">
        <v>3360</v>
      </c>
      <c r="D30" s="74" t="n">
        <v>3360</v>
      </c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inlineStr">
        <is>
          <t>Зарплата Савин</t>
        </is>
      </c>
      <c r="B31" s="67" t="n"/>
      <c r="C31" s="68" t="n">
        <v>44640</v>
      </c>
      <c r="D31" s="74" t="n">
        <v>44640</v>
      </c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n"/>
      <c r="B32" s="67" t="n"/>
      <c r="C32" s="68" t="n"/>
      <c r="D32" s="68" t="n"/>
      <c r="E32" s="76" t="n"/>
      <c r="F32" s="78" t="n"/>
      <c r="G32" s="79" t="n"/>
      <c r="H32" s="72">
        <f>F32*G32</f>
        <v/>
      </c>
      <c r="I32" s="313" t="n"/>
      <c r="J32" s="2" t="n"/>
    </row>
    <row r="33">
      <c r="A33" s="69" t="n"/>
      <c r="B33" s="67" t="n"/>
      <c r="C33" s="68" t="n"/>
      <c r="D33" s="68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5" t="n"/>
      <c r="E34" s="76" t="n"/>
      <c r="F34" s="78" t="n"/>
      <c r="G34" s="79" t="n"/>
      <c r="H34" s="72">
        <f>F34*G34</f>
        <v/>
      </c>
      <c r="I34" s="2" t="n"/>
      <c r="J34" s="2" t="n"/>
    </row>
    <row r="35">
      <c r="A35" s="83" t="n"/>
      <c r="B35" s="67" t="n"/>
      <c r="C35" s="68" t="n"/>
      <c r="D35" s="84" t="n"/>
      <c r="E35" s="85" t="inlineStr">
        <is>
          <t>Итого расход:</t>
        </is>
      </c>
      <c r="F35" s="78" t="n"/>
      <c r="G35" s="79" t="n"/>
      <c r="H35" s="72">
        <f>F35*G35</f>
        <v/>
      </c>
      <c r="I35" s="86" t="n"/>
      <c r="J35" s="86" t="n"/>
    </row>
    <row r="36">
      <c r="A36" s="87" t="inlineStr">
        <is>
          <t>Остаток на конец дня:</t>
        </is>
      </c>
      <c r="B36" s="88" t="n"/>
      <c r="C36" s="89" t="n"/>
      <c r="D36" s="90">
        <f>SUM(D21,D22:D25,D20,)-SUM(D28:D35,)</f>
        <v/>
      </c>
      <c r="E36" s="87" t="inlineStr">
        <is>
          <t>Остаток на конец дня:</t>
        </is>
      </c>
      <c r="F36" s="91" t="n"/>
      <c r="G36" s="89" t="n"/>
      <c r="H36" s="92">
        <f>SUM(H20+H26-H35)</f>
        <v/>
      </c>
      <c r="I36" s="2" t="n"/>
      <c r="J36" s="2" t="n"/>
    </row>
    <row r="37">
      <c r="A37" s="93" t="n"/>
      <c r="B37" s="94" t="n"/>
      <c r="C37" s="43" t="n"/>
      <c r="D37" s="41" t="n"/>
      <c r="E37" s="41" t="n"/>
      <c r="F37" s="41" t="n"/>
      <c r="G37" s="2" t="n"/>
      <c r="H37" s="2" t="n"/>
      <c r="I37" s="2" t="n"/>
      <c r="J37" s="2" t="n"/>
    </row>
    <row r="38">
      <c r="A38" s="95" t="inlineStr">
        <is>
          <t>Расчётный счёт</t>
        </is>
      </c>
      <c r="B38" s="54" t="n"/>
      <c r="C38" s="54" t="n"/>
      <c r="D38" s="54" t="n"/>
      <c r="E38" s="54" t="n"/>
      <c r="F38" s="54" t="n"/>
      <c r="G38" s="54" t="n"/>
      <c r="H38" s="54" t="n"/>
      <c r="I38" s="2" t="n"/>
      <c r="J38" s="2" t="n"/>
    </row>
    <row r="39">
      <c r="A39" s="96" t="inlineStr">
        <is>
          <t>ВТБ</t>
        </is>
      </c>
      <c r="B39" s="279" t="inlineStr">
        <is>
          <t>ВТБ</t>
        </is>
      </c>
      <c r="C39" s="279" t="n"/>
      <c r="D39" s="47" t="n"/>
      <c r="E39" s="97" t="inlineStr">
        <is>
          <t>Альфабанк</t>
        </is>
      </c>
      <c r="F39" s="56" t="n"/>
      <c r="G39" s="56" t="n"/>
      <c r="H39" s="47" t="n"/>
      <c r="I39" s="330" t="inlineStr">
        <is>
          <t>Уралсиб</t>
        </is>
      </c>
    </row>
    <row r="40">
      <c r="A40" s="98" t="inlineStr">
        <is>
          <t>Остаток на начало дня:</t>
        </is>
      </c>
      <c r="B40" s="280" t="n"/>
      <c r="C40" s="290" t="n">
        <v>461965.22</v>
      </c>
      <c r="D40" s="56" t="n"/>
      <c r="E40" s="100" t="inlineStr">
        <is>
          <t>Остаток на начало дня:</t>
        </is>
      </c>
      <c r="F40" s="47" t="n"/>
      <c r="G40" s="101" t="n">
        <v>2444.5</v>
      </c>
      <c r="H40" s="47" t="n"/>
      <c r="I40" s="330" t="inlineStr">
        <is>
          <t>Остаток на начало дня :</t>
        </is>
      </c>
      <c r="J40" s="332" t="n"/>
    </row>
    <row r="41">
      <c r="A41" s="102" t="inlineStr">
        <is>
          <t>Поступление</t>
        </is>
      </c>
      <c r="B41" s="47" t="n"/>
      <c r="C41" s="102" t="inlineStr">
        <is>
          <t>Расход</t>
        </is>
      </c>
      <c r="D41" s="47" t="n"/>
      <c r="E41" s="102" t="inlineStr">
        <is>
          <t>Поступление</t>
        </is>
      </c>
      <c r="F41" s="47" t="n"/>
      <c r="G41" s="102" t="inlineStr">
        <is>
          <t>Расход</t>
        </is>
      </c>
      <c r="H41" s="47" t="n"/>
      <c r="I41" s="334" t="inlineStr">
        <is>
          <t xml:space="preserve">Поступление </t>
        </is>
      </c>
      <c r="J41" s="332" t="n"/>
    </row>
    <row r="42">
      <c r="A42" s="103" t="inlineStr">
        <is>
          <t>от кого</t>
        </is>
      </c>
      <c r="B42" s="103" t="inlineStr">
        <is>
          <t>сумма</t>
        </is>
      </c>
      <c r="C42" s="103" t="inlineStr">
        <is>
          <t>кому</t>
        </is>
      </c>
      <c r="D42" s="103" t="inlineStr">
        <is>
          <t>сумма</t>
        </is>
      </c>
      <c r="E42" s="103" t="inlineStr">
        <is>
          <t>от кого</t>
        </is>
      </c>
      <c r="F42" s="103" t="inlineStr">
        <is>
          <t>сумма</t>
        </is>
      </c>
      <c r="G42" s="336" t="inlineStr">
        <is>
          <t xml:space="preserve">кому </t>
        </is>
      </c>
      <c r="H42" s="103" t="inlineStr">
        <is>
          <t>сумма</t>
        </is>
      </c>
      <c r="I42" s="334" t="inlineStr">
        <is>
          <t xml:space="preserve">от кого </t>
        </is>
      </c>
      <c r="J42" s="334" t="inlineStr">
        <is>
          <t xml:space="preserve">сумма </t>
        </is>
      </c>
    </row>
    <row r="43">
      <c r="A43" s="104" t="inlineStr">
        <is>
          <t xml:space="preserve">Проценты по депозиту </t>
        </is>
      </c>
      <c r="B43" s="281" t="n">
        <v>160.45</v>
      </c>
      <c r="C43" s="106" t="inlineStr">
        <is>
          <t xml:space="preserve">ИП Савин за транспортные услуги </t>
        </is>
      </c>
      <c r="D43" s="107" t="n">
        <v>62000</v>
      </c>
      <c r="E43" s="108" t="n"/>
      <c r="F43" s="109" t="n"/>
      <c r="G43" s="110" t="n"/>
      <c r="H43" s="109" t="n"/>
      <c r="I43" s="338" t="n"/>
      <c r="J43" s="339" t="n"/>
    </row>
    <row r="44">
      <c r="A44" s="282" t="inlineStr">
        <is>
          <t xml:space="preserve">Золотой снек  за арахис </t>
        </is>
      </c>
      <c r="B44" s="281" t="n">
        <v>400000</v>
      </c>
      <c r="C44" s="112" t="inlineStr">
        <is>
          <t>Размещение на депозите 800000</t>
        </is>
      </c>
      <c r="D44" s="107" t="n">
        <v>0</v>
      </c>
      <c r="E44" s="110" t="n"/>
      <c r="F44" s="109" t="n"/>
      <c r="G44" s="110" t="n"/>
      <c r="H44" s="109" t="n"/>
      <c r="I44" s="338" t="n"/>
      <c r="J44" s="338" t="n"/>
    </row>
    <row r="45">
      <c r="A45" s="111" t="n"/>
      <c r="B45" s="283" t="n"/>
      <c r="C45" s="113" t="n"/>
      <c r="D45" s="107" t="n"/>
      <c r="E45" s="110" t="n"/>
      <c r="F45" s="109" t="n"/>
      <c r="G45" s="114" t="n"/>
      <c r="H45" s="109" t="n"/>
      <c r="I45" s="338" t="n"/>
      <c r="J45" s="338" t="n"/>
    </row>
    <row r="46">
      <c r="A46" s="115" t="n"/>
      <c r="B46" s="283" t="n"/>
      <c r="C46" s="113" t="n"/>
      <c r="D46" s="107" t="n"/>
      <c r="E46" s="108" t="n"/>
      <c r="F46" s="116" t="n"/>
      <c r="G46" s="114" t="n"/>
      <c r="H46" s="109" t="n"/>
      <c r="I46" s="338" t="n"/>
      <c r="J46" s="338" t="n"/>
    </row>
    <row r="47">
      <c r="A47" s="117" t="n"/>
      <c r="B47" s="283" t="n"/>
      <c r="C47" s="113" t="n"/>
      <c r="D47" s="107" t="n"/>
      <c r="E47" s="118" t="n"/>
      <c r="F47" s="119" t="n"/>
      <c r="G47" s="120" t="n"/>
      <c r="H47" s="120" t="n"/>
      <c r="I47" s="338" t="n"/>
      <c r="J47" s="338" t="n"/>
    </row>
    <row r="48">
      <c r="A48" s="117" t="n"/>
      <c r="B48" s="283" t="n"/>
      <c r="C48" s="113" t="n"/>
      <c r="D48" s="107" t="n"/>
      <c r="E48" s="118" t="n"/>
      <c r="F48" s="119" t="n"/>
      <c r="G48" s="121" t="n"/>
      <c r="H48" s="120" t="n"/>
      <c r="I48" s="338" t="n"/>
      <c r="J48" s="338" t="n"/>
    </row>
    <row r="49">
      <c r="A49" s="122" t="n"/>
      <c r="B49" s="283" t="n"/>
      <c r="C49" s="113" t="n"/>
      <c r="D49" s="107" t="n"/>
      <c r="E49" s="118" t="n"/>
      <c r="F49" s="118" t="n"/>
      <c r="G49" s="123" t="n"/>
      <c r="H49" s="120" t="n"/>
      <c r="I49" s="338" t="n"/>
      <c r="J49" s="338" t="n"/>
    </row>
    <row r="50">
      <c r="A50" s="124" t="n"/>
      <c r="B50" s="284" t="n"/>
      <c r="C50" s="113" t="n"/>
      <c r="D50" s="107" t="n"/>
      <c r="E50" s="124" t="n"/>
      <c r="F50" s="118" t="n"/>
      <c r="G50" s="110" t="n"/>
      <c r="H50" s="120" t="n"/>
      <c r="I50" s="338" t="n"/>
      <c r="J50" s="338" t="n"/>
    </row>
    <row r="51">
      <c r="A51" s="124" t="n"/>
      <c r="B51" s="285" t="n"/>
      <c r="C51" s="112" t="n"/>
      <c r="D51" s="126" t="n"/>
      <c r="E51" s="124" t="n"/>
      <c r="F51" s="118" t="n"/>
      <c r="G51" s="110" t="n"/>
      <c r="H51" s="120" t="n"/>
      <c r="I51" s="338" t="n"/>
      <c r="J51" s="338" t="n"/>
    </row>
    <row r="52">
      <c r="A52" s="124" t="n"/>
      <c r="B52" s="285" t="n"/>
      <c r="C52" s="112" t="n"/>
      <c r="D52" s="126" t="n"/>
      <c r="E52" s="124" t="n"/>
      <c r="F52" s="118" t="n"/>
      <c r="G52" s="110" t="n"/>
      <c r="H52" s="120" t="n"/>
      <c r="I52" s="338" t="n"/>
      <c r="J52" s="338" t="n"/>
    </row>
    <row r="53">
      <c r="A53" s="124" t="n"/>
      <c r="B53" s="285" t="n"/>
      <c r="C53" s="112" t="n"/>
      <c r="D53" s="126" t="n"/>
      <c r="E53" s="124" t="n"/>
      <c r="F53" s="118" t="n"/>
      <c r="G53" s="110" t="n"/>
      <c r="H53" s="120" t="n"/>
      <c r="I53" s="338" t="n"/>
      <c r="J53" s="338" t="n"/>
    </row>
    <row r="54">
      <c r="A54" s="124" t="n"/>
      <c r="B54" s="285" t="n"/>
      <c r="C54" s="112" t="n"/>
      <c r="D54" s="343" t="n"/>
      <c r="E54" s="124" t="n"/>
      <c r="F54" s="118" t="n"/>
      <c r="G54" s="110" t="n"/>
      <c r="H54" s="120" t="n"/>
      <c r="I54" s="338" t="n"/>
      <c r="J54" s="338" t="n"/>
    </row>
    <row r="55">
      <c r="A55" s="124" t="n"/>
      <c r="B55" s="125" t="n"/>
      <c r="C55" s="110" t="n"/>
      <c r="D55" s="126" t="n"/>
      <c r="E55" s="124" t="n"/>
      <c r="F55" s="118" t="n"/>
      <c r="G55" s="110" t="n"/>
      <c r="H55" s="120" t="n"/>
      <c r="I55" s="338" t="n"/>
      <c r="J55" s="338" t="n"/>
    </row>
    <row r="56">
      <c r="A56" s="127" t="n"/>
      <c r="B56" s="128">
        <f>SUM(B43:B55)+C40</f>
        <v/>
      </c>
      <c r="C56" s="129" t="n"/>
      <c r="D56" s="128">
        <f>SUM(D43:D55)</f>
        <v/>
      </c>
      <c r="E56" s="130" t="n"/>
      <c r="F56" s="130">
        <f>SUM(F43:F55)</f>
        <v/>
      </c>
      <c r="G56" s="130" t="n"/>
      <c r="H56" s="130">
        <f>SUM(H43:H55)</f>
        <v/>
      </c>
      <c r="I56" s="344" t="n"/>
      <c r="J56" s="345" t="n"/>
    </row>
    <row r="57">
      <c r="A57" s="131" t="inlineStr">
        <is>
          <t>Остаток на конец дня:</t>
        </is>
      </c>
      <c r="B57" s="132">
        <f>B56-D56</f>
        <v/>
      </c>
      <c r="C57" s="56" t="n"/>
      <c r="D57" s="47" t="n"/>
      <c r="E57" s="100" t="inlineStr">
        <is>
          <t>Остаток на конец дня:</t>
        </is>
      </c>
      <c r="F57" s="101" t="n">
        <v>2444.5</v>
      </c>
      <c r="G57" s="56" t="n"/>
      <c r="H57" s="47" t="n"/>
      <c r="I57" s="330" t="inlineStr">
        <is>
          <t xml:space="preserve">Остаток на конец дня </t>
        </is>
      </c>
      <c r="J57" s="344" t="n"/>
    </row>
    <row r="58">
      <c r="A58" s="133" t="inlineStr">
        <is>
          <t>ИТОГО:</t>
        </is>
      </c>
      <c r="B58" s="47" t="n"/>
      <c r="C58" s="134" t="n">
        <v>802570.17</v>
      </c>
      <c r="D58" s="56" t="n"/>
      <c r="E58" s="56" t="n"/>
      <c r="F58" s="56" t="n"/>
      <c r="G58" s="56" t="n"/>
      <c r="H58" s="47" t="n"/>
      <c r="I58" s="257" t="n"/>
      <c r="J58" s="257" t="n"/>
    </row>
    <row r="59">
      <c r="A59" s="41" t="n"/>
      <c r="B59" s="94" t="n"/>
      <c r="C59" s="43" t="n"/>
      <c r="D59" s="41" t="n"/>
      <c r="E59" s="41" t="n"/>
      <c r="F59" s="41" t="n"/>
      <c r="G59" s="41" t="n"/>
      <c r="H59" s="93" t="n"/>
      <c r="I59" s="135" t="n"/>
      <c r="J59" s="135" t="n"/>
    </row>
    <row r="60">
      <c r="A60" s="136" t="n"/>
      <c r="B60" s="137" t="inlineStr">
        <is>
          <t>Реализация по безналичному расчёту</t>
        </is>
      </c>
      <c r="D60" s="2" t="n"/>
      <c r="E60" s="41" t="n"/>
      <c r="F60" s="41" t="n"/>
      <c r="G60" s="41" t="n"/>
      <c r="H60" s="138" t="n"/>
      <c r="I60" s="2" t="n"/>
      <c r="J60" s="2" t="n"/>
    </row>
    <row r="61">
      <c r="A61" s="139" t="inlineStr">
        <is>
          <t>Контрагент</t>
        </is>
      </c>
      <c r="B61" s="140" t="inlineStr">
        <is>
          <t>поставщик</t>
        </is>
      </c>
      <c r="C61" s="141" t="inlineStr">
        <is>
          <t>наименование</t>
        </is>
      </c>
      <c r="D61" s="142" t="inlineStr">
        <is>
          <t>вес упаковки, тарелки</t>
        </is>
      </c>
      <c r="E61" s="143" t="inlineStr">
        <is>
          <t>кол.-во пакетов, коробок</t>
        </is>
      </c>
      <c r="F61" s="144" t="inlineStr">
        <is>
          <t>кол-во мест в коробке/упаковке</t>
        </is>
      </c>
      <c r="G61" s="145" t="inlineStr">
        <is>
          <t>общий вес, кг.</t>
        </is>
      </c>
      <c r="H61" s="146" t="inlineStr">
        <is>
          <t>цена пакет, тарелка</t>
        </is>
      </c>
      <c r="I61" s="147" t="inlineStr">
        <is>
          <t>сумма</t>
        </is>
      </c>
      <c r="J61" s="348" t="inlineStr">
        <is>
          <t>Комментарий</t>
        </is>
      </c>
    </row>
    <row r="62">
      <c r="A62" s="244" t="inlineStr">
        <is>
          <t>Золотой снек</t>
        </is>
      </c>
      <c r="B62" s="267" t="inlineStr">
        <is>
          <t>Снекпром</t>
        </is>
      </c>
      <c r="C62" s="268" t="inlineStr">
        <is>
          <t>Арахис в хрустящей корочке МИКС 1 кг/10 шт</t>
        </is>
      </c>
      <c r="D62" s="269" t="n">
        <v>1</v>
      </c>
      <c r="E62" s="51" t="n">
        <v>50</v>
      </c>
      <c r="F62" s="51" t="n">
        <v>10</v>
      </c>
      <c r="G62" s="349">
        <f>F62*E62</f>
        <v/>
      </c>
      <c r="H62" s="350" t="n">
        <v>190</v>
      </c>
      <c r="I62" s="350">
        <f>H62*G62</f>
        <v/>
      </c>
      <c r="J62" s="351" t="n"/>
    </row>
    <row r="63">
      <c r="A63" s="244" t="n"/>
      <c r="B63" s="267" t="n"/>
      <c r="C63" s="268" t="inlineStr">
        <is>
          <t>Арахис в хрустящей корочке Мексиканский соус 1 кг/10 шт</t>
        </is>
      </c>
      <c r="D63" s="269" t="n">
        <v>1</v>
      </c>
      <c r="E63" s="51" t="n">
        <v>100</v>
      </c>
      <c r="F63" s="51" t="n">
        <v>10</v>
      </c>
      <c r="G63" s="349">
        <f>F63*E63</f>
        <v/>
      </c>
      <c r="H63" s="350" t="n">
        <v>190</v>
      </c>
      <c r="I63" s="350">
        <f>H63*G63</f>
        <v/>
      </c>
      <c r="J63" s="352" t="n"/>
    </row>
    <row r="64">
      <c r="A64" s="244" t="n"/>
      <c r="B64" s="267" t="n"/>
      <c r="C64" s="268" t="inlineStr">
        <is>
          <t>Арахис в хрустящей корочке Васаби 1 кг/10 шт</t>
        </is>
      </c>
      <c r="D64" s="269" t="n">
        <v>1</v>
      </c>
      <c r="E64" s="51" t="n">
        <v>50</v>
      </c>
      <c r="F64" s="51" t="n">
        <v>10</v>
      </c>
      <c r="G64" s="349">
        <f>F64*E64</f>
        <v/>
      </c>
      <c r="H64" s="350" t="n">
        <v>190</v>
      </c>
      <c r="I64" s="350">
        <f>H64*G64</f>
        <v/>
      </c>
      <c r="J64" s="353" t="n"/>
    </row>
    <row r="65">
      <c r="A65" s="244" t="n"/>
      <c r="B65" s="267" t="n"/>
      <c r="C65" s="268" t="inlineStr">
        <is>
          <t>Арахис в хрустящей корочке Чили-лайм 1 кг/10 шт</t>
        </is>
      </c>
      <c r="D65" s="269" t="n">
        <v>1</v>
      </c>
      <c r="E65" s="51" t="n">
        <v>50</v>
      </c>
      <c r="F65" s="51" t="n">
        <v>10</v>
      </c>
      <c r="G65" s="349">
        <f>F65*E65</f>
        <v/>
      </c>
      <c r="H65" s="350" t="n">
        <v>190</v>
      </c>
      <c r="I65" s="350">
        <f>H65*G65</f>
        <v/>
      </c>
      <c r="J65" s="357" t="n"/>
    </row>
    <row r="66">
      <c r="A66" s="244" t="inlineStr">
        <is>
          <t>Белторгфуд</t>
        </is>
      </c>
      <c r="B66" s="244" t="inlineStr">
        <is>
          <t>Снекпром</t>
        </is>
      </c>
      <c r="C66" s="268" t="inlineStr">
        <is>
          <t>Арахис в хрустящей корочке ассорти со вкусами: Бекон, Сыр, Васаби, 0,5 кг</t>
        </is>
      </c>
      <c r="D66" s="269" t="n">
        <v>0.5</v>
      </c>
      <c r="E66" s="51" t="n">
        <v>20000</v>
      </c>
      <c r="F66" s="51" t="n">
        <v>12</v>
      </c>
      <c r="G66" s="349">
        <f>E66*D66</f>
        <v/>
      </c>
      <c r="H66" s="350" t="n">
        <v>85</v>
      </c>
      <c r="I66" s="350">
        <f>H66*E66</f>
        <v/>
      </c>
      <c r="J66" s="358" t="n"/>
    </row>
    <row r="67">
      <c r="A67" s="244" t="n"/>
      <c r="B67" s="267" t="n"/>
      <c r="C67" s="268" t="n"/>
      <c r="D67" s="269" t="n"/>
      <c r="E67" s="51" t="n"/>
      <c r="F67" s="51" t="n"/>
      <c r="G67" s="349" t="n"/>
      <c r="H67" s="350" t="n"/>
      <c r="I67" s="350" t="n"/>
      <c r="J67" s="351" t="n"/>
    </row>
    <row r="68">
      <c r="A68" s="244" t="n"/>
      <c r="B68" s="244" t="n"/>
      <c r="C68" s="268" t="n"/>
      <c r="D68" s="269" t="n"/>
      <c r="E68" s="51" t="n"/>
      <c r="F68" s="51" t="n"/>
      <c r="G68" s="349" t="n"/>
      <c r="H68" s="350" t="n"/>
      <c r="I68" s="350" t="n"/>
      <c r="J68" s="352" t="n"/>
    </row>
    <row r="69">
      <c r="A69" s="162" t="n"/>
      <c r="B69" s="163" t="n"/>
      <c r="C69" s="164" t="n"/>
      <c r="D69" s="165" t="n"/>
      <c r="E69" s="166" t="n"/>
      <c r="F69" s="167" t="n"/>
      <c r="G69" s="168" t="n"/>
      <c r="H69" s="169" t="n"/>
      <c r="I69" s="170" t="n"/>
      <c r="J69" s="161" t="n"/>
    </row>
    <row r="70">
      <c r="A70" s="162" t="n"/>
      <c r="B70" s="163" t="n"/>
      <c r="C70" s="171" t="n"/>
      <c r="D70" s="153" t="n"/>
      <c r="E70" s="172" t="n"/>
      <c r="F70" s="155" t="n"/>
      <c r="G70" s="168" t="n"/>
      <c r="H70" s="156" t="n"/>
      <c r="I70" s="170" t="n"/>
      <c r="J70" s="161" t="n"/>
    </row>
    <row r="71">
      <c r="A71" s="162" t="n"/>
      <c r="B71" s="163" t="n"/>
      <c r="C71" s="171" t="n"/>
      <c r="D71" s="153" t="n"/>
      <c r="E71" s="172" t="n"/>
      <c r="F71" s="155" t="n"/>
      <c r="G71" s="168" t="n"/>
      <c r="H71" s="156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73" t="n"/>
      <c r="B74" s="174" t="n"/>
      <c r="C74" s="175" t="n"/>
      <c r="D74" s="176" t="n"/>
      <c r="E74" s="177" t="n"/>
      <c r="F74" s="178" t="n"/>
      <c r="G74" s="179" t="n"/>
      <c r="H74" s="180" t="n"/>
      <c r="I74" s="181" t="n"/>
      <c r="J74" s="161" t="n"/>
    </row>
    <row r="75">
      <c r="A75" s="182" t="n"/>
      <c r="B75" s="163" t="n"/>
      <c r="C75" s="183" t="n"/>
      <c r="D75" s="184" t="n"/>
      <c r="E75" s="166" t="n"/>
      <c r="F75" s="167" t="n"/>
      <c r="G75" s="185">
        <f>D75*F75</f>
        <v/>
      </c>
      <c r="H75" s="186" t="n"/>
      <c r="I75" s="186">
        <f>F75*H75*E75</f>
        <v/>
      </c>
      <c r="J75" s="187" t="n"/>
    </row>
    <row r="76">
      <c r="A76" s="182" t="n"/>
      <c r="B76" s="163" t="n"/>
      <c r="C76" s="188" t="n"/>
      <c r="D76" s="189" t="n"/>
      <c r="E76" s="190" t="n"/>
      <c r="F76" s="189" t="n"/>
      <c r="G76" s="185">
        <f>D76*F76</f>
        <v/>
      </c>
      <c r="H76" s="191" t="n"/>
      <c r="I76" s="186">
        <f>F76*H76*E76</f>
        <v/>
      </c>
      <c r="J76" s="187" t="n"/>
    </row>
    <row r="77">
      <c r="A77" s="192" t="inlineStr">
        <is>
          <t>ИТОГО:</t>
        </is>
      </c>
      <c r="B77" s="193" t="n"/>
      <c r="C77" s="194" t="n"/>
      <c r="D77" s="195" t="n"/>
      <c r="E77" s="196">
        <f>SUM(E62:E76)</f>
        <v/>
      </c>
      <c r="F77" s="197">
        <f>SUM(F62:F74)</f>
        <v/>
      </c>
      <c r="G77" s="198">
        <f>SUM(G62:G69)</f>
        <v/>
      </c>
      <c r="H77" s="199" t="n"/>
      <c r="I77" s="199">
        <f>SUM(I62:I70)</f>
        <v/>
      </c>
      <c r="J77" s="200" t="n"/>
    </row>
    <row r="78">
      <c r="A78" s="2" t="n"/>
      <c r="B78" s="94" t="n"/>
      <c r="C78" s="43" t="n"/>
      <c r="D78" s="41" t="n"/>
      <c r="E78" s="41" t="n"/>
      <c r="F78" s="41" t="n"/>
      <c r="G78" s="41" t="n"/>
      <c r="H78" s="2" t="n"/>
      <c r="I78" s="2" t="n"/>
      <c r="J78" s="2" t="n"/>
    </row>
    <row r="79">
      <c r="A79" s="201" t="inlineStr">
        <is>
          <t>реализация Всего касса+безнал:</t>
        </is>
      </c>
      <c r="B79" s="202" t="inlineStr">
        <is>
          <t>кг</t>
        </is>
      </c>
      <c r="C79" s="203" t="inlineStr">
        <is>
          <t>на сумму</t>
        </is>
      </c>
      <c r="D79" s="41" t="n"/>
      <c r="E79" s="41" t="n"/>
      <c r="F79" s="41" t="n"/>
      <c r="G79" s="41" t="n"/>
      <c r="H79" s="2" t="n"/>
      <c r="I79" s="2" t="n"/>
      <c r="J79" s="2" t="n"/>
    </row>
    <row r="80">
      <c r="A80" s="204" t="n"/>
      <c r="B80" s="205">
        <f>E13+G77</f>
        <v/>
      </c>
      <c r="C80" s="206">
        <f>I13+H77+I77</f>
        <v/>
      </c>
      <c r="D80" s="41" t="n"/>
      <c r="E80" s="41" t="n"/>
      <c r="F80" s="41" t="n"/>
      <c r="G80" s="41" t="n"/>
      <c r="H80" s="2" t="n"/>
      <c r="I80" s="2" t="n"/>
      <c r="J80" s="2" t="n"/>
    </row>
    <row r="81">
      <c r="A81" s="207" t="inlineStr">
        <is>
          <t>Услуги оказывают нам (доставка сырья и комплектующих на склад, Товара покупателям)</t>
        </is>
      </c>
      <c r="B81" s="54" t="n"/>
      <c r="C81" s="54" t="n"/>
      <c r="D81" s="54" t="n"/>
      <c r="E81" s="54" t="n"/>
      <c r="F81" s="54" t="n"/>
      <c r="G81" s="54" t="n"/>
      <c r="H81" s="54" t="n"/>
      <c r="I81" s="291" t="n"/>
      <c r="J81" s="58" t="n"/>
    </row>
    <row r="82">
      <c r="A82" s="209" t="inlineStr">
        <is>
          <t>Контрагент</t>
        </is>
      </c>
      <c r="B82" s="210" t="inlineStr">
        <is>
          <t>вид услуги</t>
        </is>
      </c>
      <c r="C82" s="211" t="inlineStr">
        <is>
          <t>Кому / От кого</t>
        </is>
      </c>
      <c r="D82" s="212" t="inlineStr">
        <is>
          <t>наименование</t>
        </is>
      </c>
      <c r="E82" s="213" t="inlineStr">
        <is>
          <t xml:space="preserve">город доставки </t>
        </is>
      </c>
      <c r="F82" s="214" t="inlineStr">
        <is>
          <t>цена</t>
        </is>
      </c>
      <c r="G82" s="213" t="inlineStr">
        <is>
          <t>сумма</t>
        </is>
      </c>
      <c r="H82" s="212" t="inlineStr">
        <is>
          <t>за тонну</t>
        </is>
      </c>
      <c r="I82" s="291" t="n"/>
      <c r="J82" s="58" t="n"/>
    </row>
    <row r="83">
      <c r="A83" s="215" t="inlineStr">
        <is>
          <t>ИП Савин</t>
        </is>
      </c>
      <c r="B83" s="60" t="inlineStr">
        <is>
          <t>Доставка</t>
        </is>
      </c>
      <c r="C83" s="63" t="inlineStr">
        <is>
          <t>Элемент-Трейд</t>
        </is>
      </c>
      <c r="D83" s="226" t="n"/>
      <c r="E83" s="317" t="inlineStr">
        <is>
          <t>Подольск</t>
        </is>
      </c>
      <c r="F83" s="62" t="n">
        <v>14000</v>
      </c>
      <c r="G83" s="218" t="n">
        <v>14000</v>
      </c>
      <c r="H83" s="305" t="inlineStr">
        <is>
          <t>Оплачено 62000</t>
        </is>
      </c>
      <c r="I83" s="291" t="n"/>
      <c r="J83" s="58" t="n"/>
    </row>
    <row r="84">
      <c r="A84" s="215" t="n"/>
      <c r="B84" s="60" t="n"/>
      <c r="C84" s="63" t="n"/>
      <c r="D84" s="226" t="n"/>
      <c r="E84" s="217" t="n"/>
      <c r="F84" s="62" t="n"/>
      <c r="G84" s="218" t="n"/>
      <c r="H84" s="305" t="n"/>
      <c r="I84" s="315" t="n"/>
      <c r="J84" s="58" t="n"/>
    </row>
    <row r="85">
      <c r="A85" s="215" t="n"/>
      <c r="B85" s="60" t="n"/>
      <c r="C85" s="63" t="n"/>
      <c r="D85" s="226" t="n"/>
      <c r="E85" s="217" t="n"/>
      <c r="F85" s="223" t="n"/>
      <c r="G85" s="218" t="n"/>
      <c r="H85" s="305" t="n"/>
      <c r="I85" s="2" t="n"/>
      <c r="J85" s="2" t="n"/>
    </row>
    <row r="86">
      <c r="A86" s="215" t="n"/>
      <c r="B86" s="60" t="n"/>
      <c r="C86" s="63" t="n"/>
      <c r="D86" s="222" t="n"/>
      <c r="E86" s="274" t="n"/>
      <c r="F86" s="223" t="n"/>
      <c r="G86" s="218" t="n"/>
      <c r="H86" s="219" t="n"/>
      <c r="I86" s="2" t="n"/>
      <c r="J86" s="2" t="n"/>
    </row>
    <row r="87">
      <c r="A87" s="215" t="n"/>
      <c r="B87" s="60" t="n"/>
      <c r="C87" s="63" t="n"/>
      <c r="D87" s="226" t="n"/>
      <c r="E87" s="274" t="n"/>
      <c r="F87" s="223" t="n"/>
      <c r="G87" s="218" t="n"/>
      <c r="H87" s="219" t="n"/>
      <c r="I87" s="2" t="n"/>
      <c r="J87" s="2" t="n"/>
    </row>
    <row r="88">
      <c r="A88" s="215" t="n"/>
      <c r="B88" s="60" t="n"/>
      <c r="C88" s="63" t="n"/>
      <c r="D88" s="226" t="n"/>
      <c r="E88" s="227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27" t="n"/>
      <c r="F89" s="223" t="n"/>
      <c r="G89" s="218">
        <f>F89</f>
        <v/>
      </c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</f>
        <v/>
      </c>
      <c r="H90" s="228" t="n"/>
      <c r="I90" s="2" t="n"/>
      <c r="J90" s="2" t="n"/>
    </row>
    <row r="91">
      <c r="A91" s="229" t="inlineStr">
        <is>
          <t>ИТОГО:</t>
        </is>
      </c>
      <c r="B91" s="230" t="n"/>
      <c r="C91" s="231" t="n"/>
      <c r="D91" s="232" t="n"/>
      <c r="E91" s="233">
        <f>SUM(E83:E90)</f>
        <v/>
      </c>
      <c r="F91" s="234" t="n"/>
      <c r="G91" s="235">
        <f>SUM(G83:G90)</f>
        <v/>
      </c>
      <c r="H91" s="235" t="n"/>
      <c r="I91" s="2" t="n"/>
      <c r="J91" s="2" t="n"/>
    </row>
    <row r="92">
      <c r="A92" s="41" t="n"/>
      <c r="B92" s="94" t="n"/>
      <c r="C92" s="43" t="n"/>
      <c r="D92" s="41" t="n"/>
      <c r="E92" s="41" t="n"/>
      <c r="F92" s="41" t="n"/>
      <c r="G92" s="41" t="n"/>
      <c r="H92" s="41" t="n"/>
      <c r="I92" s="2" t="n"/>
      <c r="J92" s="2" t="n"/>
    </row>
    <row r="93">
      <c r="A93" s="236" t="inlineStr">
        <is>
          <t>Услуги оказываем мы</t>
        </is>
      </c>
      <c r="B93" s="54" t="n"/>
      <c r="C93" s="54" t="n"/>
      <c r="D93" s="54" t="n"/>
      <c r="E93" s="54" t="n"/>
      <c r="F93" s="54" t="n"/>
      <c r="G93" s="54" t="n"/>
      <c r="H93" s="54" t="n"/>
      <c r="I93" s="237" t="n"/>
      <c r="J93" s="2" t="n"/>
    </row>
    <row r="94">
      <c r="A94" s="209" t="inlineStr">
        <is>
          <t>Контрагент</t>
        </is>
      </c>
      <c r="B94" s="238" t="inlineStr">
        <is>
          <t>вид услуги</t>
        </is>
      </c>
      <c r="C94" s="239" t="inlineStr">
        <is>
          <t>наименование</t>
        </is>
      </c>
      <c r="D94" s="240" t="inlineStr">
        <is>
          <t>вес, кг, шт</t>
        </is>
      </c>
      <c r="E94" s="240" t="inlineStr">
        <is>
          <t>цена</t>
        </is>
      </c>
      <c r="F94" s="240" t="inlineStr">
        <is>
          <t>сумма</t>
        </is>
      </c>
      <c r="G94" s="213" t="inlineStr">
        <is>
          <t>№УПД</t>
        </is>
      </c>
      <c r="H94" s="213" t="n"/>
      <c r="I94" s="2" t="n"/>
      <c r="J94" s="2" t="n"/>
    </row>
    <row r="95">
      <c r="A95" s="275" t="n"/>
      <c r="B95" s="276" t="n"/>
      <c r="C95" s="243" t="n"/>
      <c r="D95" s="244" t="n"/>
      <c r="E95" s="277" t="n"/>
      <c r="F95" s="278" t="n"/>
      <c r="G95" s="247" t="n"/>
      <c r="H95" s="248" t="n"/>
      <c r="I95" s="2" t="n"/>
      <c r="J95" s="2" t="n"/>
    </row>
    <row r="96">
      <c r="A96" s="249" t="n"/>
      <c r="B96" s="250" t="n"/>
      <c r="C96" s="251" t="n"/>
      <c r="D96" s="252" t="n"/>
      <c r="E96" s="253" t="n"/>
      <c r="F96" s="254" t="n"/>
      <c r="G96" s="255" t="n"/>
      <c r="H96" s="256" t="n"/>
      <c r="I96" s="2" t="n"/>
      <c r="J96" s="2" t="n"/>
    </row>
    <row r="97">
      <c r="A97" s="257" t="n"/>
      <c r="B97" s="258" t="n"/>
      <c r="C97" s="257" t="n"/>
      <c r="D97" s="257" t="n"/>
      <c r="E97" s="257" t="n"/>
      <c r="F97" s="254" t="n"/>
      <c r="G97" s="257" t="n"/>
      <c r="H97" s="257" t="n"/>
      <c r="I97" s="2" t="n"/>
      <c r="J97" s="2" t="n"/>
    </row>
    <row r="98">
      <c r="A98" s="249" t="n"/>
      <c r="B98" s="258" t="n"/>
      <c r="C98" s="257" t="n"/>
      <c r="D98" s="259" t="n"/>
      <c r="E98" s="257" t="n"/>
      <c r="F98" s="260" t="n"/>
      <c r="G98" s="257" t="n"/>
      <c r="H98" s="257" t="n"/>
      <c r="I98" s="2" t="n"/>
      <c r="J98" s="2" t="n"/>
    </row>
    <row r="99">
      <c r="A99" s="2" t="n"/>
      <c r="B99" s="261" t="n"/>
      <c r="C99" s="2" t="n"/>
      <c r="D99" s="2" t="n"/>
      <c r="E99" s="2" t="n"/>
      <c r="F99" s="262" t="n"/>
      <c r="G99" s="2" t="n"/>
      <c r="H99" s="2" t="n"/>
      <c r="I99" s="263" t="n"/>
      <c r="J99" s="264" t="n"/>
    </row>
  </sheetData>
  <mergeCells count="10">
    <mergeCell ref="A18:H18"/>
    <mergeCell ref="A1:J1"/>
    <mergeCell ref="J67:J68"/>
    <mergeCell ref="A81:H81"/>
    <mergeCell ref="A38:H38"/>
    <mergeCell ref="I41:J41"/>
    <mergeCell ref="A2:J2"/>
    <mergeCell ref="A93:H93"/>
    <mergeCell ref="I40:J40"/>
    <mergeCell ref="J62:J6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27.875" customWidth="1" min="1" max="1"/>
    <col width="25.375" customWidth="1" min="2" max="2"/>
    <col width="42.75" customWidth="1" min="3" max="3"/>
    <col width="11.5" customWidth="1" min="4" max="4"/>
    <col width="18.375" customWidth="1" min="5" max="5"/>
    <col width="8.875" customWidth="1" min="6" max="6"/>
    <col width="9.625" customWidth="1" min="7" max="7"/>
    <col width="11.125" customWidth="1" min="8" max="8"/>
    <col width="18.25" customWidth="1" min="9" max="9"/>
    <col width="12" customWidth="1" min="10" max="10"/>
  </cols>
  <sheetData>
    <row r="1">
      <c r="A1" s="1" t="n"/>
    </row>
    <row r="2">
      <c r="A2" s="3" t="inlineStr">
        <is>
          <t>Реализация за наличный расчёт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Контрагент</t>
        </is>
      </c>
      <c r="B3" s="265" t="inlineStr">
        <is>
          <t xml:space="preserve">поставщик </t>
        </is>
      </c>
      <c r="C3" s="266" t="inlineStr">
        <is>
          <t>наименование</t>
        </is>
      </c>
      <c r="D3" s="145" t="inlineStr">
        <is>
          <t>вес упаковки, тарелки</t>
        </is>
      </c>
      <c r="E3" s="8" t="inlineStr">
        <is>
          <t>кол.-во пакетов, коробок</t>
        </is>
      </c>
      <c r="F3" s="9" t="inlineStr">
        <is>
          <t>кол-во мест в коробке/упаковке</t>
        </is>
      </c>
      <c r="G3" s="8" t="inlineStr">
        <is>
          <t>общий вес, кг.</t>
        </is>
      </c>
      <c r="H3" s="10" t="inlineStr">
        <is>
          <t>цена пакет, тарелка</t>
        </is>
      </c>
      <c r="I3" s="6" t="inlineStr">
        <is>
          <t>сумма</t>
        </is>
      </c>
      <c r="J3" s="11" t="inlineStr">
        <is>
          <t>себестоимость</t>
        </is>
      </c>
    </row>
    <row r="4">
      <c r="A4" s="13" t="inlineStr">
        <is>
          <t>Пятая база</t>
        </is>
      </c>
      <c r="B4" s="267" t="inlineStr">
        <is>
          <t>ООО Снекпром</t>
        </is>
      </c>
      <c r="C4" s="268" t="inlineStr">
        <is>
          <t>квадромикс 200 гр</t>
        </is>
      </c>
      <c r="D4" s="269" t="n">
        <v>0.2</v>
      </c>
      <c r="E4" s="17" t="n">
        <v>18</v>
      </c>
      <c r="F4" s="17" t="n">
        <v>18</v>
      </c>
      <c r="G4" s="270">
        <f>E4*D4</f>
        <v/>
      </c>
      <c r="H4" s="19" t="n">
        <v>75</v>
      </c>
      <c r="I4" s="19">
        <f>H4*E4</f>
        <v/>
      </c>
      <c r="J4" s="20" t="n"/>
    </row>
    <row r="5">
      <c r="A5" s="13" t="n"/>
      <c r="B5" s="267" t="n"/>
      <c r="C5" s="268" t="inlineStr">
        <is>
          <t>арахис ассорти 200 гр</t>
        </is>
      </c>
      <c r="D5" s="269" t="n">
        <v>0.2</v>
      </c>
      <c r="E5" s="17" t="n">
        <v>18</v>
      </c>
      <c r="F5" s="17" t="n">
        <v>18</v>
      </c>
      <c r="G5" s="270">
        <f>E5*D5</f>
        <v/>
      </c>
      <c r="H5" s="19" t="n">
        <v>85</v>
      </c>
      <c r="I5" s="19">
        <f>H5*E5</f>
        <v/>
      </c>
      <c r="J5" s="20" t="n"/>
    </row>
    <row r="6">
      <c r="A6" s="13" t="n"/>
      <c r="B6" s="267" t="n"/>
      <c r="C6" s="268" t="n"/>
      <c r="D6" s="269" t="n"/>
      <c r="E6" s="17" t="n"/>
      <c r="F6" s="17" t="n"/>
      <c r="G6" s="270" t="n"/>
      <c r="H6" s="19" t="n"/>
      <c r="I6" s="19" t="n"/>
      <c r="J6" s="20" t="n"/>
    </row>
    <row r="7">
      <c r="A7" s="13" t="n"/>
      <c r="B7" s="30" t="n"/>
      <c r="C7" s="268" t="n"/>
      <c r="D7" s="269" t="n"/>
      <c r="E7" s="17" t="n"/>
      <c r="F7" s="17" t="n"/>
      <c r="G7" s="270" t="n"/>
      <c r="H7" s="19" t="n"/>
      <c r="I7" s="19" t="n"/>
      <c r="J7" s="20" t="n"/>
    </row>
    <row r="8">
      <c r="A8" s="13" t="n"/>
      <c r="B8" s="30" t="n"/>
      <c r="C8" s="268" t="n"/>
      <c r="D8" s="269" t="n"/>
      <c r="E8" s="17" t="n"/>
      <c r="F8" s="17" t="n"/>
      <c r="G8" s="270" t="n"/>
      <c r="H8" s="19" t="n"/>
      <c r="I8" s="19" t="n"/>
      <c r="J8" s="20" t="n"/>
    </row>
    <row r="9">
      <c r="A9" s="13" t="n"/>
      <c r="B9" s="30" t="n"/>
      <c r="C9" s="268" t="n"/>
      <c r="D9" s="269" t="n"/>
      <c r="E9" s="16" t="n"/>
      <c r="F9" s="17" t="n"/>
      <c r="G9" s="270" t="n"/>
      <c r="H9" s="19" t="n"/>
      <c r="I9" s="19" t="n"/>
      <c r="J9" s="20" t="n"/>
    </row>
    <row r="10">
      <c r="A10" s="13" t="n"/>
      <c r="B10" s="30" t="n"/>
      <c r="C10" s="268" t="n"/>
      <c r="D10" s="269" t="n"/>
      <c r="E10" s="16" t="n"/>
      <c r="F10" s="17" t="n"/>
      <c r="G10" s="270" t="n"/>
      <c r="H10" s="19" t="n"/>
      <c r="I10" s="19" t="n"/>
      <c r="J10" s="20" t="n"/>
    </row>
    <row r="11">
      <c r="A11" s="13" t="n"/>
      <c r="B11" s="30" t="n"/>
      <c r="C11" s="268" t="n"/>
      <c r="D11" s="269" t="n"/>
      <c r="E11" s="17" t="n"/>
      <c r="F11" s="17" t="n"/>
      <c r="G11" s="270" t="n"/>
      <c r="H11" s="19" t="n"/>
      <c r="I11" s="19" t="n"/>
      <c r="J11" s="20" t="n"/>
    </row>
    <row r="12">
      <c r="A12" s="13" t="n"/>
      <c r="B12" s="30" t="n"/>
      <c r="C12" s="268" t="n"/>
      <c r="D12" s="269" t="n"/>
      <c r="E12" s="17" t="n"/>
      <c r="F12" s="17" t="n"/>
      <c r="G12" s="270" t="n"/>
      <c r="H12" s="19" t="n"/>
      <c r="I12" s="19" t="n"/>
      <c r="J12" s="20" t="n"/>
    </row>
    <row r="13">
      <c r="A13" s="33" t="n"/>
      <c r="B13" s="34" t="n"/>
      <c r="C13" s="35" t="n"/>
      <c r="D13" s="33" t="n"/>
      <c r="E13" s="36">
        <f>SUM(E4:E12)</f>
        <v/>
      </c>
      <c r="F13" s="36">
        <f>SUM(F4:F12)</f>
        <v/>
      </c>
      <c r="G13" s="37">
        <f>SUM(G4:G12)</f>
        <v/>
      </c>
      <c r="H13" s="38" t="n"/>
      <c r="I13" s="39">
        <f>SUM(I4:I12)</f>
        <v/>
      </c>
      <c r="J13" s="40" t="n"/>
    </row>
    <row r="14">
      <c r="A14" s="41" t="n"/>
      <c r="B14" s="42" t="n"/>
      <c r="C14" s="43" t="n"/>
      <c r="D14" s="41" t="n"/>
      <c r="E14" s="41" t="n"/>
      <c r="F14" s="41" t="n"/>
      <c r="G14" s="41" t="n"/>
      <c r="H14" s="41" t="n"/>
      <c r="I14" s="2" t="n"/>
      <c r="J14" s="2" t="n"/>
    </row>
    <row r="15">
      <c r="A15" s="44" t="inlineStr">
        <is>
          <t xml:space="preserve">Поступление от </t>
        </is>
      </c>
      <c r="B15" s="45" t="inlineStr">
        <is>
          <t>сумма</t>
        </is>
      </c>
      <c r="C15" s="46" t="inlineStr">
        <is>
          <t>примечание</t>
        </is>
      </c>
      <c r="D15" s="47" t="n"/>
      <c r="E15" s="41" t="n"/>
      <c r="F15" s="41" t="n"/>
      <c r="G15" s="41" t="n"/>
      <c r="H15" s="41" t="n"/>
      <c r="I15" s="2" t="n"/>
      <c r="J15" s="2" t="n"/>
    </row>
    <row r="16">
      <c r="A16" s="48" t="n"/>
      <c r="B16" s="49" t="n"/>
      <c r="C16" s="50" t="n"/>
      <c r="D16" s="47" t="n"/>
      <c r="E16" s="41" t="n"/>
      <c r="F16" s="41" t="n"/>
      <c r="G16" s="41" t="n"/>
      <c r="H16" s="41" t="n"/>
      <c r="I16" s="2" t="n"/>
      <c r="J16" s="2" t="n"/>
    </row>
    <row r="17">
      <c r="A17" s="29" t="n"/>
      <c r="B17" s="51" t="n"/>
      <c r="C17" s="52" t="n"/>
      <c r="D17" s="47" t="n"/>
      <c r="E17" s="41" t="n"/>
      <c r="F17" s="41" t="n"/>
      <c r="G17" s="41" t="n"/>
      <c r="H17" s="41" t="n"/>
      <c r="I17" s="2" t="n"/>
      <c r="J17" s="2" t="n"/>
    </row>
    <row r="18">
      <c r="A18" s="53" t="inlineStr">
        <is>
          <t>Касса</t>
        </is>
      </c>
      <c r="B18" s="54" t="n"/>
      <c r="C18" s="54" t="n"/>
      <c r="D18" s="54" t="n"/>
      <c r="E18" s="54" t="n"/>
      <c r="F18" s="54" t="n"/>
      <c r="G18" s="54" t="n"/>
      <c r="H18" s="54" t="n"/>
      <c r="I18" s="2" t="n"/>
      <c r="J18" s="2" t="n"/>
    </row>
    <row r="19">
      <c r="A19" s="55" t="inlineStr">
        <is>
          <t>Производство</t>
        </is>
      </c>
      <c r="B19" s="56" t="n"/>
      <c r="C19" s="56" t="n"/>
      <c r="D19" s="47" t="n"/>
      <c r="E19" s="55" t="inlineStr">
        <is>
          <t xml:space="preserve">Бухгалтерия </t>
        </is>
      </c>
      <c r="F19" s="56" t="n"/>
      <c r="G19" s="56" t="n"/>
      <c r="H19" s="47" t="n"/>
      <c r="I19" s="57" t="n"/>
      <c r="J19" s="58" t="n"/>
    </row>
    <row r="20">
      <c r="A20" s="59" t="inlineStr">
        <is>
          <t>Остаток на начало дня:</t>
        </is>
      </c>
      <c r="B20" s="60" t="n"/>
      <c r="C20" s="61" t="n"/>
      <c r="D20" s="302" t="n">
        <v>383600.2499999999</v>
      </c>
      <c r="E20" s="311" t="inlineStr">
        <is>
          <t>Остаток на начало дня:</t>
        </is>
      </c>
      <c r="F20" s="294" t="n"/>
      <c r="G20" s="312" t="n"/>
      <c r="H20" s="309" t="n">
        <v>0</v>
      </c>
      <c r="I20" s="359" t="inlineStr">
        <is>
          <t>актуальный остаток на начало дня</t>
        </is>
      </c>
      <c r="J20" s="289" t="n"/>
    </row>
    <row r="21">
      <c r="A21" s="66" t="inlineStr">
        <is>
          <t>поступление Пятая база</t>
        </is>
      </c>
      <c r="B21" s="67" t="n"/>
      <c r="C21" s="68" t="n">
        <v>2880</v>
      </c>
      <c r="D21" s="68" t="n">
        <v>2880</v>
      </c>
      <c r="E21" s="69" t="n"/>
      <c r="F21" s="70" t="n"/>
      <c r="G21" s="71" t="n"/>
      <c r="H21" s="72" t="n"/>
      <c r="I21" s="313" t="n"/>
      <c r="J21" s="313" t="n"/>
    </row>
    <row r="22">
      <c r="A22" s="66" t="n"/>
      <c r="B22" s="67" t="n"/>
      <c r="C22" s="68" t="n"/>
      <c r="D22" s="68" t="n"/>
      <c r="E22" s="69" t="n"/>
      <c r="F22" s="70" t="n"/>
      <c r="G22" s="71" t="n"/>
      <c r="H22" s="72" t="n"/>
      <c r="I22" s="313" t="n"/>
      <c r="J22" s="2" t="n"/>
    </row>
    <row r="23">
      <c r="A23" s="66" t="n"/>
      <c r="B23" s="67" t="n"/>
      <c r="C23" s="68" t="n"/>
      <c r="D23" s="68" t="n"/>
      <c r="E23" s="69" t="n"/>
      <c r="F23" s="70" t="n"/>
      <c r="G23" s="71" t="n"/>
      <c r="H23" s="72">
        <f>F23*G23</f>
        <v/>
      </c>
      <c r="I23" s="2" t="n"/>
      <c r="J23" s="2" t="n"/>
    </row>
    <row r="24">
      <c r="A24" s="66" t="n"/>
      <c r="B24" s="67" t="n"/>
      <c r="C24" s="68" t="n"/>
      <c r="D24" s="68" t="n"/>
      <c r="E24" s="69" t="n"/>
      <c r="F24" s="70" t="n"/>
      <c r="G24" s="71" t="n"/>
      <c r="H24" s="72">
        <f>F24*G24</f>
        <v/>
      </c>
      <c r="I24" s="2" t="n"/>
      <c r="J24" s="2" t="n"/>
    </row>
    <row r="25">
      <c r="A25" s="66" t="n"/>
      <c r="B25" s="73" t="n"/>
      <c r="C25" s="74" t="n"/>
      <c r="D25" s="75" t="n"/>
      <c r="E25" s="69" t="n"/>
      <c r="F25" s="70" t="n"/>
      <c r="G25" s="71" t="n"/>
      <c r="H25" s="72">
        <f>F25*G25</f>
        <v/>
      </c>
      <c r="I25" s="2" t="n"/>
      <c r="J25" s="2" t="n"/>
    </row>
    <row r="26">
      <c r="A26" s="76" t="n"/>
      <c r="B26" s="67" t="n"/>
      <c r="C26" s="68" t="n"/>
      <c r="D26" s="75" t="n"/>
      <c r="E26" s="77" t="inlineStr">
        <is>
          <t>Итого приход:</t>
        </is>
      </c>
      <c r="F26" s="78" t="n"/>
      <c r="G26" s="79" t="n"/>
      <c r="H26" s="80">
        <f>SUM(H21:H22)</f>
        <v/>
      </c>
      <c r="I26" s="2" t="n"/>
      <c r="J26" s="2" t="n"/>
    </row>
    <row r="27">
      <c r="A27" s="76" t="inlineStr">
        <is>
          <t>Расход за день:</t>
        </is>
      </c>
      <c r="B27" s="67" t="n"/>
      <c r="C27" s="79" t="n"/>
      <c r="D27" s="80" t="n"/>
      <c r="E27" s="76" t="inlineStr">
        <is>
          <t>Расход за день:</t>
        </is>
      </c>
      <c r="F27" s="78" t="n"/>
      <c r="G27" s="79" t="n"/>
      <c r="H27" s="80" t="n"/>
      <c r="I27" s="2" t="n"/>
      <c r="J27" s="2" t="n"/>
    </row>
    <row r="28">
      <c r="A28" s="81" t="inlineStr">
        <is>
          <t>уборка</t>
        </is>
      </c>
      <c r="B28" s="67" t="n"/>
      <c r="C28" s="68" t="n">
        <v>2000</v>
      </c>
      <c r="D28" s="68" t="n">
        <v>2000</v>
      </c>
      <c r="E28" s="76" t="n"/>
      <c r="F28" s="78" t="n"/>
      <c r="G28" s="79" t="n"/>
      <c r="H28" s="72">
        <f>F28*G28</f>
        <v/>
      </c>
      <c r="I28" s="2" t="n"/>
      <c r="J28" s="2" t="n"/>
    </row>
    <row r="29">
      <c r="A29" s="69" t="inlineStr">
        <is>
          <t>аптечка</t>
        </is>
      </c>
      <c r="B29" s="67" t="n"/>
      <c r="C29" s="68" t="n">
        <v>1153</v>
      </c>
      <c r="D29" s="74" t="n">
        <v>1153</v>
      </c>
      <c r="E29" s="76" t="n"/>
      <c r="F29" s="78" t="n"/>
      <c r="G29" s="79" t="n"/>
      <c r="H29" s="72">
        <f>F29*G29</f>
        <v/>
      </c>
      <c r="I29" s="2" t="n"/>
      <c r="J29" s="2" t="n"/>
    </row>
    <row r="30">
      <c r="A30" s="69" t="inlineStr">
        <is>
          <t>з/п технолог Маргарита</t>
        </is>
      </c>
      <c r="B30" s="67" t="n"/>
      <c r="C30" s="68" t="n">
        <v>20000</v>
      </c>
      <c r="D30" s="74" t="n">
        <v>20000</v>
      </c>
      <c r="E30" s="76" t="n"/>
      <c r="F30" s="78" t="n"/>
      <c r="G30" s="79" t="n"/>
      <c r="H30" s="72">
        <f>F30*G30</f>
        <v/>
      </c>
      <c r="I30" s="2" t="n"/>
      <c r="J30" s="2" t="n"/>
    </row>
    <row r="31">
      <c r="A31" s="69" t="inlineStr">
        <is>
          <t xml:space="preserve">аренда квартиры </t>
        </is>
      </c>
      <c r="B31" s="67" t="n"/>
      <c r="C31" s="68" t="n">
        <v>28000</v>
      </c>
      <c r="D31" s="74" t="n">
        <v>28000</v>
      </c>
      <c r="E31" s="76" t="n"/>
      <c r="F31" s="78" t="n"/>
      <c r="G31" s="79" t="n"/>
      <c r="H31" s="72">
        <f>F31*G31</f>
        <v/>
      </c>
      <c r="I31" s="2" t="n"/>
      <c r="J31" s="2" t="n"/>
    </row>
    <row r="32">
      <c r="A32" s="69" t="n"/>
      <c r="B32" s="67" t="n"/>
      <c r="C32" s="68" t="n"/>
      <c r="D32" s="68" t="n"/>
      <c r="E32" s="76" t="n"/>
      <c r="F32" s="78" t="n"/>
      <c r="G32" s="79" t="n"/>
      <c r="H32" s="72">
        <f>F32*G32</f>
        <v/>
      </c>
      <c r="I32" s="313" t="n"/>
      <c r="J32" s="2" t="n"/>
    </row>
    <row r="33">
      <c r="A33" s="69" t="n"/>
      <c r="B33" s="67" t="n"/>
      <c r="C33" s="68" t="n"/>
      <c r="D33" s="68" t="n"/>
      <c r="E33" s="76" t="n"/>
      <c r="F33" s="78" t="n"/>
      <c r="G33" s="79" t="n"/>
      <c r="H33" s="72">
        <f>F33*G33</f>
        <v/>
      </c>
      <c r="I33" s="2" t="n"/>
      <c r="J33" s="2" t="n"/>
    </row>
    <row r="34">
      <c r="A34" s="69" t="n"/>
      <c r="B34" s="67" t="n"/>
      <c r="C34" s="68" t="n"/>
      <c r="D34" s="75" t="n"/>
      <c r="E34" s="76" t="n"/>
      <c r="F34" s="78" t="n"/>
      <c r="G34" s="79" t="n"/>
      <c r="H34" s="72">
        <f>F34*G34</f>
        <v/>
      </c>
      <c r="I34" s="2" t="n"/>
      <c r="J34" s="2" t="n"/>
    </row>
    <row r="35">
      <c r="A35" s="83" t="n"/>
      <c r="B35" s="67" t="n"/>
      <c r="C35" s="68" t="n"/>
      <c r="D35" s="84" t="n"/>
      <c r="E35" s="85" t="inlineStr">
        <is>
          <t>Итого расход:</t>
        </is>
      </c>
      <c r="F35" s="78" t="n"/>
      <c r="G35" s="79" t="n"/>
      <c r="H35" s="72">
        <f>F35*G35</f>
        <v/>
      </c>
      <c r="I35" s="86" t="n"/>
      <c r="J35" s="86" t="n"/>
    </row>
    <row r="36">
      <c r="A36" s="87" t="inlineStr">
        <is>
          <t>Остаток на конец дня:</t>
        </is>
      </c>
      <c r="B36" s="88" t="n"/>
      <c r="C36" s="89" t="n"/>
      <c r="D36" s="90">
        <f>SUM(D21,D22:D25,D20,)-SUM(D28:D35,)</f>
        <v/>
      </c>
      <c r="E36" s="87" t="inlineStr">
        <is>
          <t>Остаток на конец дня:</t>
        </is>
      </c>
      <c r="F36" s="91" t="n"/>
      <c r="G36" s="89" t="n"/>
      <c r="H36" s="92">
        <f>SUM(H20+H26-H35)</f>
        <v/>
      </c>
      <c r="I36" s="2" t="n"/>
      <c r="J36" s="2" t="n"/>
    </row>
    <row r="37">
      <c r="A37" s="93" t="n"/>
      <c r="B37" s="94" t="n"/>
      <c r="C37" s="43" t="n"/>
      <c r="D37" s="41" t="n"/>
      <c r="E37" s="41" t="n"/>
      <c r="F37" s="41" t="n"/>
      <c r="G37" s="2" t="n"/>
      <c r="H37" s="2" t="n"/>
      <c r="I37" s="2" t="n"/>
      <c r="J37" s="2" t="n"/>
    </row>
    <row r="38">
      <c r="A38" s="95" t="inlineStr">
        <is>
          <t>Расчётный счёт</t>
        </is>
      </c>
      <c r="B38" s="54" t="n"/>
      <c r="C38" s="54" t="n"/>
      <c r="D38" s="54" t="n"/>
      <c r="E38" s="54" t="n"/>
      <c r="F38" s="54" t="n"/>
      <c r="G38" s="54" t="n"/>
      <c r="H38" s="54" t="n"/>
      <c r="I38" s="2" t="n"/>
      <c r="J38" s="2" t="n"/>
    </row>
    <row r="39">
      <c r="A39" s="96" t="inlineStr">
        <is>
          <t>ВТБ</t>
        </is>
      </c>
      <c r="B39" s="279" t="inlineStr">
        <is>
          <t>ВТБ</t>
        </is>
      </c>
      <c r="C39" s="279" t="n"/>
      <c r="D39" s="47" t="n"/>
      <c r="E39" s="97" t="inlineStr">
        <is>
          <t>Альфабанк</t>
        </is>
      </c>
      <c r="F39" s="56" t="n"/>
      <c r="G39" s="56" t="n"/>
      <c r="H39" s="47" t="n"/>
      <c r="I39" s="330" t="inlineStr">
        <is>
          <t>Уралсиб</t>
        </is>
      </c>
    </row>
    <row r="40">
      <c r="A40" s="98" t="inlineStr">
        <is>
          <t>Остаток на начало дня:</t>
        </is>
      </c>
      <c r="B40" s="280" t="n"/>
      <c r="C40" s="290" t="n">
        <v>800125.67</v>
      </c>
      <c r="D40" s="56" t="n"/>
      <c r="E40" s="100" t="inlineStr">
        <is>
          <t>Остаток на начало дня:</t>
        </is>
      </c>
      <c r="F40" s="47" t="n"/>
      <c r="G40" s="101" t="n">
        <v>2444.5</v>
      </c>
      <c r="H40" s="47" t="n"/>
      <c r="I40" s="330" t="inlineStr">
        <is>
          <t>Остаток на начало дня :</t>
        </is>
      </c>
      <c r="J40" s="332" t="n"/>
    </row>
    <row r="41">
      <c r="A41" s="102" t="inlineStr">
        <is>
          <t>Поступление</t>
        </is>
      </c>
      <c r="B41" s="47" t="n"/>
      <c r="C41" s="102" t="inlineStr">
        <is>
          <t>Расход</t>
        </is>
      </c>
      <c r="D41" s="47" t="n"/>
      <c r="E41" s="102" t="inlineStr">
        <is>
          <t>Поступление</t>
        </is>
      </c>
      <c r="F41" s="47" t="n"/>
      <c r="G41" s="102" t="inlineStr">
        <is>
          <t>Расход</t>
        </is>
      </c>
      <c r="H41" s="47" t="n"/>
      <c r="I41" s="334" t="inlineStr">
        <is>
          <t xml:space="preserve">Поступление </t>
        </is>
      </c>
      <c r="J41" s="332" t="n"/>
    </row>
    <row r="42">
      <c r="A42" s="103" t="inlineStr">
        <is>
          <t>от кого</t>
        </is>
      </c>
      <c r="B42" s="103" t="inlineStr">
        <is>
          <t>сумма</t>
        </is>
      </c>
      <c r="C42" s="103" t="inlineStr">
        <is>
          <t>кому</t>
        </is>
      </c>
      <c r="D42" s="103" t="inlineStr">
        <is>
          <t>сумма</t>
        </is>
      </c>
      <c r="E42" s="103" t="inlineStr">
        <is>
          <t>от кого</t>
        </is>
      </c>
      <c r="F42" s="103" t="inlineStr">
        <is>
          <t>сумма</t>
        </is>
      </c>
      <c r="G42" s="336" t="inlineStr">
        <is>
          <t xml:space="preserve">кому </t>
        </is>
      </c>
      <c r="H42" s="103" t="inlineStr">
        <is>
          <t>сумма</t>
        </is>
      </c>
      <c r="I42" s="334" t="inlineStr">
        <is>
          <t xml:space="preserve">от кого </t>
        </is>
      </c>
      <c r="J42" s="334" t="inlineStr">
        <is>
          <t xml:space="preserve">сумма </t>
        </is>
      </c>
    </row>
    <row r="43">
      <c r="A43" s="104" t="inlineStr">
        <is>
          <t xml:space="preserve">Проценты по депозиту </t>
        </is>
      </c>
      <c r="B43" s="281" t="n">
        <v>1232.88</v>
      </c>
      <c r="C43" s="106" t="inlineStr">
        <is>
          <t xml:space="preserve">обслуживание счета </t>
        </is>
      </c>
      <c r="D43" s="107" t="n">
        <v>1480</v>
      </c>
      <c r="E43" s="108" t="n"/>
      <c r="F43" s="109" t="n"/>
      <c r="G43" s="110" t="inlineStr">
        <is>
          <t xml:space="preserve">Комиссия банка </t>
        </is>
      </c>
      <c r="H43" s="109" t="n">
        <v>1612.5</v>
      </c>
      <c r="I43" s="338" t="n"/>
      <c r="J43" s="339" t="n"/>
    </row>
    <row r="44">
      <c r="A44" s="282" t="inlineStr">
        <is>
          <t xml:space="preserve">ООО Золотой снек  за арахис </t>
        </is>
      </c>
      <c r="B44" s="281" t="n">
        <v>84060</v>
      </c>
      <c r="C44" s="112" t="inlineStr">
        <is>
          <t>ООО КМТ профи за заправку картриджа</t>
        </is>
      </c>
      <c r="D44" s="107" t="n">
        <v>2900</v>
      </c>
      <c r="E44" s="110" t="n"/>
      <c r="F44" s="109" t="n"/>
      <c r="G44" s="110" t="n"/>
      <c r="H44" s="109" t="n"/>
      <c r="I44" s="338" t="n"/>
      <c r="J44" s="338" t="n"/>
    </row>
    <row r="45">
      <c r="A45" s="111" t="n"/>
      <c r="B45" s="283" t="n"/>
      <c r="C45" s="113" t="inlineStr">
        <is>
          <t xml:space="preserve">ООО Мастер строй за дрель ,материалы </t>
        </is>
      </c>
      <c r="D45" s="107" t="n">
        <v>8402</v>
      </c>
      <c r="E45" s="110" t="n"/>
      <c r="F45" s="109" t="n"/>
      <c r="G45" s="114" t="n"/>
      <c r="H45" s="109" t="n"/>
      <c r="I45" s="338" t="n"/>
      <c r="J45" s="338" t="n"/>
    </row>
    <row r="46">
      <c r="A46" s="115" t="n"/>
      <c r="B46" s="283" t="n"/>
      <c r="C46" s="113" t="inlineStr">
        <is>
          <t xml:space="preserve">ИП Савин транспортные услуги </t>
        </is>
      </c>
      <c r="D46" s="107" t="n">
        <v>22000</v>
      </c>
      <c r="E46" s="108" t="n"/>
      <c r="F46" s="116" t="n"/>
      <c r="G46" s="114" t="n"/>
      <c r="H46" s="109" t="n"/>
      <c r="I46" s="338" t="n"/>
      <c r="J46" s="338" t="n"/>
    </row>
    <row r="47">
      <c r="A47" s="117" t="n"/>
      <c r="B47" s="283" t="n"/>
      <c r="C47" s="113" t="inlineStr">
        <is>
          <t xml:space="preserve">ООО ТД Л-Пак  за гофроящик </t>
        </is>
      </c>
      <c r="D47" s="107" t="n">
        <v>245268</v>
      </c>
      <c r="E47" s="118" t="n"/>
      <c r="F47" s="119" t="n"/>
      <c r="G47" s="120" t="n"/>
      <c r="H47" s="120" t="n"/>
      <c r="I47" s="338" t="n"/>
      <c r="J47" s="338" t="n"/>
    </row>
    <row r="48">
      <c r="A48" s="117" t="n"/>
      <c r="B48" s="283" t="n"/>
      <c r="C48" s="113" t="inlineStr">
        <is>
          <t xml:space="preserve">ИП Савина О.В. аренда </t>
        </is>
      </c>
      <c r="D48" s="107" t="n">
        <v>330000</v>
      </c>
      <c r="E48" s="118" t="n"/>
      <c r="F48" s="119" t="n"/>
      <c r="G48" s="121" t="n"/>
      <c r="H48" s="120" t="n"/>
      <c r="I48" s="338" t="n"/>
      <c r="J48" s="338" t="n"/>
    </row>
    <row r="49">
      <c r="A49" s="122" t="n"/>
      <c r="B49" s="283" t="n"/>
      <c r="C49" s="113" t="inlineStr">
        <is>
          <t>Размещение на депозите 275000</t>
        </is>
      </c>
      <c r="D49" s="107" t="n">
        <v>0</v>
      </c>
      <c r="E49" s="118" t="n"/>
      <c r="F49" s="118" t="n"/>
      <c r="G49" s="123" t="n"/>
      <c r="H49" s="120" t="n"/>
      <c r="I49" s="338" t="n"/>
      <c r="J49" s="338" t="n"/>
    </row>
    <row r="50">
      <c r="A50" s="124" t="n"/>
      <c r="B50" s="284" t="n"/>
      <c r="C50" s="113" t="n"/>
      <c r="D50" s="107" t="n"/>
      <c r="E50" s="124" t="n"/>
      <c r="F50" s="118" t="n"/>
      <c r="G50" s="110" t="n"/>
      <c r="H50" s="120" t="n"/>
      <c r="I50" s="338" t="n"/>
      <c r="J50" s="338" t="n"/>
    </row>
    <row r="51">
      <c r="A51" s="124" t="n"/>
      <c r="B51" s="285" t="n"/>
      <c r="C51" s="112" t="n"/>
      <c r="D51" s="126" t="n"/>
      <c r="E51" s="124" t="n"/>
      <c r="F51" s="118" t="n"/>
      <c r="G51" s="110" t="n"/>
      <c r="H51" s="120" t="n"/>
      <c r="I51" s="338" t="n"/>
      <c r="J51" s="338" t="n"/>
    </row>
    <row r="52">
      <c r="A52" s="124" t="n"/>
      <c r="B52" s="285" t="n"/>
      <c r="C52" s="112" t="n"/>
      <c r="D52" s="126" t="n"/>
      <c r="E52" s="124" t="n"/>
      <c r="F52" s="118" t="n"/>
      <c r="G52" s="110" t="n"/>
      <c r="H52" s="120" t="n"/>
      <c r="I52" s="338" t="n"/>
      <c r="J52" s="338" t="n"/>
    </row>
    <row r="53">
      <c r="A53" s="124" t="n"/>
      <c r="B53" s="285" t="n"/>
      <c r="C53" s="112" t="n"/>
      <c r="D53" s="126" t="n"/>
      <c r="E53" s="124" t="n"/>
      <c r="F53" s="118" t="n"/>
      <c r="G53" s="110" t="n"/>
      <c r="H53" s="120" t="n"/>
      <c r="I53" s="338" t="n"/>
      <c r="J53" s="338" t="n"/>
    </row>
    <row r="54">
      <c r="A54" s="124" t="n"/>
      <c r="B54" s="285" t="n"/>
      <c r="C54" s="112" t="n"/>
      <c r="D54" s="343" t="n"/>
      <c r="E54" s="124" t="n"/>
      <c r="F54" s="118" t="n"/>
      <c r="G54" s="110" t="n"/>
      <c r="H54" s="120" t="n"/>
      <c r="I54" s="338" t="n"/>
      <c r="J54" s="338" t="n"/>
    </row>
    <row r="55">
      <c r="A55" s="124" t="n"/>
      <c r="B55" s="125" t="n"/>
      <c r="C55" s="110" t="n"/>
      <c r="D55" s="126" t="n"/>
      <c r="E55" s="124" t="n"/>
      <c r="F55" s="118" t="n"/>
      <c r="G55" s="110" t="n"/>
      <c r="H55" s="120" t="n"/>
      <c r="I55" s="338" t="n"/>
      <c r="J55" s="338" t="n"/>
    </row>
    <row r="56">
      <c r="A56" s="127" t="n"/>
      <c r="B56" s="128">
        <f>SUM(B43:B55)+C40</f>
        <v/>
      </c>
      <c r="C56" s="129" t="n"/>
      <c r="D56" s="128">
        <f>SUM(D43:D55)</f>
        <v/>
      </c>
      <c r="E56" s="130" t="n"/>
      <c r="F56" s="130">
        <f>SUM(F43:F55)</f>
        <v/>
      </c>
      <c r="G56" s="130" t="n"/>
      <c r="H56" s="130">
        <f>SUM(H43:H55)</f>
        <v/>
      </c>
      <c r="I56" s="344" t="n"/>
      <c r="J56" s="345" t="n"/>
    </row>
    <row r="57">
      <c r="A57" s="131" t="inlineStr">
        <is>
          <t>Остаток на конец дня:</t>
        </is>
      </c>
      <c r="B57" s="132">
        <f>B56-D56</f>
        <v/>
      </c>
      <c r="C57" s="56" t="n"/>
      <c r="D57" s="47" t="n"/>
      <c r="E57" s="100" t="inlineStr">
        <is>
          <t>Остаток на конец дня:</t>
        </is>
      </c>
      <c r="F57" s="101" t="n">
        <v>832</v>
      </c>
      <c r="G57" s="56" t="n"/>
      <c r="H57" s="47" t="n"/>
      <c r="I57" s="330" t="inlineStr">
        <is>
          <t xml:space="preserve">Остаток на конец дня </t>
        </is>
      </c>
      <c r="J57" s="344" t="n"/>
    </row>
    <row r="58">
      <c r="A58" s="133" t="inlineStr">
        <is>
          <t>ИТОГО:</t>
        </is>
      </c>
      <c r="B58" s="47" t="n"/>
      <c r="C58" s="134" t="n">
        <v>276200.55</v>
      </c>
      <c r="D58" s="56" t="n"/>
      <c r="E58" s="56" t="n"/>
      <c r="F58" s="56" t="n"/>
      <c r="G58" s="56" t="n"/>
      <c r="H58" s="47" t="n"/>
      <c r="I58" s="257" t="n"/>
      <c r="J58" s="257" t="n"/>
    </row>
    <row r="59">
      <c r="A59" s="41" t="n"/>
      <c r="B59" s="94" t="n"/>
      <c r="C59" s="43" t="n"/>
      <c r="D59" s="41" t="n"/>
      <c r="E59" s="41" t="n"/>
      <c r="F59" s="41" t="n"/>
      <c r="G59" s="41" t="n"/>
      <c r="H59" s="93" t="n"/>
      <c r="I59" s="135" t="n"/>
      <c r="J59" s="135" t="n"/>
    </row>
    <row r="60">
      <c r="A60" s="136" t="n"/>
      <c r="B60" s="137" t="inlineStr">
        <is>
          <t>Реализация по безналичному расчёту</t>
        </is>
      </c>
      <c r="D60" s="2" t="n"/>
      <c r="E60" s="41" t="n"/>
      <c r="F60" s="41" t="n"/>
      <c r="G60" s="41" t="n"/>
      <c r="H60" s="138" t="n"/>
      <c r="I60" s="2" t="n"/>
      <c r="J60" s="2" t="n"/>
    </row>
    <row r="61">
      <c r="A61" s="139" t="inlineStr">
        <is>
          <t>Контрагент</t>
        </is>
      </c>
      <c r="B61" s="140" t="inlineStr">
        <is>
          <t>поставщик</t>
        </is>
      </c>
      <c r="C61" s="141" t="inlineStr">
        <is>
          <t>наименование</t>
        </is>
      </c>
      <c r="D61" s="142" t="inlineStr">
        <is>
          <t>вес упаковки, тарелки</t>
        </is>
      </c>
      <c r="E61" s="143" t="inlineStr">
        <is>
          <t>кол.-во пакетов, коробок</t>
        </is>
      </c>
      <c r="F61" s="144" t="inlineStr">
        <is>
          <t>кол-во мест в коробке/упаковке</t>
        </is>
      </c>
      <c r="G61" s="145" t="inlineStr">
        <is>
          <t>общий вес, кг.</t>
        </is>
      </c>
      <c r="H61" s="146" t="inlineStr">
        <is>
          <t>цена пакет, тарелка</t>
        </is>
      </c>
      <c r="I61" s="147" t="inlineStr">
        <is>
          <t>сумма</t>
        </is>
      </c>
      <c r="J61" s="348" t="inlineStr">
        <is>
          <t>Комментарий</t>
        </is>
      </c>
    </row>
    <row r="62">
      <c r="A62" s="244" t="n"/>
      <c r="B62" s="267" t="n"/>
      <c r="C62" s="268" t="n"/>
      <c r="D62" s="269" t="n"/>
      <c r="E62" s="51" t="n"/>
      <c r="F62" s="51" t="n"/>
      <c r="G62" s="349" t="n"/>
      <c r="H62" s="350" t="n"/>
      <c r="I62" s="350" t="n"/>
      <c r="J62" s="351" t="n"/>
    </row>
    <row r="63">
      <c r="A63" s="244" t="n"/>
      <c r="B63" s="267" t="n"/>
      <c r="C63" s="268" t="n"/>
      <c r="D63" s="269" t="n"/>
      <c r="E63" s="51" t="n"/>
      <c r="F63" s="51" t="n"/>
      <c r="G63" s="349" t="n"/>
      <c r="H63" s="350" t="n"/>
      <c r="I63" s="350" t="n"/>
      <c r="J63" s="352" t="n"/>
    </row>
    <row r="64">
      <c r="A64" s="244" t="n"/>
      <c r="B64" s="267" t="n"/>
      <c r="C64" s="268" t="n"/>
      <c r="D64" s="269" t="n"/>
      <c r="E64" s="51" t="n"/>
      <c r="F64" s="51" t="n"/>
      <c r="G64" s="349" t="n"/>
      <c r="H64" s="350" t="n"/>
      <c r="I64" s="350" t="n"/>
      <c r="J64" s="353" t="n"/>
    </row>
    <row r="65">
      <c r="A65" s="244" t="n"/>
      <c r="B65" s="267" t="n"/>
      <c r="C65" s="268" t="n"/>
      <c r="D65" s="269" t="n"/>
      <c r="E65" s="51" t="n"/>
      <c r="F65" s="51" t="n"/>
      <c r="G65" s="349" t="n"/>
      <c r="H65" s="350" t="n"/>
      <c r="I65" s="350" t="n"/>
      <c r="J65" s="357" t="n"/>
    </row>
    <row r="66">
      <c r="A66" s="244" t="n"/>
      <c r="B66" s="244" t="n"/>
      <c r="C66" s="268" t="n"/>
      <c r="D66" s="269" t="n"/>
      <c r="E66" s="51" t="n"/>
      <c r="F66" s="51" t="n"/>
      <c r="G66" s="349" t="n"/>
      <c r="H66" s="350" t="n"/>
      <c r="I66" s="350" t="n"/>
      <c r="J66" s="358" t="n"/>
    </row>
    <row r="67">
      <c r="A67" s="244" t="n"/>
      <c r="B67" s="267" t="n"/>
      <c r="C67" s="268" t="n"/>
      <c r="D67" s="269" t="n"/>
      <c r="E67" s="51" t="n"/>
      <c r="F67" s="51" t="n"/>
      <c r="G67" s="349" t="n"/>
      <c r="H67" s="350" t="n"/>
      <c r="I67" s="350" t="n"/>
      <c r="J67" s="351" t="n"/>
    </row>
    <row r="68">
      <c r="A68" s="244" t="n"/>
      <c r="B68" s="244" t="n"/>
      <c r="C68" s="268" t="n"/>
      <c r="D68" s="269" t="n"/>
      <c r="E68" s="51" t="n"/>
      <c r="F68" s="51" t="n"/>
      <c r="G68" s="349" t="n"/>
      <c r="H68" s="350" t="n"/>
      <c r="I68" s="350" t="n"/>
      <c r="J68" s="352" t="n"/>
    </row>
    <row r="69">
      <c r="A69" s="162" t="n"/>
      <c r="B69" s="163" t="n"/>
      <c r="C69" s="164" t="n"/>
      <c r="D69" s="165" t="n"/>
      <c r="E69" s="166" t="n"/>
      <c r="F69" s="167" t="n"/>
      <c r="G69" s="168" t="n"/>
      <c r="H69" s="169" t="n"/>
      <c r="I69" s="170" t="n"/>
      <c r="J69" s="161" t="n"/>
    </row>
    <row r="70">
      <c r="A70" s="162" t="n"/>
      <c r="B70" s="163" t="n"/>
      <c r="C70" s="171" t="n"/>
      <c r="D70" s="153" t="n"/>
      <c r="E70" s="172" t="n"/>
      <c r="F70" s="155" t="n"/>
      <c r="G70" s="168" t="n"/>
      <c r="H70" s="156" t="n"/>
      <c r="I70" s="170" t="n"/>
      <c r="J70" s="161" t="n"/>
    </row>
    <row r="71">
      <c r="A71" s="162" t="n"/>
      <c r="B71" s="163" t="n"/>
      <c r="C71" s="171" t="n"/>
      <c r="D71" s="153" t="n"/>
      <c r="E71" s="172" t="n"/>
      <c r="F71" s="155" t="n"/>
      <c r="G71" s="168" t="n"/>
      <c r="H71" s="156" t="n"/>
      <c r="I71" s="170" t="n"/>
      <c r="J71" s="161" t="n"/>
    </row>
    <row r="72">
      <c r="A72" s="162" t="n"/>
      <c r="B72" s="163" t="n"/>
      <c r="C72" s="171" t="n"/>
      <c r="D72" s="153" t="n"/>
      <c r="E72" s="172" t="n"/>
      <c r="F72" s="155" t="n"/>
      <c r="G72" s="168" t="n"/>
      <c r="H72" s="156" t="n"/>
      <c r="I72" s="170" t="n"/>
      <c r="J72" s="161" t="n"/>
    </row>
    <row r="73">
      <c r="A73" s="162" t="n"/>
      <c r="B73" s="163" t="n"/>
      <c r="C73" s="171" t="n"/>
      <c r="D73" s="153" t="n"/>
      <c r="E73" s="172" t="n"/>
      <c r="F73" s="155" t="n"/>
      <c r="G73" s="168" t="n"/>
      <c r="H73" s="156" t="n"/>
      <c r="I73" s="170" t="n"/>
      <c r="J73" s="161" t="n"/>
    </row>
    <row r="74">
      <c r="A74" s="173" t="n"/>
      <c r="B74" s="174" t="n"/>
      <c r="C74" s="175" t="n"/>
      <c r="D74" s="176" t="n"/>
      <c r="E74" s="177" t="n"/>
      <c r="F74" s="178" t="n"/>
      <c r="G74" s="179" t="n"/>
      <c r="H74" s="180" t="n"/>
      <c r="I74" s="181" t="n"/>
      <c r="J74" s="161" t="n"/>
    </row>
    <row r="75">
      <c r="A75" s="182" t="n"/>
      <c r="B75" s="163" t="n"/>
      <c r="C75" s="183" t="n"/>
      <c r="D75" s="184" t="n"/>
      <c r="E75" s="166" t="n"/>
      <c r="F75" s="167" t="n"/>
      <c r="G75" s="185">
        <f>D75*F75</f>
        <v/>
      </c>
      <c r="H75" s="186" t="n"/>
      <c r="I75" s="186">
        <f>F75*H75*E75</f>
        <v/>
      </c>
      <c r="J75" s="187" t="n"/>
    </row>
    <row r="76">
      <c r="A76" s="182" t="n"/>
      <c r="B76" s="163" t="n"/>
      <c r="C76" s="188" t="n"/>
      <c r="D76" s="189" t="n"/>
      <c r="E76" s="190" t="n"/>
      <c r="F76" s="189" t="n"/>
      <c r="G76" s="185">
        <f>D76*F76</f>
        <v/>
      </c>
      <c r="H76" s="191" t="n"/>
      <c r="I76" s="186">
        <f>F76*H76*E76</f>
        <v/>
      </c>
      <c r="J76" s="187" t="n"/>
    </row>
    <row r="77">
      <c r="A77" s="192" t="inlineStr">
        <is>
          <t>ИТОГО:</t>
        </is>
      </c>
      <c r="B77" s="193" t="n"/>
      <c r="C77" s="194" t="n"/>
      <c r="D77" s="195" t="n"/>
      <c r="E77" s="196">
        <f>SUM(E62:E76)</f>
        <v/>
      </c>
      <c r="F77" s="197">
        <f>SUM(F62:F74)</f>
        <v/>
      </c>
      <c r="G77" s="198">
        <f>SUM(G62:G69)</f>
        <v/>
      </c>
      <c r="H77" s="199" t="n"/>
      <c r="I77" s="199">
        <f>SUM(I62:I70)</f>
        <v/>
      </c>
      <c r="J77" s="200" t="n"/>
    </row>
    <row r="78">
      <c r="A78" s="2" t="n"/>
      <c r="B78" s="94" t="n"/>
      <c r="C78" s="43" t="n"/>
      <c r="D78" s="41" t="n"/>
      <c r="E78" s="41" t="n"/>
      <c r="F78" s="41" t="n"/>
      <c r="G78" s="41" t="n"/>
      <c r="H78" s="2" t="n"/>
      <c r="I78" s="2" t="n"/>
      <c r="J78" s="2" t="n"/>
    </row>
    <row r="79">
      <c r="A79" s="201" t="inlineStr">
        <is>
          <t>реализация Всего касса+безнал:</t>
        </is>
      </c>
      <c r="B79" s="202" t="inlineStr">
        <is>
          <t>кг</t>
        </is>
      </c>
      <c r="C79" s="203" t="inlineStr">
        <is>
          <t>на сумму</t>
        </is>
      </c>
      <c r="D79" s="41" t="n"/>
      <c r="E79" s="41" t="n"/>
      <c r="F79" s="41" t="n"/>
      <c r="G79" s="41" t="n"/>
      <c r="H79" s="2" t="n"/>
      <c r="I79" s="2" t="n"/>
      <c r="J79" s="2" t="n"/>
    </row>
    <row r="80">
      <c r="A80" s="204" t="n"/>
      <c r="B80" s="205">
        <f>E13+G77</f>
        <v/>
      </c>
      <c r="C80" s="206">
        <f>I13+H77+I77</f>
        <v/>
      </c>
      <c r="D80" s="41" t="n"/>
      <c r="E80" s="41" t="n"/>
      <c r="F80" s="41" t="n"/>
      <c r="G80" s="41" t="n"/>
      <c r="H80" s="2" t="n"/>
      <c r="I80" s="2" t="n"/>
      <c r="J80" s="2" t="n"/>
    </row>
    <row r="81">
      <c r="A81" s="207" t="inlineStr">
        <is>
          <t>Услуги оказывают нам (доставка сырья и комплектующих на склад, Товара покупателям)</t>
        </is>
      </c>
      <c r="B81" s="54" t="n"/>
      <c r="C81" s="54" t="n"/>
      <c r="D81" s="54" t="n"/>
      <c r="E81" s="54" t="n"/>
      <c r="F81" s="54" t="n"/>
      <c r="G81" s="54" t="n"/>
      <c r="H81" s="54" t="n"/>
      <c r="I81" s="291" t="n"/>
      <c r="J81" s="58" t="n"/>
    </row>
    <row r="82">
      <c r="A82" s="209" t="inlineStr">
        <is>
          <t>Контрагент</t>
        </is>
      </c>
      <c r="B82" s="210" t="inlineStr">
        <is>
          <t>вид услуги</t>
        </is>
      </c>
      <c r="C82" s="211" t="inlineStr">
        <is>
          <t>Кому / От кого</t>
        </is>
      </c>
      <c r="D82" s="212" t="inlineStr">
        <is>
          <t>наименование</t>
        </is>
      </c>
      <c r="E82" s="213" t="inlineStr">
        <is>
          <t xml:space="preserve">город доставки </t>
        </is>
      </c>
      <c r="F82" s="214" t="inlineStr">
        <is>
          <t>цена</t>
        </is>
      </c>
      <c r="G82" s="213" t="inlineStr">
        <is>
          <t>сумма</t>
        </is>
      </c>
      <c r="H82" s="212" t="inlineStr">
        <is>
          <t>за тонну</t>
        </is>
      </c>
      <c r="I82" s="291" t="n"/>
      <c r="J82" s="58" t="n"/>
    </row>
    <row r="83">
      <c r="A83" s="215" t="n"/>
      <c r="B83" s="60" t="n"/>
      <c r="C83" s="63" t="n"/>
      <c r="D83" s="226" t="n"/>
      <c r="E83" s="317" t="n"/>
      <c r="F83" s="62" t="n"/>
      <c r="G83" s="218" t="n"/>
      <c r="H83" s="305" t="n"/>
      <c r="I83" s="291" t="n"/>
      <c r="J83" s="58" t="n"/>
    </row>
    <row r="84">
      <c r="A84" s="215" t="n"/>
      <c r="B84" s="60" t="n"/>
      <c r="C84" s="63" t="n"/>
      <c r="D84" s="226" t="n"/>
      <c r="E84" s="217" t="n"/>
      <c r="F84" s="62" t="n"/>
      <c r="G84" s="218" t="n"/>
      <c r="H84" s="305" t="n"/>
      <c r="I84" s="315" t="n"/>
      <c r="J84" s="58" t="n"/>
    </row>
    <row r="85">
      <c r="A85" s="215" t="n"/>
      <c r="B85" s="60" t="n"/>
      <c r="C85" s="63" t="n"/>
      <c r="D85" s="226" t="n"/>
      <c r="E85" s="217" t="n"/>
      <c r="F85" s="223" t="n"/>
      <c r="G85" s="218" t="n"/>
      <c r="H85" s="305" t="n"/>
      <c r="I85" s="2" t="n"/>
      <c r="J85" s="2" t="n"/>
    </row>
    <row r="86">
      <c r="A86" s="215" t="n"/>
      <c r="B86" s="60" t="n"/>
      <c r="C86" s="63" t="n"/>
      <c r="D86" s="222" t="n"/>
      <c r="E86" s="274" t="n"/>
      <c r="F86" s="223" t="n"/>
      <c r="G86" s="218" t="n"/>
      <c r="H86" s="219" t="n"/>
      <c r="I86" s="2" t="n"/>
      <c r="J86" s="2" t="n"/>
    </row>
    <row r="87">
      <c r="A87" s="215" t="n"/>
      <c r="B87" s="60" t="n"/>
      <c r="C87" s="63" t="n"/>
      <c r="D87" s="226" t="n"/>
      <c r="E87" s="274" t="n"/>
      <c r="F87" s="223" t="n"/>
      <c r="G87" s="218" t="n"/>
      <c r="H87" s="219" t="n"/>
      <c r="I87" s="2" t="n"/>
      <c r="J87" s="2" t="n"/>
    </row>
    <row r="88">
      <c r="A88" s="215" t="n"/>
      <c r="B88" s="60" t="n"/>
      <c r="C88" s="63" t="n"/>
      <c r="D88" s="226" t="n"/>
      <c r="E88" s="227" t="n"/>
      <c r="F88" s="223" t="n"/>
      <c r="G88" s="218" t="n"/>
      <c r="H88" s="219" t="n"/>
      <c r="I88" s="2" t="n"/>
      <c r="J88" s="2" t="n"/>
    </row>
    <row r="89">
      <c r="A89" s="220" t="n"/>
      <c r="B89" s="60" t="n"/>
      <c r="C89" s="221" t="n"/>
      <c r="D89" s="226" t="n"/>
      <c r="E89" s="227" t="n"/>
      <c r="F89" s="223" t="n"/>
      <c r="G89" s="218">
        <f>F89</f>
        <v/>
      </c>
      <c r="H89" s="219" t="n"/>
      <c r="I89" s="2" t="n"/>
      <c r="J89" s="2" t="n"/>
    </row>
    <row r="90">
      <c r="A90" s="220" t="n"/>
      <c r="B90" s="60" t="n"/>
      <c r="C90" s="221" t="n"/>
      <c r="D90" s="226" t="n"/>
      <c r="E90" s="227" t="n"/>
      <c r="F90" s="223" t="n"/>
      <c r="G90" s="218">
        <f>F90</f>
        <v/>
      </c>
      <c r="H90" s="228" t="n"/>
      <c r="I90" s="2" t="n"/>
      <c r="J90" s="2" t="n"/>
    </row>
    <row r="91">
      <c r="A91" s="229" t="inlineStr">
        <is>
          <t>ИТОГО:</t>
        </is>
      </c>
      <c r="B91" s="230" t="n"/>
      <c r="C91" s="231" t="n"/>
      <c r="D91" s="232" t="n"/>
      <c r="E91" s="233">
        <f>SUM(E83:E90)</f>
        <v/>
      </c>
      <c r="F91" s="234" t="n"/>
      <c r="G91" s="235">
        <f>SUM(G83:G90)</f>
        <v/>
      </c>
      <c r="H91" s="235" t="n"/>
      <c r="I91" s="2" t="n"/>
      <c r="J91" s="2" t="n"/>
    </row>
    <row r="92">
      <c r="A92" s="41" t="n"/>
      <c r="B92" s="94" t="n"/>
      <c r="C92" s="43" t="n"/>
      <c r="D92" s="41" t="n"/>
      <c r="E92" s="41" t="n"/>
      <c r="F92" s="41" t="n"/>
      <c r="G92" s="41" t="n"/>
      <c r="H92" s="41" t="n"/>
      <c r="I92" s="2" t="n"/>
      <c r="J92" s="2" t="n"/>
    </row>
    <row r="93">
      <c r="A93" s="236" t="inlineStr">
        <is>
          <t>Услуги оказываем мы</t>
        </is>
      </c>
      <c r="B93" s="54" t="n"/>
      <c r="C93" s="54" t="n"/>
      <c r="D93" s="54" t="n"/>
      <c r="E93" s="54" t="n"/>
      <c r="F93" s="54" t="n"/>
      <c r="G93" s="54" t="n"/>
      <c r="H93" s="54" t="n"/>
      <c r="I93" s="237" t="n"/>
      <c r="J93" s="2" t="n"/>
    </row>
    <row r="94">
      <c r="A94" s="209" t="inlineStr">
        <is>
          <t>Контрагент</t>
        </is>
      </c>
      <c r="B94" s="238" t="inlineStr">
        <is>
          <t>вид услуги</t>
        </is>
      </c>
      <c r="C94" s="239" t="inlineStr">
        <is>
          <t>наименование</t>
        </is>
      </c>
      <c r="D94" s="240" t="inlineStr">
        <is>
          <t>вес, кг, шт</t>
        </is>
      </c>
      <c r="E94" s="240" t="inlineStr">
        <is>
          <t>цена</t>
        </is>
      </c>
      <c r="F94" s="240" t="inlineStr">
        <is>
          <t>сумма</t>
        </is>
      </c>
      <c r="G94" s="213" t="inlineStr">
        <is>
          <t>№УПД</t>
        </is>
      </c>
      <c r="H94" s="213" t="n"/>
      <c r="I94" s="2" t="n"/>
      <c r="J94" s="2" t="n"/>
    </row>
    <row r="95">
      <c r="A95" s="275" t="n"/>
      <c r="B95" s="276" t="n"/>
      <c r="C95" s="243" t="n"/>
      <c r="D95" s="244" t="n"/>
      <c r="E95" s="277" t="n"/>
      <c r="F95" s="278" t="n"/>
      <c r="G95" s="247" t="n"/>
      <c r="H95" s="248" t="n"/>
      <c r="I95" s="2" t="n"/>
      <c r="J95" s="2" t="n"/>
    </row>
    <row r="96">
      <c r="A96" s="249" t="n"/>
      <c r="B96" s="250" t="n"/>
      <c r="C96" s="251" t="n"/>
      <c r="D96" s="252" t="n"/>
      <c r="E96" s="253" t="n"/>
      <c r="F96" s="254" t="n"/>
      <c r="G96" s="255" t="n"/>
      <c r="H96" s="256" t="n"/>
      <c r="I96" s="2" t="n"/>
      <c r="J96" s="2" t="n"/>
    </row>
    <row r="97">
      <c r="A97" s="257" t="n"/>
      <c r="B97" s="258" t="n"/>
      <c r="C97" s="257" t="n"/>
      <c r="D97" s="257" t="n"/>
      <c r="E97" s="257" t="n"/>
      <c r="F97" s="254" t="n"/>
      <c r="G97" s="257" t="n"/>
      <c r="H97" s="257" t="n"/>
      <c r="I97" s="2" t="n"/>
      <c r="J97" s="2" t="n"/>
    </row>
    <row r="98">
      <c r="A98" s="249" t="n"/>
      <c r="B98" s="258" t="n"/>
      <c r="C98" s="257" t="n"/>
      <c r="D98" s="259" t="n"/>
      <c r="E98" s="257" t="n"/>
      <c r="F98" s="260" t="n"/>
      <c r="G98" s="257" t="n"/>
      <c r="H98" s="257" t="n"/>
      <c r="I98" s="2" t="n"/>
      <c r="J98" s="2" t="n"/>
    </row>
    <row r="99">
      <c r="A99" s="2" t="n"/>
      <c r="B99" s="261" t="n"/>
      <c r="C99" s="2" t="n"/>
      <c r="D99" s="2" t="n"/>
      <c r="E99" s="2" t="n"/>
      <c r="F99" s="262" t="n"/>
      <c r="G99" s="2" t="n"/>
      <c r="H99" s="2" t="n"/>
      <c r="I99" s="263" t="n"/>
      <c r="J99" s="264" t="n"/>
    </row>
  </sheetData>
  <mergeCells count="10">
    <mergeCell ref="A18:H18"/>
    <mergeCell ref="A1:J1"/>
    <mergeCell ref="J67:J68"/>
    <mergeCell ref="A81:H81"/>
    <mergeCell ref="A38:H38"/>
    <mergeCell ref="I41:J41"/>
    <mergeCell ref="A2:J2"/>
    <mergeCell ref="A93:H93"/>
    <mergeCell ref="I40:J40"/>
    <mergeCell ref="J62:J6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2025-07-07T10:59:26Z</dcterms:created>
  <dcterms:modified xsi:type="dcterms:W3CDTF">2025-07-07T10:59:31Z</dcterms:modified>
</cp:coreProperties>
</file>