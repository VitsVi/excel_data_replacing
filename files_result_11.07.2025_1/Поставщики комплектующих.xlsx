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filterPrivacy="1"/>
  <xr:revisionPtr revIDLastSave="0" documentId="13_ncr:1_{90853773-4B08-455A-B8CB-96931F826451}" xr6:coauthVersionLast="47" xr6:coauthVersionMax="47" xr10:uidLastSave="{00000000-0000-0000-0000-000000000000}"/>
  <bookViews>
    <workbookView xWindow="-120" yWindow="-120" windowWidth="29040" windowHeight="15720" firstSheet="4" activeTab="4" xr2:uid="{00000000-000D-0000-FFFF-FFFF00000000}"/>
  </bookViews>
  <sheets>
    <sheet name="Аурум Фуд" sheetId="13" r:id="rId1"/>
    <sheet name="Золотой Снек" sheetId="17" r:id="rId2"/>
    <sheet name="Интернет-Решения" sheetId="16" r:id="rId3"/>
    <sheet name="Лейбл Стик" sheetId="18" r:id="rId4"/>
    <sheet name="ООО ТД Л-Пак" sheetId="11" r:id="rId5"/>
    <sheet name="Тара.ру" sheetId="20" r:id="rId6"/>
    <sheet name="СЗ-Гофра" sheetId="10" r:id="rId7"/>
    <sheet name="Упак Ареал" sheetId="19" r:id="rId8"/>
    <sheet name="РусУпак" sheetId="21" r:id="rId9"/>
    <sheet name="Пластик" sheetId="22" r:id="rId10"/>
    <sheet name="Полимаркет" sheetId="15" r:id="rId11"/>
    <sheet name="Приопак" sheetId="12" r:id="rId12"/>
    <sheet name="Ф-Граф" sheetId="4" r:id="rId13"/>
    <sheet name="чл" sheetId="9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" i="11" l="1"/>
  <c r="E25" i="11"/>
  <c r="E24" i="11"/>
  <c r="E21" i="22"/>
  <c r="G30" i="11"/>
  <c r="E23" i="11"/>
  <c r="E10" i="22"/>
  <c r="E11" i="22"/>
  <c r="E12" i="22"/>
  <c r="E13" i="22"/>
  <c r="E14" i="22"/>
  <c r="E15" i="22"/>
  <c r="E16" i="22"/>
  <c r="E17" i="22"/>
  <c r="E18" i="22"/>
  <c r="E19" i="22"/>
  <c r="E20" i="22"/>
  <c r="E16" i="12"/>
  <c r="E17" i="12"/>
  <c r="E18" i="12"/>
  <c r="E19" i="12"/>
  <c r="E20" i="12"/>
  <c r="E21" i="12"/>
  <c r="E15" i="19"/>
  <c r="E16" i="19"/>
  <c r="E17" i="19"/>
  <c r="E18" i="19"/>
  <c r="E19" i="19"/>
  <c r="E20" i="19"/>
  <c r="E21" i="19"/>
  <c r="E14" i="19"/>
  <c r="E12" i="11" l="1"/>
  <c r="E13" i="11"/>
  <c r="E14" i="11"/>
  <c r="E4" i="20" l="1"/>
  <c r="E5" i="20"/>
  <c r="E6" i="20"/>
  <c r="E7" i="20"/>
  <c r="E8" i="20"/>
  <c r="E9" i="20"/>
  <c r="E10" i="20"/>
  <c r="E11" i="20"/>
  <c r="E12" i="20"/>
  <c r="E13" i="20"/>
  <c r="E14" i="20"/>
  <c r="E15" i="20"/>
  <c r="E16" i="20"/>
  <c r="E17" i="20"/>
  <c r="E18" i="20"/>
  <c r="E19" i="20"/>
  <c r="E20" i="20"/>
  <c r="E21" i="20"/>
  <c r="E3" i="20"/>
  <c r="E15" i="12" l="1"/>
  <c r="E8" i="22" l="1"/>
  <c r="E9" i="22"/>
  <c r="E22" i="11"/>
  <c r="E21" i="11"/>
  <c r="E7" i="22" l="1"/>
  <c r="E4" i="22" l="1"/>
  <c r="I3" i="22"/>
  <c r="I4" i="22" l="1"/>
  <c r="I5" i="22" s="1"/>
  <c r="I6" i="22" s="1"/>
  <c r="I7" i="22" s="1"/>
  <c r="I8" i="22" s="1"/>
  <c r="I9" i="22" s="1"/>
  <c r="I10" i="22" s="1"/>
  <c r="I11" i="22" s="1"/>
  <c r="I12" i="22" s="1"/>
  <c r="I13" i="22" s="1"/>
  <c r="I14" i="22" s="1"/>
  <c r="I15" i="22" s="1"/>
  <c r="I16" i="22" s="1"/>
  <c r="I17" i="22" s="1"/>
  <c r="I18" i="22" s="1"/>
  <c r="I19" i="22" s="1"/>
  <c r="I20" i="22" s="1"/>
  <c r="I21" i="22" s="1"/>
  <c r="E16" i="11"/>
  <c r="E17" i="11"/>
  <c r="E15" i="11"/>
  <c r="E9" i="21" l="1"/>
  <c r="E8" i="21"/>
  <c r="E7" i="21"/>
  <c r="E6" i="21"/>
  <c r="E5" i="21"/>
  <c r="E4" i="21"/>
  <c r="I3" i="21"/>
  <c r="I4" i="21" l="1"/>
  <c r="I5" i="21" s="1"/>
  <c r="I6" i="21" s="1"/>
  <c r="I7" i="21" s="1"/>
  <c r="I8" i="21" s="1"/>
  <c r="I9" i="21" s="1"/>
  <c r="I10" i="21" s="1"/>
  <c r="I11" i="21" s="1"/>
  <c r="I12" i="21" s="1"/>
  <c r="I13" i="21" s="1"/>
  <c r="I14" i="21" s="1"/>
  <c r="I15" i="21" s="1"/>
  <c r="I16" i="21" s="1"/>
  <c r="I17" i="21" s="1"/>
  <c r="I18" i="21" s="1"/>
  <c r="I19" i="21" s="1"/>
  <c r="I20" i="21" s="1"/>
  <c r="I21" i="21" s="1"/>
  <c r="E11" i="11"/>
  <c r="I3" i="20" l="1"/>
  <c r="I4" i="20" s="1"/>
  <c r="I5" i="20" s="1"/>
  <c r="I6" i="20" s="1"/>
  <c r="I7" i="20" s="1"/>
  <c r="I8" i="20" s="1"/>
  <c r="I9" i="20" s="1"/>
  <c r="I10" i="20" s="1"/>
  <c r="I11" i="20" s="1"/>
  <c r="I12" i="20" s="1"/>
  <c r="I13" i="20" s="1"/>
  <c r="I14" i="20" s="1"/>
  <c r="I15" i="20" s="1"/>
  <c r="I16" i="20" s="1"/>
  <c r="I17" i="20" s="1"/>
  <c r="I18" i="20" s="1"/>
  <c r="I19" i="20" s="1"/>
  <c r="I20" i="20" s="1"/>
  <c r="I21" i="20" s="1"/>
  <c r="E7" i="19" l="1"/>
  <c r="E8" i="19"/>
  <c r="E9" i="19"/>
  <c r="E4" i="19"/>
  <c r="E5" i="19"/>
  <c r="E6" i="19"/>
  <c r="I3" i="19"/>
  <c r="E21" i="18"/>
  <c r="E20" i="18"/>
  <c r="E19" i="18"/>
  <c r="E18" i="18"/>
  <c r="E17" i="18"/>
  <c r="E16" i="18"/>
  <c r="E15" i="18"/>
  <c r="E14" i="18"/>
  <c r="E13" i="18"/>
  <c r="E12" i="18"/>
  <c r="E11" i="18"/>
  <c r="E10" i="18"/>
  <c r="E9" i="18"/>
  <c r="E8" i="18"/>
  <c r="E3" i="18"/>
  <c r="I3" i="18" s="1"/>
  <c r="I4" i="19" l="1"/>
  <c r="I5" i="19" s="1"/>
  <c r="I6" i="19" s="1"/>
  <c r="I7" i="19" s="1"/>
  <c r="I8" i="19" s="1"/>
  <c r="I9" i="19" s="1"/>
  <c r="I10" i="19" s="1"/>
  <c r="I11" i="19" s="1"/>
  <c r="I12" i="19" s="1"/>
  <c r="I13" i="19" s="1"/>
  <c r="I14" i="19" s="1"/>
  <c r="I15" i="19" s="1"/>
  <c r="I16" i="19" s="1"/>
  <c r="I17" i="19" s="1"/>
  <c r="I18" i="19" s="1"/>
  <c r="I19" i="19" s="1"/>
  <c r="I20" i="19" s="1"/>
  <c r="I21" i="19" s="1"/>
  <c r="I4" i="18"/>
  <c r="I5" i="18" s="1"/>
  <c r="I6" i="18" s="1"/>
  <c r="I7" i="18" s="1"/>
  <c r="I8" i="18" s="1"/>
  <c r="I9" i="18" s="1"/>
  <c r="I10" i="18" s="1"/>
  <c r="I11" i="18" s="1"/>
  <c r="I12" i="18" s="1"/>
  <c r="I13" i="18" s="1"/>
  <c r="I14" i="18" s="1"/>
  <c r="I15" i="18" s="1"/>
  <c r="I16" i="18" s="1"/>
  <c r="I17" i="18" s="1"/>
  <c r="I18" i="18" s="1"/>
  <c r="I19" i="18" s="1"/>
  <c r="I20" i="18" s="1"/>
  <c r="I21" i="18" s="1"/>
  <c r="E18" i="4"/>
  <c r="E19" i="4"/>
  <c r="E20" i="4"/>
  <c r="E21" i="4"/>
  <c r="E22" i="4"/>
  <c r="E23" i="4"/>
  <c r="E24" i="4"/>
  <c r="E25" i="4"/>
  <c r="E26" i="4"/>
  <c r="E27" i="4"/>
  <c r="E28" i="4"/>
  <c r="E7" i="11"/>
  <c r="E12" i="12" l="1"/>
  <c r="E21" i="17" l="1"/>
  <c r="E20" i="17"/>
  <c r="E19" i="17"/>
  <c r="E18" i="17"/>
  <c r="E17" i="17"/>
  <c r="E16" i="17"/>
  <c r="E15" i="17"/>
  <c r="E14" i="17"/>
  <c r="E13" i="17"/>
  <c r="E12" i="17"/>
  <c r="E11" i="17"/>
  <c r="E10" i="17"/>
  <c r="E9" i="17"/>
  <c r="E8" i="17"/>
  <c r="E7" i="17"/>
  <c r="E6" i="17"/>
  <c r="E5" i="17"/>
  <c r="E4" i="17"/>
  <c r="E3" i="17"/>
  <c r="I3" i="17" s="1"/>
  <c r="I4" i="17" s="1"/>
  <c r="I5" i="17" s="1"/>
  <c r="I6" i="17" l="1"/>
  <c r="I7" i="17" s="1"/>
  <c r="I8" i="17" s="1"/>
  <c r="I9" i="17" s="1"/>
  <c r="I10" i="17" s="1"/>
  <c r="I11" i="17" s="1"/>
  <c r="I12" i="17" s="1"/>
  <c r="I13" i="17" s="1"/>
  <c r="I14" i="17" s="1"/>
  <c r="I15" i="17" s="1"/>
  <c r="I16" i="17" s="1"/>
  <c r="I17" i="17" s="1"/>
  <c r="I18" i="17" s="1"/>
  <c r="I19" i="17" s="1"/>
  <c r="I20" i="17" s="1"/>
  <c r="I21" i="17" s="1"/>
  <c r="E21" i="15"/>
  <c r="E20" i="15"/>
  <c r="E19" i="15"/>
  <c r="E18" i="15"/>
  <c r="E17" i="15"/>
  <c r="E16" i="15"/>
  <c r="E15" i="15"/>
  <c r="E14" i="15"/>
  <c r="E13" i="15"/>
  <c r="E12" i="15"/>
  <c r="E11" i="15"/>
  <c r="E10" i="15"/>
  <c r="E9" i="15"/>
  <c r="E8" i="15"/>
  <c r="E7" i="15"/>
  <c r="E6" i="15"/>
  <c r="E5" i="15"/>
  <c r="E4" i="15"/>
  <c r="E3" i="15"/>
  <c r="I3" i="15" s="1"/>
  <c r="I4" i="15" s="1"/>
  <c r="E21" i="16"/>
  <c r="E20" i="16"/>
  <c r="E19" i="16"/>
  <c r="E18" i="16"/>
  <c r="E17" i="16"/>
  <c r="E16" i="16"/>
  <c r="E15" i="16"/>
  <c r="E14" i="16"/>
  <c r="E13" i="16"/>
  <c r="E12" i="16"/>
  <c r="E11" i="16"/>
  <c r="E10" i="16"/>
  <c r="E9" i="16"/>
  <c r="E8" i="16"/>
  <c r="E7" i="16"/>
  <c r="E5" i="16"/>
  <c r="E4" i="16"/>
  <c r="E3" i="16"/>
  <c r="I3" i="16" s="1"/>
  <c r="I5" i="15" l="1"/>
  <c r="I6" i="15" s="1"/>
  <c r="I7" i="15" s="1"/>
  <c r="I8" i="15" s="1"/>
  <c r="I9" i="15" s="1"/>
  <c r="I10" i="15" s="1"/>
  <c r="I11" i="15" s="1"/>
  <c r="I12" i="15" s="1"/>
  <c r="I13" i="15" s="1"/>
  <c r="I14" i="15" s="1"/>
  <c r="I15" i="15" s="1"/>
  <c r="I16" i="15" s="1"/>
  <c r="I17" i="15" s="1"/>
  <c r="I18" i="15" s="1"/>
  <c r="I19" i="15" s="1"/>
  <c r="I20" i="15" s="1"/>
  <c r="I21" i="15" s="1"/>
  <c r="I4" i="16"/>
  <c r="I5" i="16" s="1"/>
  <c r="I6" i="16" s="1"/>
  <c r="I7" i="16" s="1"/>
  <c r="I8" i="16" s="1"/>
  <c r="I9" i="16" s="1"/>
  <c r="I10" i="16" s="1"/>
  <c r="I11" i="16" s="1"/>
  <c r="I12" i="16" s="1"/>
  <c r="I13" i="16" s="1"/>
  <c r="I14" i="16" s="1"/>
  <c r="I15" i="16" s="1"/>
  <c r="I16" i="16" s="1"/>
  <c r="I17" i="16" s="1"/>
  <c r="I18" i="16" s="1"/>
  <c r="I19" i="16" s="1"/>
  <c r="I20" i="16" s="1"/>
  <c r="I21" i="16" s="1"/>
  <c r="E17" i="4" l="1"/>
  <c r="E16" i="4"/>
  <c r="E15" i="4"/>
  <c r="E14" i="4"/>
  <c r="E13" i="4"/>
  <c r="E12" i="4"/>
  <c r="E11" i="4"/>
  <c r="E10" i="4"/>
  <c r="E9" i="12" l="1"/>
  <c r="E8" i="12" l="1"/>
  <c r="E6" i="12"/>
  <c r="E7" i="12"/>
  <c r="G29" i="4" l="1"/>
  <c r="E4" i="13" l="1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3" i="13"/>
  <c r="I3" i="13" l="1"/>
  <c r="I4" i="13" l="1"/>
  <c r="I5" i="13" s="1"/>
  <c r="I6" i="13" s="1"/>
  <c r="I7" i="13" s="1"/>
  <c r="I8" i="13" s="1"/>
  <c r="I9" i="13" s="1"/>
  <c r="I10" i="13" s="1"/>
  <c r="I11" i="13" s="1"/>
  <c r="I12" i="13" s="1"/>
  <c r="I13" i="13" s="1"/>
  <c r="I14" i="13" s="1"/>
  <c r="I15" i="13" s="1"/>
  <c r="I16" i="13" s="1"/>
  <c r="I17" i="13" s="1"/>
  <c r="I18" i="13" s="1"/>
  <c r="I19" i="13" s="1"/>
  <c r="I20" i="13" s="1"/>
  <c r="I21" i="13" s="1"/>
  <c r="E5" i="12"/>
  <c r="E3" i="9" l="1"/>
  <c r="E4" i="12" l="1"/>
  <c r="I3" i="12"/>
  <c r="I4" i="12" s="1"/>
  <c r="I5" i="12" s="1"/>
  <c r="I6" i="12" s="1"/>
  <c r="I7" i="12" s="1"/>
  <c r="I8" i="12" s="1"/>
  <c r="I9" i="12" s="1"/>
  <c r="I10" i="12" s="1"/>
  <c r="I11" i="12" s="1"/>
  <c r="I12" i="12" s="1"/>
  <c r="I13" i="12" s="1"/>
  <c r="I14" i="12" s="1"/>
  <c r="I15" i="12" s="1"/>
  <c r="I16" i="12" s="1"/>
  <c r="I17" i="12" s="1"/>
  <c r="I18" i="12" s="1"/>
  <c r="I19" i="12" s="1"/>
  <c r="I20" i="12" s="1"/>
  <c r="I21" i="12" s="1"/>
  <c r="E4" i="11" l="1"/>
  <c r="E30" i="11" s="1"/>
  <c r="I30" i="11" s="1"/>
  <c r="E6" i="10" l="1"/>
  <c r="E5" i="10"/>
  <c r="E4" i="10"/>
  <c r="I3" i="11" l="1"/>
  <c r="I4" i="11" s="1"/>
  <c r="I5" i="11" s="1"/>
  <c r="I6" i="11" s="1"/>
  <c r="I7" i="11" s="1"/>
  <c r="I8" i="11" s="1"/>
  <c r="I9" i="11" s="1"/>
  <c r="I10" i="11" s="1"/>
  <c r="I11" i="11" s="1"/>
  <c r="I12" i="11" s="1"/>
  <c r="I13" i="11" l="1"/>
  <c r="I14" i="11" s="1"/>
  <c r="I15" i="11" s="1"/>
  <c r="I16" i="11" s="1"/>
  <c r="I17" i="11" s="1"/>
  <c r="I18" i="11" s="1"/>
  <c r="I19" i="11" s="1"/>
  <c r="I20" i="11" s="1"/>
  <c r="I21" i="11" s="1"/>
  <c r="I22" i="11" s="1"/>
  <c r="I23" i="11" s="1"/>
  <c r="I24" i="11" s="1"/>
  <c r="I25" i="11" s="1"/>
  <c r="I26" i="11" s="1"/>
  <c r="I27" i="11" s="1"/>
  <c r="I28" i="11" s="1"/>
  <c r="I29" i="11" s="1"/>
  <c r="E5" i="4"/>
  <c r="E6" i="4"/>
  <c r="E7" i="4"/>
  <c r="E4" i="4"/>
  <c r="E29" i="4" l="1"/>
  <c r="I3" i="10"/>
  <c r="I4" i="10" s="1"/>
  <c r="I5" i="10" s="1"/>
  <c r="I6" i="10" s="1"/>
  <c r="I7" i="10" s="1"/>
  <c r="I8" i="10" s="1"/>
  <c r="I9" i="10" s="1"/>
  <c r="I10" i="10" s="1"/>
  <c r="I11" i="10" s="1"/>
  <c r="I12" i="10" s="1"/>
  <c r="I13" i="10" s="1"/>
  <c r="I14" i="10" s="1"/>
  <c r="I15" i="10" s="1"/>
  <c r="I16" i="10" s="1"/>
  <c r="I17" i="10" s="1"/>
  <c r="I18" i="10" s="1"/>
  <c r="I19" i="10" s="1"/>
  <c r="I20" i="10" s="1"/>
  <c r="I21" i="10" s="1"/>
  <c r="I3" i="9" l="1"/>
  <c r="I4" i="9" s="1"/>
  <c r="I5" i="9" s="1"/>
  <c r="I6" i="9" s="1"/>
  <c r="I7" i="9" s="1"/>
  <c r="I8" i="9" s="1"/>
  <c r="I9" i="9" s="1"/>
  <c r="I10" i="9" s="1"/>
  <c r="I11" i="9" s="1"/>
  <c r="I12" i="9" s="1"/>
  <c r="I13" i="9" s="1"/>
  <c r="I14" i="9" s="1"/>
  <c r="I15" i="9" s="1"/>
  <c r="I16" i="9" s="1"/>
  <c r="I17" i="9" s="1"/>
  <c r="I18" i="9" s="1"/>
  <c r="I19" i="9" s="1"/>
  <c r="I20" i="9" s="1"/>
  <c r="I21" i="9" s="1"/>
  <c r="I3" i="4" l="1"/>
  <c r="I4" i="4" s="1"/>
  <c r="I5" i="4" s="1"/>
  <c r="I6" i="4" s="1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I21" i="4" s="1"/>
  <c r="I22" i="4" s="1"/>
  <c r="I23" i="4" s="1"/>
  <c r="I24" i="4" s="1"/>
  <c r="I25" i="4" s="1"/>
  <c r="I26" i="4" s="1"/>
  <c r="I27" i="4" s="1"/>
  <c r="I28" i="4" s="1"/>
</calcChain>
</file>

<file path=xl/sharedStrings.xml><?xml version="1.0" encoding="utf-8"?>
<sst xmlns="http://schemas.openxmlformats.org/spreadsheetml/2006/main" count="274" uniqueCount="77">
  <si>
    <t>дата поставки</t>
  </si>
  <si>
    <t>продукция</t>
  </si>
  <si>
    <t>шт.</t>
  </si>
  <si>
    <t>цена</t>
  </si>
  <si>
    <t>на сумму</t>
  </si>
  <si>
    <t>дата оплаты</t>
  </si>
  <si>
    <t>сумма оплаты</t>
  </si>
  <si>
    <t>способ оплаты</t>
  </si>
  <si>
    <t>итого</t>
  </si>
  <si>
    <t>2024 год</t>
  </si>
  <si>
    <t>р/с</t>
  </si>
  <si>
    <t>пакеты вакуумные</t>
  </si>
  <si>
    <t>2025 год</t>
  </si>
  <si>
    <t>тарелки</t>
  </si>
  <si>
    <t>Гофрокороб 460*340*130-Т24</t>
  </si>
  <si>
    <t>апрель</t>
  </si>
  <si>
    <t>мешки пищевые</t>
  </si>
  <si>
    <t>кол-во</t>
  </si>
  <si>
    <t>гофроящик Н=1648 б/п</t>
  </si>
  <si>
    <t>Гофроящик Н=1703 б/п (для яндекславки)</t>
  </si>
  <si>
    <t>РШФ(25-02-0518) СНЕКПРОМ ООО_М13.004_392x212x192</t>
  </si>
  <si>
    <t xml:space="preserve">ПФ 10442 СНЕКПРОМ ООО М13.004 392х212х192 Кедровый </t>
  </si>
  <si>
    <t>Гофроящик Кедровый бор (Монетка)</t>
  </si>
  <si>
    <t>Гофроящик  h=1677 (Лента)</t>
  </si>
  <si>
    <t>Пленка для палет</t>
  </si>
  <si>
    <t>Гофроящик Н=1648 б/п</t>
  </si>
  <si>
    <t>гофроящики</t>
  </si>
  <si>
    <t>Короб "Ласточкин хвост"</t>
  </si>
  <si>
    <t>вырубной штамп</t>
  </si>
  <si>
    <t>флексоформа</t>
  </si>
  <si>
    <t>Пленка Арахисовая тарелка ЧИПЛС 4 вкуса 200 г</t>
  </si>
  <si>
    <t>Пленка Арахисовая тарелка Smakky Asian Mix 200 г</t>
  </si>
  <si>
    <t>Пленка Арахисовая тарелка Smakky Classic  Mix 200 г</t>
  </si>
  <si>
    <t>флексоформа-тарелка</t>
  </si>
  <si>
    <t>ПЛЕНКА без печати ВОРР  ширина 310 ЯндексЛ</t>
  </si>
  <si>
    <t xml:space="preserve">ПЛЕНКА без печати ВОРР 430 </t>
  </si>
  <si>
    <t>было 180</t>
  </si>
  <si>
    <t>Тарелки ТР-209/4</t>
  </si>
  <si>
    <t>этикетки лицо</t>
  </si>
  <si>
    <t>этикетки оборот</t>
  </si>
  <si>
    <t>мешок полипропил</t>
  </si>
  <si>
    <t>перчатки нитрил</t>
  </si>
  <si>
    <t>скотч прозрачный</t>
  </si>
  <si>
    <t xml:space="preserve">пленка паллет 500 </t>
  </si>
  <si>
    <t>тоннаж</t>
  </si>
  <si>
    <t>пленки</t>
  </si>
  <si>
    <t>Барбекю</t>
  </si>
  <si>
    <t>Сметана-лук</t>
  </si>
  <si>
    <t>Сыр</t>
  </si>
  <si>
    <t>Васаби</t>
  </si>
  <si>
    <t>Арахис</t>
  </si>
  <si>
    <t>Фисташки</t>
  </si>
  <si>
    <t>Флексоформа</t>
  </si>
  <si>
    <t xml:space="preserve">ПЛЕНКА БОПП 40*310 </t>
  </si>
  <si>
    <t>ПЛЕНКА БОПП 40*420</t>
  </si>
  <si>
    <t>февраль</t>
  </si>
  <si>
    <t xml:space="preserve">Пленка КВАДРО МИКС "Тарелка" БОПП 20 мкм проз.,240*310 мм </t>
  </si>
  <si>
    <t>Пакет бумажный  150*240</t>
  </si>
  <si>
    <t>касса</t>
  </si>
  <si>
    <t>1-4 мая</t>
  </si>
  <si>
    <t>Пленка Арахисовая тарелка Smakky ClassicMix 200 г</t>
  </si>
  <si>
    <t>Пленка паллет</t>
  </si>
  <si>
    <t>10-11 мая</t>
  </si>
  <si>
    <t>Тарелки ТР-209/4Орешки прозрачные 840 в коробке</t>
  </si>
  <si>
    <t>6 мая</t>
  </si>
  <si>
    <t xml:space="preserve">Пленка для  упаковки арахиса КВАДРО МИКС "Тарелка" БОПП 20 мкм проз.,240*310 мм </t>
  </si>
  <si>
    <t>12 мая</t>
  </si>
  <si>
    <t xml:space="preserve">Тарелки ТР-209/4Орешки прозрачные 840 в коробке </t>
  </si>
  <si>
    <t>Пленка Арахисовая тарелка ЧИПЛС 4 вкуса 200 г. Монетка</t>
  </si>
  <si>
    <t>13 мая</t>
  </si>
  <si>
    <t xml:space="preserve">Пленка Арахисовая тарелка Smakky Asian Mix 200 г. </t>
  </si>
  <si>
    <t>16 мая</t>
  </si>
  <si>
    <t>25 мая</t>
  </si>
  <si>
    <t>02.06.2025</t>
  </si>
  <si>
    <t>20.05.2025</t>
  </si>
  <si>
    <t xml:space="preserve">Пленка для  упаковки фисташки "Тарелка" БОПП 20 мкм проз.,310*170 мм </t>
  </si>
  <si>
    <t xml:space="preserve">гофрокороб 460*340*130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</si>
</sst>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₽&quot;;[Red]\-#,##0.00\ &quot;₽&quot;"/>
    <numFmt numFmtId="164" formatCode="#,##0.00\ &quot;₽&quot;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b/>
      <i/>
      <sz val="12"/>
      <color rgb="FF00B050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2"/>
      <color theme="1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EEAF6"/>
        <bgColor rgb="FFDEEAF6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5" fillId="0" borderId="0"/>
  </cellStyleXfs>
  <cellXfs count="65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 wrapText="1"/>
    </xf>
    <xf numFmtId="0" fontId="1" fillId="0" borderId="1" xfId="0" applyFont="1" applyBorder="1"/>
    <xf numFmtId="0" fontId="3" fillId="0" borderId="1" xfId="0" applyFont="1" applyBorder="1"/>
    <xf numFmtId="16" fontId="1" fillId="0" borderId="1" xfId="0" applyNumberFormat="1" applyFont="1" applyBorder="1"/>
    <xf numFmtId="164" fontId="1" fillId="0" borderId="1" xfId="0" applyNumberFormat="1" applyFont="1" applyBorder="1"/>
    <xf numFmtId="164" fontId="1" fillId="0" borderId="0" xfId="0" applyNumberFormat="1" applyFont="1"/>
    <xf numFmtId="2" fontId="1" fillId="0" borderId="1" xfId="0" applyNumberFormat="1" applyFont="1" applyBorder="1"/>
    <xf numFmtId="0" fontId="2" fillId="2" borderId="1" xfId="0" applyFont="1" applyFill="1" applyBorder="1" applyAlignment="1">
      <alignment vertical="center" wrapText="1"/>
    </xf>
    <xf numFmtId="164" fontId="2" fillId="2" borderId="1" xfId="0" applyNumberFormat="1" applyFont="1" applyFill="1" applyBorder="1" applyAlignment="1">
      <alignment vertical="center" wrapText="1"/>
    </xf>
    <xf numFmtId="0" fontId="4" fillId="0" borderId="1" xfId="0" applyFont="1" applyBorder="1"/>
    <xf numFmtId="16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1" xfId="1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0" fontId="7" fillId="0" borderId="1" xfId="0" applyFont="1" applyBorder="1"/>
    <xf numFmtId="0" fontId="2" fillId="3" borderId="1" xfId="0" applyFont="1" applyFill="1" applyBorder="1"/>
    <xf numFmtId="2" fontId="2" fillId="3" borderId="1" xfId="0" applyNumberFormat="1" applyFont="1" applyFill="1" applyBorder="1"/>
    <xf numFmtId="164" fontId="2" fillId="3" borderId="1" xfId="0" applyNumberFormat="1" applyFont="1" applyFill="1" applyBorder="1"/>
    <xf numFmtId="2" fontId="2" fillId="2" borderId="1" xfId="0" applyNumberFormat="1" applyFont="1" applyFill="1" applyBorder="1" applyAlignment="1">
      <alignment vertical="center" wrapText="1"/>
    </xf>
    <xf numFmtId="2" fontId="1" fillId="0" borderId="0" xfId="0" applyNumberFormat="1" applyFont="1"/>
    <xf numFmtId="0" fontId="1" fillId="0" borderId="1" xfId="0" applyFont="1" applyBorder="1" applyAlignment="1">
      <alignment vertical="center" wrapText="1"/>
    </xf>
    <xf numFmtId="0" fontId="2" fillId="4" borderId="1" xfId="0" applyFont="1" applyFill="1" applyBorder="1"/>
    <xf numFmtId="2" fontId="2" fillId="4" borderId="1" xfId="0" applyNumberFormat="1" applyFont="1" applyFill="1" applyBorder="1"/>
    <xf numFmtId="164" fontId="2" fillId="4" borderId="1" xfId="0" applyNumberFormat="1" applyFont="1" applyFill="1" applyBorder="1"/>
    <xf numFmtId="16" fontId="2" fillId="3" borderId="1" xfId="0" applyNumberFormat="1" applyFont="1" applyFill="1" applyBorder="1"/>
    <xf numFmtId="164" fontId="8" fillId="0" borderId="2" xfId="0" applyNumberFormat="1" applyFont="1" applyBorder="1"/>
    <xf numFmtId="0" fontId="2" fillId="3" borderId="1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164" fontId="2" fillId="3" borderId="1" xfId="0" applyNumberFormat="1" applyFont="1" applyFill="1" applyBorder="1" applyAlignment="1">
      <alignment vertical="center"/>
    </xf>
    <xf numFmtId="164" fontId="1" fillId="0" borderId="0" xfId="0" applyNumberFormat="1" applyFont="1" applyAlignment="1">
      <alignment vertical="center"/>
    </xf>
    <xf numFmtId="2" fontId="2" fillId="3" borderId="1" xfId="0" applyNumberFormat="1" applyFont="1" applyFill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8" fontId="2" fillId="2" borderId="1" xfId="0" applyNumberFormat="1" applyFont="1" applyFill="1" applyBorder="1" applyAlignment="1">
      <alignment vertical="center" wrapText="1"/>
    </xf>
    <xf numFmtId="8" fontId="1" fillId="0" borderId="1" xfId="0" applyNumberFormat="1" applyFont="1" applyBorder="1"/>
    <xf numFmtId="8" fontId="1" fillId="0" borderId="0" xfId="0" applyNumberFormat="1" applyFont="1"/>
    <xf numFmtId="0" fontId="7" fillId="0" borderId="1" xfId="0" applyFont="1" applyBorder="1" applyAlignment="1">
      <alignment horizontal="center" vertical="center"/>
    </xf>
    <xf numFmtId="16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8" fontId="2" fillId="3" borderId="1" xfId="0" applyNumberFormat="1" applyFont="1" applyFill="1" applyBorder="1"/>
    <xf numFmtId="0" fontId="7" fillId="0" borderId="1" xfId="0" applyFont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16" fontId="1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2" fontId="10" fillId="3" borderId="1" xfId="0" applyNumberFormat="1" applyFont="1" applyFill="1" applyBorder="1" applyAlignment="1">
      <alignment vertical="center"/>
    </xf>
    <xf numFmtId="164" fontId="10" fillId="3" borderId="1" xfId="0" applyNumberFormat="1" applyFont="1" applyFill="1" applyBorder="1" applyAlignment="1">
      <alignment vertical="center"/>
    </xf>
    <xf numFmtId="2" fontId="11" fillId="0" borderId="1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164" fontId="1" fillId="3" borderId="1" xfId="0" applyNumberFormat="1" applyFont="1" applyFill="1" applyBorder="1" applyAlignment="1">
      <alignment vertical="center"/>
    </xf>
    <xf numFmtId="16" fontId="1" fillId="3" borderId="1" xfId="0" applyNumberFormat="1" applyFont="1" applyFill="1" applyBorder="1" applyAlignment="1">
      <alignment vertical="center"/>
    </xf>
    <xf numFmtId="0" fontId="9" fillId="3" borderId="1" xfId="0" applyFont="1" applyFill="1" applyBorder="1" applyAlignment="1">
      <alignment vertical="center" wrapText="1"/>
    </xf>
    <xf numFmtId="2" fontId="1" fillId="3" borderId="1" xfId="0" applyNumberFormat="1" applyFont="1" applyFill="1" applyBorder="1" applyAlignment="1">
      <alignment vertical="center"/>
    </xf>
    <xf numFmtId="0" fontId="1" fillId="3" borderId="1" xfId="0" applyFont="1" applyFill="1" applyBorder="1"/>
    <xf numFmtId="0" fontId="1" fillId="0" borderId="1" xfId="0" applyFont="1" applyBorder="1" applyAlignment="1">
      <alignment horizontal="left"/>
    </xf>
    <xf numFmtId="4" fontId="12" fillId="5" borderId="4" xfId="0" applyNumberFormat="1" applyFont="1" applyFill="1" applyBorder="1" applyAlignment="1">
      <alignment horizontal="left" vertical="center"/>
    </xf>
    <xf numFmtId="2" fontId="6" fillId="5" borderId="3" xfId="0" applyNumberFormat="1" applyFont="1" applyFill="1" applyBorder="1" applyAlignment="1">
      <alignment horizontal="center" vertical="center"/>
    </xf>
    <xf numFmtId="164" fontId="6" fillId="5" borderId="3" xfId="0" applyNumberFormat="1" applyFont="1" applyFill="1" applyBorder="1" applyAlignment="1">
      <alignment horizontal="center" vertical="center"/>
    </xf>
    <xf numFmtId="164" fontId="13" fillId="0" borderId="3" xfId="0" applyNumberFormat="1" applyFont="1" applyBorder="1" applyAlignment="1">
      <alignment horizontal="center" vertical="center" wrapText="1"/>
    </xf>
  </cellXfs>
  <cellStyles count="2">
    <cellStyle name="Обычный" xfId="0" builtinId="0"/>
    <cellStyle name="Обычный 7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workbookViewId="0">
      <pane ySplit="1" topLeftCell="A2" activePane="bottomLeft" state="frozen"/>
      <selection pane="bottomLeft" activeCell="G11" sqref="G11"/>
    </sheetView>
  </sheetViews>
  <sheetFormatPr defaultColWidth="8.85546875" defaultRowHeight="15.75" x14ac:dyDescent="0.25"/>
  <cols>
    <col min="1" max="1" width="11.140625" style="1" customWidth="1"/>
    <col min="2" max="2" width="15.85546875" style="1" customWidth="1"/>
    <col min="3" max="3" width="9.28515625" style="1" bestFit="1" customWidth="1"/>
    <col min="4" max="4" width="8.85546875" style="7"/>
    <col min="5" max="5" width="14.4257812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2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4" t="s">
        <v>9</v>
      </c>
      <c r="B2" s="3"/>
      <c r="C2" s="3"/>
      <c r="D2" s="6"/>
      <c r="E2" s="6"/>
      <c r="F2" s="3"/>
      <c r="G2" s="6"/>
      <c r="H2" s="3"/>
      <c r="I2" s="6">
        <v>0</v>
      </c>
    </row>
    <row r="3" spans="1:9" x14ac:dyDescent="0.25">
      <c r="A3" s="3"/>
      <c r="B3" s="3"/>
      <c r="C3" s="8"/>
      <c r="D3" s="6"/>
      <c r="E3" s="6">
        <f>C3*D3</f>
        <v>0</v>
      </c>
      <c r="F3" s="5">
        <v>45631</v>
      </c>
      <c r="G3" s="6">
        <v>38600</v>
      </c>
      <c r="H3" s="3" t="s">
        <v>10</v>
      </c>
      <c r="I3" s="6">
        <f>I2-E3+G3</f>
        <v>38600</v>
      </c>
    </row>
    <row r="4" spans="1:9" x14ac:dyDescent="0.25">
      <c r="A4" s="5">
        <v>45635</v>
      </c>
      <c r="B4" s="3" t="s">
        <v>11</v>
      </c>
      <c r="C4" s="8">
        <v>10000</v>
      </c>
      <c r="D4" s="6">
        <v>3.86</v>
      </c>
      <c r="E4" s="6">
        <f t="shared" ref="E4:E21" si="0">C4*D4</f>
        <v>38600</v>
      </c>
      <c r="F4" s="3"/>
      <c r="G4" s="6"/>
      <c r="H4" s="3"/>
      <c r="I4" s="6">
        <f t="shared" ref="I4:I21" si="1">I3-E4+G4</f>
        <v>0</v>
      </c>
    </row>
    <row r="5" spans="1:9" x14ac:dyDescent="0.25">
      <c r="A5" s="23" t="s">
        <v>12</v>
      </c>
      <c r="B5" s="23"/>
      <c r="C5" s="23"/>
      <c r="D5" s="25"/>
      <c r="E5" s="25">
        <f t="shared" si="0"/>
        <v>0</v>
      </c>
      <c r="F5" s="23"/>
      <c r="G5" s="25"/>
      <c r="H5" s="23"/>
      <c r="I5" s="25">
        <f t="shared" si="1"/>
        <v>0</v>
      </c>
    </row>
    <row r="6" spans="1:9" x14ac:dyDescent="0.25">
      <c r="A6" s="3"/>
      <c r="B6" s="3"/>
      <c r="C6" s="8"/>
      <c r="D6" s="6"/>
      <c r="E6" s="6">
        <f t="shared" si="0"/>
        <v>0</v>
      </c>
      <c r="F6" s="5">
        <v>45701</v>
      </c>
      <c r="G6" s="6">
        <v>19300</v>
      </c>
      <c r="H6" s="3" t="s">
        <v>10</v>
      </c>
      <c r="I6" s="6">
        <f t="shared" si="1"/>
        <v>19300</v>
      </c>
    </row>
    <row r="7" spans="1:9" x14ac:dyDescent="0.25">
      <c r="A7" s="5">
        <v>45707</v>
      </c>
      <c r="B7" s="3" t="s">
        <v>11</v>
      </c>
      <c r="C7" s="8">
        <v>5000</v>
      </c>
      <c r="D7" s="6">
        <v>3.86</v>
      </c>
      <c r="E7" s="6">
        <f t="shared" si="0"/>
        <v>19300</v>
      </c>
      <c r="F7" s="3"/>
      <c r="G7" s="6"/>
      <c r="H7" s="3"/>
      <c r="I7" s="6">
        <f t="shared" si="1"/>
        <v>0</v>
      </c>
    </row>
    <row r="8" spans="1:9" x14ac:dyDescent="0.25">
      <c r="A8" s="3"/>
      <c r="B8" s="3"/>
      <c r="C8" s="8"/>
      <c r="D8" s="6"/>
      <c r="E8" s="6">
        <f t="shared" si="0"/>
        <v>0</v>
      </c>
      <c r="F8" s="3"/>
      <c r="G8" s="6"/>
      <c r="H8" s="3"/>
      <c r="I8" s="6">
        <f t="shared" si="1"/>
        <v>0</v>
      </c>
    </row>
    <row r="9" spans="1:9" x14ac:dyDescent="0.25">
      <c r="A9" s="3"/>
      <c r="B9" s="3"/>
      <c r="C9" s="8"/>
      <c r="D9" s="6"/>
      <c r="E9" s="6">
        <f t="shared" si="0"/>
        <v>0</v>
      </c>
      <c r="F9" s="3"/>
      <c r="G9" s="6"/>
      <c r="H9" s="3"/>
      <c r="I9" s="6">
        <f t="shared" si="1"/>
        <v>0</v>
      </c>
    </row>
    <row r="10" spans="1:9" x14ac:dyDescent="0.25">
      <c r="A10" s="3"/>
      <c r="B10" s="3"/>
      <c r="C10" s="8"/>
      <c r="D10" s="6"/>
      <c r="E10" s="6">
        <f t="shared" si="0"/>
        <v>0</v>
      </c>
      <c r="F10" s="3"/>
      <c r="G10" s="6"/>
      <c r="H10" s="3"/>
      <c r="I10" s="6">
        <f t="shared" si="1"/>
        <v>0</v>
      </c>
    </row>
    <row r="11" spans="1:9" x14ac:dyDescent="0.25">
      <c r="A11" s="3"/>
      <c r="B11" s="3"/>
      <c r="C11" s="8"/>
      <c r="D11" s="6"/>
      <c r="E11" s="6">
        <f t="shared" si="0"/>
        <v>0</v>
      </c>
      <c r="F11" s="3"/>
      <c r="G11" s="6"/>
      <c r="H11" s="3"/>
      <c r="I11" s="6">
        <f t="shared" si="1"/>
        <v>0</v>
      </c>
    </row>
    <row r="12" spans="1:9" x14ac:dyDescent="0.25">
      <c r="A12" s="3"/>
      <c r="B12" s="3"/>
      <c r="C12" s="8"/>
      <c r="D12" s="6"/>
      <c r="E12" s="6">
        <f t="shared" si="0"/>
        <v>0</v>
      </c>
      <c r="F12" s="3"/>
      <c r="G12" s="6"/>
      <c r="H12" s="3"/>
      <c r="I12" s="6">
        <f t="shared" si="1"/>
        <v>0</v>
      </c>
    </row>
    <row r="13" spans="1:9" x14ac:dyDescent="0.25">
      <c r="A13" s="3"/>
      <c r="B13" s="3"/>
      <c r="C13" s="8"/>
      <c r="D13" s="6"/>
      <c r="E13" s="6">
        <f t="shared" si="0"/>
        <v>0</v>
      </c>
      <c r="F13" s="3"/>
      <c r="G13" s="6"/>
      <c r="H13" s="3"/>
      <c r="I13" s="6">
        <f t="shared" si="1"/>
        <v>0</v>
      </c>
    </row>
    <row r="14" spans="1:9" x14ac:dyDescent="0.25">
      <c r="A14" s="3"/>
      <c r="B14" s="3"/>
      <c r="C14" s="8"/>
      <c r="D14" s="6"/>
      <c r="E14" s="6">
        <f t="shared" si="0"/>
        <v>0</v>
      </c>
      <c r="F14" s="3"/>
      <c r="G14" s="6"/>
      <c r="H14" s="3"/>
      <c r="I14" s="6">
        <f t="shared" si="1"/>
        <v>0</v>
      </c>
    </row>
    <row r="15" spans="1:9" x14ac:dyDescent="0.25">
      <c r="A15" s="3"/>
      <c r="B15" s="3"/>
      <c r="C15" s="8"/>
      <c r="D15" s="6"/>
      <c r="E15" s="6">
        <f t="shared" si="0"/>
        <v>0</v>
      </c>
      <c r="F15" s="3"/>
      <c r="G15" s="6"/>
      <c r="H15" s="3"/>
      <c r="I15" s="6">
        <f t="shared" si="1"/>
        <v>0</v>
      </c>
    </row>
    <row r="16" spans="1:9" x14ac:dyDescent="0.25">
      <c r="A16" s="3"/>
      <c r="B16" s="3"/>
      <c r="C16" s="8"/>
      <c r="D16" s="6"/>
      <c r="E16" s="6">
        <f t="shared" si="0"/>
        <v>0</v>
      </c>
      <c r="F16" s="3"/>
      <c r="G16" s="6"/>
      <c r="H16" s="3"/>
      <c r="I16" s="6">
        <f t="shared" si="1"/>
        <v>0</v>
      </c>
    </row>
    <row r="17" spans="1:9" x14ac:dyDescent="0.25">
      <c r="A17" s="3"/>
      <c r="B17" s="3"/>
      <c r="C17" s="8"/>
      <c r="D17" s="6"/>
      <c r="E17" s="6">
        <f t="shared" si="0"/>
        <v>0</v>
      </c>
      <c r="F17" s="3"/>
      <c r="G17" s="6"/>
      <c r="H17" s="3"/>
      <c r="I17" s="6">
        <f t="shared" si="1"/>
        <v>0</v>
      </c>
    </row>
    <row r="18" spans="1:9" x14ac:dyDescent="0.25">
      <c r="A18" s="3"/>
      <c r="B18" s="3"/>
      <c r="C18" s="8"/>
      <c r="D18" s="6"/>
      <c r="E18" s="6">
        <f t="shared" si="0"/>
        <v>0</v>
      </c>
      <c r="F18" s="3"/>
      <c r="G18" s="6"/>
      <c r="H18" s="3"/>
      <c r="I18" s="6">
        <f t="shared" si="1"/>
        <v>0</v>
      </c>
    </row>
    <row r="19" spans="1:9" x14ac:dyDescent="0.25">
      <c r="A19" s="3"/>
      <c r="B19" s="3"/>
      <c r="C19" s="8"/>
      <c r="D19" s="6"/>
      <c r="E19" s="6">
        <f t="shared" si="0"/>
        <v>0</v>
      </c>
      <c r="F19" s="3"/>
      <c r="G19" s="6"/>
      <c r="H19" s="3"/>
      <c r="I19" s="6">
        <f t="shared" si="1"/>
        <v>0</v>
      </c>
    </row>
    <row r="20" spans="1:9" x14ac:dyDescent="0.25">
      <c r="A20" s="3"/>
      <c r="B20" s="3"/>
      <c r="C20" s="8"/>
      <c r="D20" s="6"/>
      <c r="E20" s="6">
        <f t="shared" si="0"/>
        <v>0</v>
      </c>
      <c r="F20" s="3"/>
      <c r="G20" s="6"/>
      <c r="H20" s="3"/>
      <c r="I20" s="6">
        <f t="shared" si="1"/>
        <v>0</v>
      </c>
    </row>
    <row r="21" spans="1:9" x14ac:dyDescent="0.25">
      <c r="A21" s="3"/>
      <c r="B21" s="3"/>
      <c r="C21" s="8"/>
      <c r="D21" s="6"/>
      <c r="E21" s="6">
        <f t="shared" si="0"/>
        <v>0</v>
      </c>
      <c r="F21" s="3"/>
      <c r="G21" s="6"/>
      <c r="H21" s="3"/>
      <c r="I21" s="6">
        <f t="shared" si="1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1"/>
  <sheetViews>
    <sheetView workbookViewId="0">
      <pane ySplit="1" topLeftCell="A2" activePane="bottomLeft" state="frozen"/>
      <selection pane="bottomLeft" activeCell="G10" sqref="G10"/>
    </sheetView>
  </sheetViews>
  <sheetFormatPr defaultColWidth="8.85546875" defaultRowHeight="15.75" x14ac:dyDescent="0.25"/>
  <cols>
    <col min="1" max="1" width="11.140625" style="14" customWidth="1"/>
    <col min="2" max="2" width="18.28515625" style="1" customWidth="1"/>
    <col min="3" max="3" width="9.28515625" style="14" bestFit="1" customWidth="1"/>
    <col min="4" max="4" width="8.85546875" style="37"/>
    <col min="5" max="5" width="14.42578125" style="37" bestFit="1" customWidth="1"/>
    <col min="6" max="6" width="8.85546875" style="14"/>
    <col min="7" max="7" width="14.42578125" style="37" bestFit="1" customWidth="1"/>
    <col min="8" max="8" width="8.85546875" style="14"/>
    <col min="9" max="9" width="15.28515625" style="3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2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47" t="s">
        <v>12</v>
      </c>
      <c r="B2" s="3"/>
      <c r="C2" s="13"/>
      <c r="D2" s="21"/>
      <c r="E2" s="21"/>
      <c r="F2" s="13"/>
      <c r="G2" s="21"/>
      <c r="H2" s="13"/>
      <c r="I2" s="21">
        <v>0</v>
      </c>
    </row>
    <row r="3" spans="1:9" x14ac:dyDescent="0.25">
      <c r="A3" s="12">
        <v>45674</v>
      </c>
      <c r="B3" s="3" t="s">
        <v>13</v>
      </c>
      <c r="C3" s="20">
        <v>59760</v>
      </c>
      <c r="D3" s="21">
        <v>4.95</v>
      </c>
      <c r="E3" s="21">
        <f>C3*D3</f>
        <v>295812</v>
      </c>
      <c r="F3" s="12"/>
      <c r="G3" s="21"/>
      <c r="H3" s="13"/>
      <c r="I3" s="21">
        <f>I2-E3+G3</f>
        <v>-295812</v>
      </c>
    </row>
    <row r="4" spans="1:9" ht="31.5" x14ac:dyDescent="0.25">
      <c r="A4" s="12">
        <v>45686</v>
      </c>
      <c r="B4" s="28" t="s">
        <v>14</v>
      </c>
      <c r="C4" s="20">
        <v>250</v>
      </c>
      <c r="D4" s="21">
        <v>36.200000000000003</v>
      </c>
      <c r="E4" s="21">
        <f t="shared" ref="E4:E21" si="0">C4*D4</f>
        <v>9050</v>
      </c>
      <c r="F4" s="13"/>
      <c r="G4" s="21"/>
      <c r="H4" s="13"/>
      <c r="I4" s="21">
        <f t="shared" ref="I4:I21" si="1">I3-E4+G4</f>
        <v>-304862</v>
      </c>
    </row>
    <row r="5" spans="1:9" x14ac:dyDescent="0.25">
      <c r="A5" s="48" t="s">
        <v>15</v>
      </c>
      <c r="B5" s="23"/>
      <c r="C5" s="48"/>
      <c r="D5" s="36"/>
      <c r="E5" s="36">
        <f t="shared" si="0"/>
        <v>0</v>
      </c>
      <c r="F5" s="48"/>
      <c r="G5" s="36"/>
      <c r="H5" s="48"/>
      <c r="I5" s="36">
        <f t="shared" si="1"/>
        <v>-304862</v>
      </c>
    </row>
    <row r="6" spans="1:9" ht="31.5" x14ac:dyDescent="0.25">
      <c r="A6" s="12">
        <v>45757</v>
      </c>
      <c r="B6" s="28" t="s">
        <v>14</v>
      </c>
      <c r="C6" s="20">
        <v>500</v>
      </c>
      <c r="D6" s="21">
        <v>33</v>
      </c>
      <c r="E6" s="21">
        <f t="shared" si="0"/>
        <v>16500</v>
      </c>
      <c r="F6" s="13"/>
      <c r="G6" s="21"/>
      <c r="H6" s="13"/>
      <c r="I6" s="21">
        <f t="shared" si="1"/>
        <v>-321362</v>
      </c>
    </row>
    <row r="7" spans="1:9" ht="31.5" x14ac:dyDescent="0.25">
      <c r="A7" s="12">
        <v>45763</v>
      </c>
      <c r="B7" s="28" t="s">
        <v>14</v>
      </c>
      <c r="C7" s="20">
        <v>500</v>
      </c>
      <c r="D7" s="21">
        <v>33</v>
      </c>
      <c r="E7" s="21">
        <f t="shared" si="0"/>
        <v>16500</v>
      </c>
      <c r="F7" s="13"/>
      <c r="G7" s="21"/>
      <c r="H7" s="13"/>
      <c r="I7" s="21">
        <f t="shared" si="1"/>
        <v>-337862</v>
      </c>
    </row>
    <row r="8" spans="1:9" x14ac:dyDescent="0.25">
      <c r="A8" s="13"/>
      <c r="B8" s="3"/>
      <c r="C8" s="20"/>
      <c r="D8" s="21"/>
      <c r="E8" s="21">
        <f t="shared" si="0"/>
        <v>0</v>
      </c>
      <c r="F8" s="13"/>
      <c r="G8" s="21"/>
      <c r="H8" s="13"/>
      <c r="I8" s="21">
        <f t="shared" si="1"/>
        <v>-337862</v>
      </c>
    </row>
    <row r="9" spans="1:9" x14ac:dyDescent="0.25">
      <c r="A9" s="13"/>
      <c r="B9" s="3"/>
      <c r="C9" s="20"/>
      <c r="D9" s="21"/>
      <c r="E9" s="21">
        <f t="shared" si="0"/>
        <v>0</v>
      </c>
      <c r="F9" s="13"/>
      <c r="G9" s="21"/>
      <c r="H9" s="13"/>
      <c r="I9" s="21">
        <f t="shared" si="1"/>
        <v>-337862</v>
      </c>
    </row>
    <row r="10" spans="1:9" x14ac:dyDescent="0.25">
      <c r="A10" s="13"/>
      <c r="B10" s="3"/>
      <c r="C10" s="20"/>
      <c r="D10" s="21"/>
      <c r="E10" s="21">
        <f t="shared" si="0"/>
        <v>0</v>
      </c>
      <c r="F10" s="13"/>
      <c r="G10" s="21"/>
      <c r="H10" s="13"/>
      <c r="I10" s="21">
        <f t="shared" si="1"/>
        <v>-337862</v>
      </c>
    </row>
    <row r="11" spans="1:9" x14ac:dyDescent="0.25">
      <c r="A11" s="13"/>
      <c r="B11" s="3"/>
      <c r="C11" s="20"/>
      <c r="D11" s="21"/>
      <c r="E11" s="21">
        <f t="shared" si="0"/>
        <v>0</v>
      </c>
      <c r="F11" s="13"/>
      <c r="G11" s="21"/>
      <c r="H11" s="13"/>
      <c r="I11" s="21">
        <f t="shared" si="1"/>
        <v>-337862</v>
      </c>
    </row>
    <row r="12" spans="1:9" x14ac:dyDescent="0.25">
      <c r="A12" s="13"/>
      <c r="B12" s="3"/>
      <c r="C12" s="20"/>
      <c r="D12" s="21"/>
      <c r="E12" s="21">
        <f t="shared" si="0"/>
        <v>0</v>
      </c>
      <c r="F12" s="13"/>
      <c r="G12" s="21"/>
      <c r="H12" s="13"/>
      <c r="I12" s="21">
        <f t="shared" si="1"/>
        <v>-337862</v>
      </c>
    </row>
    <row r="13" spans="1:9" x14ac:dyDescent="0.25">
      <c r="A13" s="13"/>
      <c r="B13" s="3"/>
      <c r="C13" s="20"/>
      <c r="D13" s="21"/>
      <c r="E13" s="21">
        <f t="shared" si="0"/>
        <v>0</v>
      </c>
      <c r="F13" s="13"/>
      <c r="G13" s="21"/>
      <c r="H13" s="13"/>
      <c r="I13" s="21">
        <f t="shared" si="1"/>
        <v>-337862</v>
      </c>
    </row>
    <row r="14" spans="1:9" x14ac:dyDescent="0.25">
      <c r="A14" s="13"/>
      <c r="B14" s="3"/>
      <c r="C14" s="20"/>
      <c r="D14" s="21"/>
      <c r="E14" s="21">
        <f t="shared" si="0"/>
        <v>0</v>
      </c>
      <c r="F14" s="13"/>
      <c r="G14" s="21"/>
      <c r="H14" s="13"/>
      <c r="I14" s="21">
        <f t="shared" si="1"/>
        <v>-337862</v>
      </c>
    </row>
    <row r="15" spans="1:9" x14ac:dyDescent="0.25">
      <c r="A15" s="13"/>
      <c r="B15" s="3"/>
      <c r="C15" s="20"/>
      <c r="D15" s="21"/>
      <c r="E15" s="21">
        <f t="shared" si="0"/>
        <v>0</v>
      </c>
      <c r="F15" s="13"/>
      <c r="G15" s="21"/>
      <c r="H15" s="13"/>
      <c r="I15" s="21">
        <f t="shared" si="1"/>
        <v>-337862</v>
      </c>
    </row>
    <row r="16" spans="1:9" x14ac:dyDescent="0.25">
      <c r="A16" s="13"/>
      <c r="B16" s="3"/>
      <c r="C16" s="20"/>
      <c r="D16" s="21"/>
      <c r="E16" s="21">
        <f t="shared" si="0"/>
        <v>0</v>
      </c>
      <c r="F16" s="13"/>
      <c r="G16" s="21"/>
      <c r="H16" s="13"/>
      <c r="I16" s="21">
        <f t="shared" si="1"/>
        <v>-337862</v>
      </c>
    </row>
    <row r="17" spans="1:9" x14ac:dyDescent="0.25">
      <c r="A17" s="13"/>
      <c r="B17" s="3"/>
      <c r="C17" s="20"/>
      <c r="D17" s="21"/>
      <c r="E17" s="21">
        <f t="shared" si="0"/>
        <v>0</v>
      </c>
      <c r="F17" s="13"/>
      <c r="G17" s="21"/>
      <c r="H17" s="13"/>
      <c r="I17" s="21">
        <f t="shared" si="1"/>
        <v>-337862</v>
      </c>
    </row>
    <row r="18" spans="1:9" x14ac:dyDescent="0.25">
      <c r="A18" s="13"/>
      <c r="B18" s="3"/>
      <c r="C18" s="20"/>
      <c r="D18" s="21"/>
      <c r="E18" s="21">
        <f t="shared" si="0"/>
        <v>0</v>
      </c>
      <c r="F18" s="13"/>
      <c r="G18" s="21"/>
      <c r="H18" s="13"/>
      <c r="I18" s="21">
        <f t="shared" si="1"/>
        <v>-337862</v>
      </c>
    </row>
    <row r="19" spans="1:9" x14ac:dyDescent="0.25">
      <c r="A19" s="13"/>
      <c r="B19" s="3"/>
      <c r="C19" s="20"/>
      <c r="D19" s="21"/>
      <c r="E19" s="21">
        <f t="shared" si="0"/>
        <v>0</v>
      </c>
      <c r="F19" s="13"/>
      <c r="G19" s="21"/>
      <c r="H19" s="13"/>
      <c r="I19" s="21">
        <f t="shared" si="1"/>
        <v>-337862</v>
      </c>
    </row>
    <row r="20" spans="1:9" x14ac:dyDescent="0.25">
      <c r="A20" s="13"/>
      <c r="B20" s="3"/>
      <c r="C20" s="20"/>
      <c r="D20" s="21"/>
      <c r="E20" s="21">
        <f t="shared" si="0"/>
        <v>0</v>
      </c>
      <c r="F20" s="13"/>
      <c r="G20" s="21"/>
      <c r="H20" s="13"/>
      <c r="I20" s="21">
        <f t="shared" si="1"/>
        <v>-337862</v>
      </c>
    </row>
    <row r="21" spans="1:9" x14ac:dyDescent="0.25">
      <c r="A21" s="13"/>
      <c r="B21" s="3"/>
      <c r="C21" s="20"/>
      <c r="D21" s="21"/>
      <c r="E21" s="21">
        <f t="shared" si="0"/>
        <v>0</v>
      </c>
      <c r="F21" s="13"/>
      <c r="G21" s="21"/>
      <c r="H21" s="13"/>
      <c r="I21" s="21">
        <f t="shared" si="1"/>
        <v>-337862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1"/>
  <sheetViews>
    <sheetView workbookViewId="0">
      <pane ySplit="1" topLeftCell="A2" activePane="bottomLeft" state="frozen"/>
      <selection pane="bottomLeft" activeCell="D8" sqref="D8"/>
    </sheetView>
  </sheetViews>
  <sheetFormatPr defaultColWidth="8.85546875" defaultRowHeight="15.75" x14ac:dyDescent="0.25"/>
  <cols>
    <col min="1" max="1" width="11.140625" style="1" customWidth="1"/>
    <col min="2" max="2" width="15.85546875" style="1" customWidth="1"/>
    <col min="3" max="3" width="9.28515625" style="1" bestFit="1" customWidth="1"/>
    <col min="4" max="4" width="8.85546875" style="7"/>
    <col min="5" max="5" width="14.4257812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2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22" t="s">
        <v>12</v>
      </c>
      <c r="B2" s="3"/>
      <c r="C2" s="3"/>
      <c r="D2" s="6"/>
      <c r="E2" s="6"/>
      <c r="F2" s="3"/>
      <c r="G2" s="6"/>
      <c r="H2" s="3"/>
      <c r="I2" s="6">
        <v>0</v>
      </c>
    </row>
    <row r="3" spans="1:9" x14ac:dyDescent="0.25">
      <c r="A3" s="3"/>
      <c r="B3" s="3"/>
      <c r="C3" s="8"/>
      <c r="D3" s="6"/>
      <c r="E3" s="6">
        <f>C3*D3</f>
        <v>0</v>
      </c>
      <c r="F3" s="5">
        <v>45670</v>
      </c>
      <c r="G3" s="6">
        <v>8096</v>
      </c>
      <c r="H3" s="3" t="s">
        <v>10</v>
      </c>
      <c r="I3" s="6">
        <f>I2-E3+G3</f>
        <v>8096</v>
      </c>
    </row>
    <row r="4" spans="1:9" x14ac:dyDescent="0.25">
      <c r="A4" s="5">
        <v>45672</v>
      </c>
      <c r="B4" s="3" t="s">
        <v>16</v>
      </c>
      <c r="C4" s="8">
        <v>400</v>
      </c>
      <c r="D4" s="6">
        <v>20.239999999999998</v>
      </c>
      <c r="E4" s="6">
        <f t="shared" ref="E4:E21" si="0">C4*D4</f>
        <v>8095.9999999999991</v>
      </c>
      <c r="F4" s="3"/>
      <c r="G4" s="6"/>
      <c r="H4" s="3"/>
      <c r="I4" s="6">
        <f t="shared" ref="I4:I21" si="1">I3-E4+G4</f>
        <v>9.0949470177292824E-13</v>
      </c>
    </row>
    <row r="5" spans="1:9" x14ac:dyDescent="0.25">
      <c r="A5" s="3"/>
      <c r="B5" s="3"/>
      <c r="C5" s="3"/>
      <c r="D5" s="6"/>
      <c r="E5" s="6">
        <f t="shared" si="0"/>
        <v>0</v>
      </c>
      <c r="F5" s="5">
        <v>45677</v>
      </c>
      <c r="G5" s="6">
        <v>3192</v>
      </c>
      <c r="H5" s="3" t="s">
        <v>10</v>
      </c>
      <c r="I5" s="6">
        <f t="shared" si="1"/>
        <v>3192.0000000000009</v>
      </c>
    </row>
    <row r="6" spans="1:9" x14ac:dyDescent="0.25">
      <c r="A6" s="3"/>
      <c r="B6" s="3" t="s">
        <v>16</v>
      </c>
      <c r="C6" s="8"/>
      <c r="D6" s="6"/>
      <c r="E6" s="6">
        <v>3192</v>
      </c>
      <c r="F6" s="3"/>
      <c r="G6" s="6"/>
      <c r="H6" s="3"/>
      <c r="I6" s="6">
        <f t="shared" si="1"/>
        <v>9.0949470177292824E-13</v>
      </c>
    </row>
    <row r="7" spans="1:9" x14ac:dyDescent="0.25">
      <c r="A7" s="3"/>
      <c r="B7" s="3"/>
      <c r="C7" s="8"/>
      <c r="D7" s="6"/>
      <c r="E7" s="6">
        <f t="shared" si="0"/>
        <v>0</v>
      </c>
      <c r="F7" s="3"/>
      <c r="G7" s="6"/>
      <c r="H7" s="3"/>
      <c r="I7" s="6">
        <f t="shared" si="1"/>
        <v>9.0949470177292824E-13</v>
      </c>
    </row>
    <row r="8" spans="1:9" x14ac:dyDescent="0.25">
      <c r="A8" s="3"/>
      <c r="B8" s="3"/>
      <c r="C8" s="8"/>
      <c r="D8" s="6"/>
      <c r="E8" s="6">
        <f t="shared" si="0"/>
        <v>0</v>
      </c>
      <c r="F8" s="3"/>
      <c r="G8" s="6"/>
      <c r="H8" s="3"/>
      <c r="I8" s="6">
        <f t="shared" si="1"/>
        <v>9.0949470177292824E-13</v>
      </c>
    </row>
    <row r="9" spans="1:9" x14ac:dyDescent="0.25">
      <c r="A9" s="3"/>
      <c r="B9" s="3"/>
      <c r="C9" s="8"/>
      <c r="D9" s="6"/>
      <c r="E9" s="6">
        <f t="shared" si="0"/>
        <v>0</v>
      </c>
      <c r="F9" s="3"/>
      <c r="G9" s="6"/>
      <c r="H9" s="3"/>
      <c r="I9" s="6">
        <f t="shared" si="1"/>
        <v>9.0949470177292824E-13</v>
      </c>
    </row>
    <row r="10" spans="1:9" x14ac:dyDescent="0.25">
      <c r="A10" s="3"/>
      <c r="B10" s="3"/>
      <c r="C10" s="8"/>
      <c r="D10" s="6"/>
      <c r="E10" s="6">
        <f t="shared" si="0"/>
        <v>0</v>
      </c>
      <c r="F10" s="3"/>
      <c r="G10" s="6"/>
      <c r="H10" s="3"/>
      <c r="I10" s="6">
        <f t="shared" si="1"/>
        <v>9.0949470177292824E-13</v>
      </c>
    </row>
    <row r="11" spans="1:9" x14ac:dyDescent="0.25">
      <c r="A11" s="3"/>
      <c r="B11" s="3"/>
      <c r="C11" s="8"/>
      <c r="D11" s="6"/>
      <c r="E11" s="6">
        <f t="shared" si="0"/>
        <v>0</v>
      </c>
      <c r="F11" s="3"/>
      <c r="G11" s="6"/>
      <c r="H11" s="3"/>
      <c r="I11" s="6">
        <f t="shared" si="1"/>
        <v>9.0949470177292824E-13</v>
      </c>
    </row>
    <row r="12" spans="1:9" x14ac:dyDescent="0.25">
      <c r="A12" s="3"/>
      <c r="B12" s="3"/>
      <c r="C12" s="8"/>
      <c r="D12" s="6"/>
      <c r="E12" s="6">
        <f t="shared" si="0"/>
        <v>0</v>
      </c>
      <c r="F12" s="3"/>
      <c r="G12" s="6"/>
      <c r="H12" s="3"/>
      <c r="I12" s="6">
        <f t="shared" si="1"/>
        <v>9.0949470177292824E-13</v>
      </c>
    </row>
    <row r="13" spans="1:9" x14ac:dyDescent="0.25">
      <c r="A13" s="3"/>
      <c r="B13" s="3"/>
      <c r="C13" s="8"/>
      <c r="D13" s="6"/>
      <c r="E13" s="6">
        <f t="shared" si="0"/>
        <v>0</v>
      </c>
      <c r="F13" s="3"/>
      <c r="G13" s="6"/>
      <c r="H13" s="3"/>
      <c r="I13" s="6">
        <f t="shared" si="1"/>
        <v>9.0949470177292824E-13</v>
      </c>
    </row>
    <row r="14" spans="1:9" x14ac:dyDescent="0.25">
      <c r="A14" s="3"/>
      <c r="B14" s="3"/>
      <c r="C14" s="8"/>
      <c r="D14" s="6"/>
      <c r="E14" s="6">
        <f t="shared" si="0"/>
        <v>0</v>
      </c>
      <c r="F14" s="3"/>
      <c r="G14" s="6"/>
      <c r="H14" s="3"/>
      <c r="I14" s="6">
        <f t="shared" si="1"/>
        <v>9.0949470177292824E-13</v>
      </c>
    </row>
    <row r="15" spans="1:9" x14ac:dyDescent="0.25">
      <c r="A15" s="3"/>
      <c r="B15" s="3"/>
      <c r="C15" s="8"/>
      <c r="D15" s="6"/>
      <c r="E15" s="6">
        <f t="shared" si="0"/>
        <v>0</v>
      </c>
      <c r="F15" s="3"/>
      <c r="G15" s="6"/>
      <c r="H15" s="3"/>
      <c r="I15" s="6">
        <f t="shared" si="1"/>
        <v>9.0949470177292824E-13</v>
      </c>
    </row>
    <row r="16" spans="1:9" x14ac:dyDescent="0.25">
      <c r="A16" s="3"/>
      <c r="B16" s="3"/>
      <c r="C16" s="8"/>
      <c r="D16" s="6"/>
      <c r="E16" s="6">
        <f t="shared" si="0"/>
        <v>0</v>
      </c>
      <c r="F16" s="3"/>
      <c r="G16" s="6"/>
      <c r="H16" s="3"/>
      <c r="I16" s="6">
        <f t="shared" si="1"/>
        <v>9.0949470177292824E-13</v>
      </c>
    </row>
    <row r="17" spans="1:9" x14ac:dyDescent="0.25">
      <c r="A17" s="3"/>
      <c r="B17" s="3"/>
      <c r="C17" s="8"/>
      <c r="D17" s="6"/>
      <c r="E17" s="6">
        <f t="shared" si="0"/>
        <v>0</v>
      </c>
      <c r="F17" s="3"/>
      <c r="G17" s="6"/>
      <c r="H17" s="3"/>
      <c r="I17" s="6">
        <f t="shared" si="1"/>
        <v>9.0949470177292824E-13</v>
      </c>
    </row>
    <row r="18" spans="1:9" x14ac:dyDescent="0.25">
      <c r="A18" s="3"/>
      <c r="B18" s="3"/>
      <c r="C18" s="8"/>
      <c r="D18" s="6"/>
      <c r="E18" s="6">
        <f t="shared" si="0"/>
        <v>0</v>
      </c>
      <c r="F18" s="3"/>
      <c r="G18" s="6"/>
      <c r="H18" s="3"/>
      <c r="I18" s="6">
        <f t="shared" si="1"/>
        <v>9.0949470177292824E-13</v>
      </c>
    </row>
    <row r="19" spans="1:9" x14ac:dyDescent="0.25">
      <c r="A19" s="3"/>
      <c r="B19" s="3"/>
      <c r="C19" s="8"/>
      <c r="D19" s="6"/>
      <c r="E19" s="6">
        <f t="shared" si="0"/>
        <v>0</v>
      </c>
      <c r="F19" s="3"/>
      <c r="G19" s="6"/>
      <c r="H19" s="3"/>
      <c r="I19" s="6">
        <f t="shared" si="1"/>
        <v>9.0949470177292824E-13</v>
      </c>
    </row>
    <row r="20" spans="1:9" x14ac:dyDescent="0.25">
      <c r="A20" s="3"/>
      <c r="B20" s="3"/>
      <c r="C20" s="8"/>
      <c r="D20" s="6"/>
      <c r="E20" s="6">
        <f t="shared" si="0"/>
        <v>0</v>
      </c>
      <c r="F20" s="3"/>
      <c r="G20" s="6"/>
      <c r="H20" s="3"/>
      <c r="I20" s="6">
        <f t="shared" si="1"/>
        <v>9.0949470177292824E-13</v>
      </c>
    </row>
    <row r="21" spans="1:9" x14ac:dyDescent="0.25">
      <c r="A21" s="3"/>
      <c r="B21" s="3"/>
      <c r="C21" s="8"/>
      <c r="D21" s="6"/>
      <c r="E21" s="6">
        <f t="shared" si="0"/>
        <v>0</v>
      </c>
      <c r="F21" s="3"/>
      <c r="G21" s="6"/>
      <c r="H21" s="3"/>
      <c r="I21" s="6">
        <f t="shared" si="1"/>
        <v>9.0949470177292824E-13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1"/>
  <sheetViews>
    <sheetView workbookViewId="0">
      <pane ySplit="1" topLeftCell="A2" activePane="bottomLeft" state="frozen"/>
      <selection pane="bottomLeft" activeCell="C15" sqref="C15"/>
    </sheetView>
  </sheetViews>
  <sheetFormatPr defaultColWidth="8.85546875" defaultRowHeight="15.75" x14ac:dyDescent="0.25"/>
  <cols>
    <col min="1" max="1" width="11.140625" style="1" customWidth="1"/>
    <col min="2" max="2" width="15.85546875" style="1" customWidth="1"/>
    <col min="3" max="3" width="9.28515625" style="27" bestFit="1" customWidth="1"/>
    <col min="4" max="4" width="8.85546875" style="7"/>
    <col min="5" max="5" width="14.4257812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26" t="s">
        <v>2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22" t="s">
        <v>12</v>
      </c>
      <c r="B2" s="3"/>
      <c r="C2" s="8"/>
      <c r="D2" s="6"/>
      <c r="E2" s="6"/>
      <c r="F2" s="3"/>
      <c r="G2" s="6"/>
      <c r="H2" s="3"/>
      <c r="I2" s="6">
        <v>0</v>
      </c>
    </row>
    <row r="3" spans="1:9" x14ac:dyDescent="0.25">
      <c r="A3" s="3"/>
      <c r="B3" s="3"/>
      <c r="C3" s="8"/>
      <c r="D3" s="6"/>
      <c r="E3" s="6">
        <f>C3*D3</f>
        <v>0</v>
      </c>
      <c r="F3" s="5">
        <v>45694</v>
      </c>
      <c r="G3" s="6">
        <v>12420</v>
      </c>
      <c r="H3" s="3" t="s">
        <v>10</v>
      </c>
      <c r="I3" s="6">
        <f>I2-E3+G3</f>
        <v>12420</v>
      </c>
    </row>
    <row r="4" spans="1:9" x14ac:dyDescent="0.25">
      <c r="A4" s="5">
        <v>45695</v>
      </c>
      <c r="B4" s="3"/>
      <c r="C4" s="8"/>
      <c r="D4" s="6"/>
      <c r="E4" s="6">
        <v>1575</v>
      </c>
      <c r="F4" s="5">
        <v>45702</v>
      </c>
      <c r="G4" s="6">
        <v>85275</v>
      </c>
      <c r="H4" s="3" t="s">
        <v>10</v>
      </c>
      <c r="I4" s="6">
        <f t="shared" ref="I4:I21" si="0">I3-E4+G4</f>
        <v>96120</v>
      </c>
    </row>
    <row r="5" spans="1:9" x14ac:dyDescent="0.25">
      <c r="A5" s="5">
        <v>45706</v>
      </c>
      <c r="B5" s="3"/>
      <c r="C5" s="8"/>
      <c r="D5" s="6"/>
      <c r="E5" s="6">
        <v>10845</v>
      </c>
      <c r="F5" s="3"/>
      <c r="G5" s="6"/>
      <c r="H5" s="3"/>
      <c r="I5" s="6">
        <f t="shared" si="0"/>
        <v>85275</v>
      </c>
    </row>
    <row r="6" spans="1:9" x14ac:dyDescent="0.25">
      <c r="A6" s="5">
        <v>45707</v>
      </c>
      <c r="B6" s="3"/>
      <c r="C6" s="8"/>
      <c r="D6" s="6"/>
      <c r="E6" s="6">
        <v>11863.61</v>
      </c>
      <c r="F6" s="5"/>
      <c r="G6" s="6"/>
      <c r="H6" s="3"/>
      <c r="I6" s="6">
        <f t="shared" si="0"/>
        <v>73411.39</v>
      </c>
    </row>
    <row r="7" spans="1:9" x14ac:dyDescent="0.25">
      <c r="A7" s="5">
        <v>45713</v>
      </c>
      <c r="B7" s="3"/>
      <c r="C7" s="8"/>
      <c r="D7" s="6"/>
      <c r="E7" s="6">
        <v>73411.320000000007</v>
      </c>
      <c r="F7" s="3"/>
      <c r="G7" s="6"/>
      <c r="H7" s="3"/>
      <c r="I7" s="6">
        <f t="shared" si="0"/>
        <v>6.9999999992433004E-2</v>
      </c>
    </row>
    <row r="8" spans="1:9" x14ac:dyDescent="0.25">
      <c r="A8" s="3"/>
      <c r="B8" s="3"/>
      <c r="C8" s="8"/>
      <c r="D8" s="6"/>
      <c r="E8" s="6">
        <f t="shared" ref="E8:E21" si="1">C8*D8</f>
        <v>0</v>
      </c>
      <c r="F8" s="3"/>
      <c r="G8" s="6"/>
      <c r="H8" s="3"/>
      <c r="I8" s="6">
        <f t="shared" si="0"/>
        <v>6.9999999992433004E-2</v>
      </c>
    </row>
    <row r="9" spans="1:9" x14ac:dyDescent="0.25">
      <c r="A9" s="3"/>
      <c r="B9" s="3"/>
      <c r="C9" s="8"/>
      <c r="D9" s="6"/>
      <c r="E9" s="6">
        <f t="shared" si="1"/>
        <v>0</v>
      </c>
      <c r="F9" s="3"/>
      <c r="G9" s="6"/>
      <c r="H9" s="3"/>
      <c r="I9" s="6">
        <f t="shared" si="0"/>
        <v>6.9999999992433004E-2</v>
      </c>
    </row>
    <row r="10" spans="1:9" x14ac:dyDescent="0.25">
      <c r="A10" s="3"/>
      <c r="B10" s="3"/>
      <c r="C10" s="8"/>
      <c r="D10" s="6"/>
      <c r="E10" s="6">
        <f t="shared" si="1"/>
        <v>0</v>
      </c>
      <c r="F10" s="3"/>
      <c r="G10" s="6"/>
      <c r="H10" s="3"/>
      <c r="I10" s="6">
        <f t="shared" si="0"/>
        <v>6.9999999992433004E-2</v>
      </c>
    </row>
    <row r="11" spans="1:9" x14ac:dyDescent="0.25">
      <c r="A11" s="3"/>
      <c r="B11" s="3"/>
      <c r="C11" s="8"/>
      <c r="D11" s="6"/>
      <c r="E11" s="6">
        <f t="shared" si="1"/>
        <v>0</v>
      </c>
      <c r="F11" s="3"/>
      <c r="G11" s="6"/>
      <c r="H11" s="3"/>
      <c r="I11" s="6">
        <f t="shared" si="0"/>
        <v>6.9999999992433004E-2</v>
      </c>
    </row>
    <row r="12" spans="1:9" x14ac:dyDescent="0.25">
      <c r="A12" s="3"/>
      <c r="B12" s="3"/>
      <c r="C12" s="8"/>
      <c r="D12" s="6"/>
      <c r="E12" s="6">
        <f t="shared" si="1"/>
        <v>0</v>
      </c>
      <c r="F12" s="3"/>
      <c r="G12" s="6"/>
      <c r="H12" s="3"/>
      <c r="I12" s="6">
        <f t="shared" si="0"/>
        <v>6.9999999992433004E-2</v>
      </c>
    </row>
    <row r="13" spans="1:9" x14ac:dyDescent="0.25">
      <c r="A13" s="3"/>
      <c r="B13" s="3"/>
      <c r="C13" s="8"/>
      <c r="D13" s="6"/>
      <c r="E13" s="6">
        <f t="shared" si="1"/>
        <v>0</v>
      </c>
      <c r="F13" s="3"/>
      <c r="G13" s="6"/>
      <c r="H13" s="3"/>
      <c r="I13" s="6">
        <f t="shared" si="0"/>
        <v>6.9999999992433004E-2</v>
      </c>
    </row>
    <row r="14" spans="1:9" x14ac:dyDescent="0.25">
      <c r="A14" s="3"/>
      <c r="B14" s="3"/>
      <c r="C14" s="8"/>
      <c r="D14" s="6"/>
      <c r="E14" s="6">
        <f t="shared" si="1"/>
        <v>0</v>
      </c>
      <c r="F14" s="3"/>
      <c r="G14" s="6"/>
      <c r="H14" s="3"/>
      <c r="I14" s="6">
        <f t="shared" si="0"/>
        <v>6.9999999992433004E-2</v>
      </c>
    </row>
    <row r="15" spans="1:9" x14ac:dyDescent="0.25">
      <c r="A15" s="3"/>
      <c r="B15" s="3"/>
      <c r="C15" s="8"/>
      <c r="D15" s="6"/>
      <c r="E15" s="6">
        <f t="shared" si="1"/>
        <v>0</v>
      </c>
      <c r="F15" s="3"/>
      <c r="G15" s="6"/>
      <c r="H15" s="3"/>
      <c r="I15" s="6">
        <f t="shared" si="0"/>
        <v>6.9999999992433004E-2</v>
      </c>
    </row>
    <row r="16" spans="1:9" x14ac:dyDescent="0.25">
      <c r="A16" s="3"/>
      <c r="B16" s="3"/>
      <c r="C16" s="8"/>
      <c r="D16" s="6"/>
      <c r="E16" s="6">
        <f t="shared" si="1"/>
        <v>0</v>
      </c>
      <c r="F16" s="3"/>
      <c r="G16" s="6"/>
      <c r="H16" s="3"/>
      <c r="I16" s="6">
        <f t="shared" si="0"/>
        <v>6.9999999992433004E-2</v>
      </c>
    </row>
    <row r="17" spans="1:9" x14ac:dyDescent="0.25">
      <c r="A17" s="3"/>
      <c r="B17" s="3"/>
      <c r="C17" s="8"/>
      <c r="D17" s="6"/>
      <c r="E17" s="6">
        <f t="shared" si="1"/>
        <v>0</v>
      </c>
      <c r="F17" s="3"/>
      <c r="G17" s="6"/>
      <c r="H17" s="3"/>
      <c r="I17" s="6">
        <f t="shared" si="0"/>
        <v>6.9999999992433004E-2</v>
      </c>
    </row>
    <row r="18" spans="1:9" x14ac:dyDescent="0.25">
      <c r="A18" s="3"/>
      <c r="B18" s="3"/>
      <c r="C18" s="8"/>
      <c r="D18" s="6"/>
      <c r="E18" s="6">
        <f t="shared" si="1"/>
        <v>0</v>
      </c>
      <c r="F18" s="3"/>
      <c r="G18" s="6"/>
      <c r="H18" s="3"/>
      <c r="I18" s="6">
        <f t="shared" si="0"/>
        <v>6.9999999992433004E-2</v>
      </c>
    </row>
    <row r="19" spans="1:9" x14ac:dyDescent="0.25">
      <c r="A19" s="3"/>
      <c r="B19" s="3"/>
      <c r="C19" s="8"/>
      <c r="D19" s="6"/>
      <c r="E19" s="6">
        <f t="shared" si="1"/>
        <v>0</v>
      </c>
      <c r="F19" s="3"/>
      <c r="G19" s="6"/>
      <c r="H19" s="3"/>
      <c r="I19" s="6">
        <f t="shared" si="0"/>
        <v>6.9999999992433004E-2</v>
      </c>
    </row>
    <row r="20" spans="1:9" x14ac:dyDescent="0.25">
      <c r="A20" s="3"/>
      <c r="B20" s="3"/>
      <c r="C20" s="8"/>
      <c r="D20" s="6"/>
      <c r="E20" s="6">
        <f t="shared" si="1"/>
        <v>0</v>
      </c>
      <c r="F20" s="3"/>
      <c r="G20" s="6"/>
      <c r="H20" s="3"/>
      <c r="I20" s="6">
        <f t="shared" si="0"/>
        <v>6.9999999992433004E-2</v>
      </c>
    </row>
    <row r="21" spans="1:9" x14ac:dyDescent="0.25">
      <c r="A21" s="3"/>
      <c r="B21" s="3"/>
      <c r="C21" s="8"/>
      <c r="D21" s="6"/>
      <c r="E21" s="6">
        <f t="shared" si="1"/>
        <v>0</v>
      </c>
      <c r="F21" s="3"/>
      <c r="G21" s="6"/>
      <c r="H21" s="3"/>
      <c r="I21" s="6">
        <f t="shared" si="0"/>
        <v>6.9999999992433004E-2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0"/>
  <sheetViews>
    <sheetView tabSelected="1" workbookViewId="0">
      <pane ySplit="1" topLeftCell="A12" activePane="bottomLeft" state="frozen"/>
      <selection pane="bottomLeft" activeCell="G37" sqref="G37"/>
    </sheetView>
  </sheetViews>
  <sheetFormatPr defaultColWidth="8.85546875" defaultRowHeight="15.75" x14ac:dyDescent="0.25"/>
  <cols>
    <col min="1" max="1" width="11.140625" style="1" customWidth="1"/>
    <col min="2" max="2" width="26.140625" style="35" customWidth="1"/>
    <col min="3" max="3" width="9.28515625" style="14" bestFit="1" customWidth="1"/>
    <col min="4" max="4" width="12.140625" style="37" customWidth="1"/>
    <col min="5" max="5" width="14.85546875" style="37" bestFit="1" customWidth="1"/>
    <col min="6" max="6" width="8.85546875" style="1"/>
    <col min="7" max="7" width="14.85546875" style="7" bestFit="1" customWidth="1"/>
    <col min="8" max="8" width="8.85546875" style="1"/>
    <col min="9" max="9" width="15.28515625" style="3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17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4" t="s">
        <v>9</v>
      </c>
      <c r="B2" s="28"/>
      <c r="C2" s="13"/>
      <c r="D2" s="21"/>
      <c r="E2" s="21"/>
      <c r="F2" s="3"/>
      <c r="G2" s="6"/>
      <c r="H2" s="3"/>
      <c r="I2" s="21">
        <v>0</v>
      </c>
    </row>
    <row r="3" spans="1:9" x14ac:dyDescent="0.25">
      <c r="A3" s="3"/>
      <c r="B3" s="28"/>
      <c r="C3" s="20"/>
      <c r="D3" s="21"/>
      <c r="E3" s="21"/>
      <c r="F3" s="5">
        <v>45559</v>
      </c>
      <c r="G3" s="6">
        <v>149976</v>
      </c>
      <c r="H3" s="3" t="s">
        <v>10</v>
      </c>
      <c r="I3" s="21">
        <f>I2-E3+G3</f>
        <v>149976</v>
      </c>
    </row>
    <row r="4" spans="1:9" x14ac:dyDescent="0.25">
      <c r="A4" s="5">
        <v>45569</v>
      </c>
      <c r="B4" s="28" t="s">
        <v>18</v>
      </c>
      <c r="C4" s="20">
        <v>6000</v>
      </c>
      <c r="D4" s="21">
        <v>24.995999999999999</v>
      </c>
      <c r="E4" s="21">
        <f>C4*D4</f>
        <v>149976</v>
      </c>
      <c r="F4" s="3"/>
      <c r="G4" s="6"/>
      <c r="H4" s="3"/>
      <c r="I4" s="21">
        <f t="shared" ref="I4:I29" si="0">I3-E4+G4</f>
        <v>0</v>
      </c>
    </row>
    <row r="5" spans="1:9" x14ac:dyDescent="0.25">
      <c r="A5" s="23" t="s">
        <v>12</v>
      </c>
      <c r="B5" s="34"/>
      <c r="C5" s="38"/>
      <c r="D5" s="36"/>
      <c r="E5" s="36"/>
      <c r="F5" s="23"/>
      <c r="G5" s="25"/>
      <c r="H5" s="23"/>
      <c r="I5" s="36">
        <f t="shared" si="0"/>
        <v>0</v>
      </c>
    </row>
    <row r="6" spans="1:9" x14ac:dyDescent="0.25">
      <c r="A6" s="3"/>
      <c r="B6" s="28"/>
      <c r="C6" s="20"/>
      <c r="D6" s="21"/>
      <c r="E6" s="21"/>
      <c r="F6" s="5">
        <v>45677</v>
      </c>
      <c r="G6" s="6">
        <v>55152</v>
      </c>
      <c r="H6" s="3" t="s">
        <v>10</v>
      </c>
      <c r="I6" s="21">
        <f t="shared" si="0"/>
        <v>55152</v>
      </c>
    </row>
    <row r="7" spans="1:9" s="14" customFormat="1" ht="31.5" x14ac:dyDescent="0.25">
      <c r="A7" s="12">
        <v>45686</v>
      </c>
      <c r="B7" s="28" t="s">
        <v>19</v>
      </c>
      <c r="C7" s="20">
        <v>3800</v>
      </c>
      <c r="D7" s="21">
        <v>13.788</v>
      </c>
      <c r="E7" s="21">
        <f>C7*D7</f>
        <v>52394.400000000001</v>
      </c>
      <c r="F7" s="13"/>
      <c r="G7" s="21"/>
      <c r="H7" s="13"/>
      <c r="I7" s="21">
        <f t="shared" si="0"/>
        <v>2757.5999999999985</v>
      </c>
    </row>
    <row r="8" spans="1:9" x14ac:dyDescent="0.25">
      <c r="A8" s="3"/>
      <c r="B8" s="28"/>
      <c r="C8" s="20"/>
      <c r="D8" s="21"/>
      <c r="E8" s="21"/>
      <c r="F8" s="32">
        <v>45698</v>
      </c>
      <c r="G8" s="6">
        <v>137880</v>
      </c>
      <c r="H8" s="3" t="s">
        <v>10</v>
      </c>
      <c r="I8" s="21">
        <f t="shared" si="0"/>
        <v>140637.6</v>
      </c>
    </row>
    <row r="9" spans="1:9" x14ac:dyDescent="0.25">
      <c r="A9" s="3"/>
      <c r="B9" s="28"/>
      <c r="C9" s="20"/>
      <c r="D9" s="21"/>
      <c r="E9" s="21"/>
      <c r="F9" s="5">
        <v>45701</v>
      </c>
      <c r="G9" s="33">
        <v>15261.6</v>
      </c>
      <c r="H9" s="3" t="s">
        <v>10</v>
      </c>
      <c r="I9" s="21">
        <f t="shared" si="0"/>
        <v>155899.20000000001</v>
      </c>
    </row>
    <row r="10" spans="1:9" x14ac:dyDescent="0.25">
      <c r="A10" s="3"/>
      <c r="B10" s="28"/>
      <c r="C10" s="20"/>
      <c r="D10" s="21"/>
      <c r="E10" s="21"/>
      <c r="F10" s="3"/>
      <c r="G10" s="33">
        <v>44910</v>
      </c>
      <c r="H10" s="3" t="s">
        <v>10</v>
      </c>
      <c r="I10" s="21">
        <f t="shared" si="0"/>
        <v>200809.2</v>
      </c>
    </row>
    <row r="11" spans="1:9" s="14" customFormat="1" ht="31.5" x14ac:dyDescent="0.25">
      <c r="A11" s="12">
        <v>45702</v>
      </c>
      <c r="B11" s="28" t="s">
        <v>19</v>
      </c>
      <c r="C11" s="20">
        <v>10000</v>
      </c>
      <c r="D11" s="21">
        <v>13.788</v>
      </c>
      <c r="E11" s="21">
        <f>C11*D11</f>
        <v>137880</v>
      </c>
      <c r="F11" s="13"/>
      <c r="G11" s="21"/>
      <c r="H11" s="13"/>
      <c r="I11" s="21">
        <f t="shared" si="0"/>
        <v>62929.200000000012</v>
      </c>
    </row>
    <row r="12" spans="1:9" x14ac:dyDescent="0.25">
      <c r="A12" s="3"/>
      <c r="B12" s="28"/>
      <c r="C12" s="20"/>
      <c r="D12" s="21"/>
      <c r="E12" s="21">
        <f t="shared" ref="E12:E14" si="1">C12*D12</f>
        <v>0</v>
      </c>
      <c r="F12" s="5">
        <v>45713</v>
      </c>
      <c r="G12" s="6">
        <v>466272</v>
      </c>
      <c r="H12" s="3" t="s">
        <v>10</v>
      </c>
      <c r="I12" s="21">
        <f t="shared" si="0"/>
        <v>529201.19999999995</v>
      </c>
    </row>
    <row r="13" spans="1:9" ht="25.5" x14ac:dyDescent="0.25">
      <c r="A13" s="56">
        <v>45718</v>
      </c>
      <c r="B13" s="57" t="s">
        <v>20</v>
      </c>
      <c r="C13" s="58">
        <v>1</v>
      </c>
      <c r="D13" s="55">
        <v>44910</v>
      </c>
      <c r="E13" s="55">
        <f t="shared" si="1"/>
        <v>44910</v>
      </c>
      <c r="F13" s="5"/>
      <c r="G13" s="6"/>
      <c r="H13" s="3"/>
      <c r="I13" s="21">
        <f t="shared" si="0"/>
        <v>484291.19999999995</v>
      </c>
    </row>
    <row r="14" spans="1:9" ht="25.5" x14ac:dyDescent="0.25">
      <c r="A14" s="59"/>
      <c r="B14" s="57" t="s">
        <v>21</v>
      </c>
      <c r="C14" s="58">
        <v>1</v>
      </c>
      <c r="D14" s="55">
        <v>15261.6</v>
      </c>
      <c r="E14" s="55">
        <f t="shared" si="1"/>
        <v>15261.6</v>
      </c>
      <c r="F14" s="5"/>
      <c r="G14" s="6"/>
      <c r="H14" s="3"/>
      <c r="I14" s="21">
        <f t="shared" si="0"/>
        <v>469029.6</v>
      </c>
    </row>
    <row r="15" spans="1:9" ht="31.5" x14ac:dyDescent="0.25">
      <c r="A15" s="5">
        <v>45720</v>
      </c>
      <c r="B15" s="28" t="s">
        <v>19</v>
      </c>
      <c r="C15" s="20">
        <v>5986</v>
      </c>
      <c r="D15" s="21">
        <v>13.788</v>
      </c>
      <c r="E15" s="21">
        <f>C15*D15</f>
        <v>82534.968000000008</v>
      </c>
      <c r="F15" s="3"/>
      <c r="G15" s="6"/>
      <c r="H15" s="3"/>
      <c r="I15" s="21">
        <f t="shared" si="0"/>
        <v>386494.63199999998</v>
      </c>
    </row>
    <row r="16" spans="1:9" ht="31.5" x14ac:dyDescent="0.25">
      <c r="A16" s="3"/>
      <c r="B16" s="28" t="s">
        <v>22</v>
      </c>
      <c r="C16" s="20">
        <v>9823</v>
      </c>
      <c r="D16" s="21">
        <v>25.776</v>
      </c>
      <c r="E16" s="21">
        <f t="shared" ref="E16:E17" si="2">C16*D16</f>
        <v>253197.64799999999</v>
      </c>
      <c r="F16" s="3"/>
      <c r="G16" s="6"/>
      <c r="H16" s="3"/>
      <c r="I16" s="21">
        <f t="shared" si="0"/>
        <v>133296.984</v>
      </c>
    </row>
    <row r="17" spans="1:9" ht="31.5" x14ac:dyDescent="0.25">
      <c r="A17" s="3"/>
      <c r="B17" s="28" t="s">
        <v>23</v>
      </c>
      <c r="C17" s="20">
        <v>2932</v>
      </c>
      <c r="D17" s="21">
        <v>24.744</v>
      </c>
      <c r="E17" s="21">
        <f t="shared" si="2"/>
        <v>72549.407999999996</v>
      </c>
      <c r="F17" s="3"/>
      <c r="G17" s="6"/>
      <c r="H17" s="3"/>
      <c r="I17" s="21">
        <f t="shared" si="0"/>
        <v>60747.576000000001</v>
      </c>
    </row>
    <row r="18" spans="1:9" x14ac:dyDescent="0.25">
      <c r="A18" s="5">
        <v>45742</v>
      </c>
      <c r="B18" s="28" t="s">
        <v>24</v>
      </c>
      <c r="C18" s="51">
        <v>0</v>
      </c>
      <c r="D18" s="52">
        <v>0</v>
      </c>
      <c r="E18" s="52">
        <v>0</v>
      </c>
      <c r="F18" s="3"/>
      <c r="G18" s="6"/>
      <c r="H18" s="3"/>
      <c r="I18" s="21">
        <f t="shared" si="0"/>
        <v>60747.576000000001</v>
      </c>
    </row>
    <row r="19" spans="1:9" x14ac:dyDescent="0.25">
      <c r="A19" s="23" t="s">
        <v>15</v>
      </c>
      <c r="B19" s="34"/>
      <c r="C19" s="38"/>
      <c r="D19" s="36"/>
      <c r="E19" s="36"/>
      <c r="F19" s="23"/>
      <c r="G19" s="25"/>
      <c r="H19" s="23"/>
      <c r="I19" s="36">
        <f t="shared" si="0"/>
        <v>60747.576000000001</v>
      </c>
    </row>
    <row r="20" spans="1:9" x14ac:dyDescent="0.25">
      <c r="A20" s="3"/>
      <c r="B20" s="28"/>
      <c r="C20" s="20"/>
      <c r="D20" s="21"/>
      <c r="E20" s="21"/>
      <c r="F20" s="5">
        <v>45763</v>
      </c>
      <c r="G20" s="6">
        <v>149976</v>
      </c>
      <c r="H20" s="3" t="s">
        <v>10</v>
      </c>
      <c r="I20" s="21">
        <f t="shared" si="0"/>
        <v>210723.576</v>
      </c>
    </row>
    <row r="21" spans="1:9" x14ac:dyDescent="0.25">
      <c r="A21" s="5">
        <v>45771</v>
      </c>
      <c r="B21" s="28" t="s">
        <v>25</v>
      </c>
      <c r="C21" s="20">
        <v>6005</v>
      </c>
      <c r="D21" s="21">
        <v>25</v>
      </c>
      <c r="E21" s="21">
        <f t="shared" ref="E21:E23" si="3">C21*D21</f>
        <v>150125</v>
      </c>
      <c r="F21" s="3"/>
      <c r="G21" s="6"/>
      <c r="H21" s="3"/>
      <c r="I21" s="21">
        <f t="shared" si="0"/>
        <v>60598.576000000001</v>
      </c>
    </row>
    <row r="22" spans="1:9" ht="31.5" x14ac:dyDescent="0.25">
      <c r="A22" s="3"/>
      <c r="B22" s="28" t="s">
        <v>22</v>
      </c>
      <c r="C22" s="20">
        <v>2000</v>
      </c>
      <c r="D22" s="21">
        <v>25.776</v>
      </c>
      <c r="E22" s="21">
        <f t="shared" si="3"/>
        <v>51552</v>
      </c>
      <c r="F22" s="3"/>
      <c r="G22" s="6"/>
      <c r="H22" s="3"/>
      <c r="I22" s="21">
        <f t="shared" si="0"/>
        <v>9046.5760000000009</v>
      </c>
    </row>
    <row r="23" spans="1:9" x14ac:dyDescent="0.25">
      <c r="A23" s="3" t="s">
        <v>59</v>
      </c>
      <c r="B23" s="28" t="s">
        <v>25</v>
      </c>
      <c r="C23" s="20">
        <v>1805</v>
      </c>
      <c r="D23" s="21">
        <v>24.995999999999999</v>
      </c>
      <c r="E23" s="21">
        <f t="shared" si="3"/>
        <v>45117.78</v>
      </c>
      <c r="F23" s="3"/>
      <c r="G23" s="6"/>
      <c r="H23" s="3"/>
      <c r="I23" s="21">
        <f t="shared" si="0"/>
        <v>-36071.203999999998</v>
      </c>
    </row>
    <row r="24" spans="1:9" ht="63" x14ac:dyDescent="0.25">
      <c r="A24" s="3" t="s">
        <v>74</v>
      </c>
      <c r="B24" s="28" t="s">
        <v>65</v>
      </c>
      <c r="C24" s="20">
        <v>9.9</v>
      </c>
      <c r="D24" s="21">
        <v>682</v>
      </c>
      <c r="E24" s="21">
        <f>C24*D24</f>
        <v>6751.8</v>
      </c>
      <c r="F24" s="3" t="s">
        <v>73</v>
      </c>
      <c r="G24" s="6">
        <v>245268</v>
      </c>
      <c r="H24" s="3"/>
      <c r="I24" s="21">
        <f t="shared" si="0"/>
        <v>202444.99599999998</v>
      </c>
    </row>
    <row r="25" spans="1:9" ht="63" x14ac:dyDescent="0.25">
      <c r="A25" s="3" t="s">
        <v>74</v>
      </c>
      <c r="B25" s="28" t="s">
        <v>75</v>
      </c>
      <c r="C25" s="20">
        <v>20</v>
      </c>
      <c r="D25" s="21">
        <v>692</v>
      </c>
      <c r="E25" s="21">
        <f>C25*D25</f>
        <v>13840</v>
      </c>
      <c r="F25" s="3"/>
      <c r="G25" s="6"/>
      <c r="H25" s="3"/>
      <c r="I25" s="21">
        <f t="shared" si="0"/>
        <v>188604.99599999998</v>
      </c>
    </row>
    <row r="26" spans="1:9" x14ac:dyDescent="0.25">
      <c r="A26" s="3" t="s">
        <v>74</v>
      </c>
      <c r="B26" s="28" t="s">
        <v>76</v>
      </c>
      <c r="C26" s="20">
        <v>660</v>
      </c>
      <c r="D26" s="21">
        <v>33</v>
      </c>
      <c r="E26" s="21">
        <f>C26*D26</f>
        <v>21780</v>
      </c>
      <c r="F26" s="3"/>
      <c r="G26" s="6"/>
      <c r="H26" s="3"/>
      <c r="I26" s="21">
        <f t="shared" si="0"/>
        <v>166824.99599999998</v>
      </c>
    </row>
    <row r="27" spans="1:9" x14ac:dyDescent="0.25">
      <c r="A27" s="3"/>
      <c r="B27" s="28"/>
      <c r="C27" s="20"/>
      <c r="D27" s="21"/>
      <c r="E27" s="21"/>
      <c r="F27" s="3"/>
      <c r="G27" s="6"/>
      <c r="H27" s="3"/>
      <c r="I27" s="21">
        <f t="shared" si="0"/>
        <v>166824.99599999998</v>
      </c>
    </row>
    <row r="28" spans="1:9" x14ac:dyDescent="0.25">
      <c r="A28" s="3"/>
      <c r="B28" s="28"/>
      <c r="C28" s="20"/>
      <c r="D28" s="21"/>
      <c r="E28" s="21"/>
      <c r="F28" s="3"/>
      <c r="G28" s="6"/>
      <c r="H28" s="3"/>
      <c r="I28" s="21">
        <f t="shared" si="0"/>
        <v>166824.99599999998</v>
      </c>
    </row>
    <row r="29" spans="1:9" x14ac:dyDescent="0.25">
      <c r="A29" s="3"/>
      <c r="B29" s="28"/>
      <c r="C29" s="20"/>
      <c r="D29" s="21"/>
      <c r="E29" s="21"/>
      <c r="F29" s="3"/>
      <c r="G29" s="6"/>
      <c r="H29" s="3"/>
      <c r="I29" s="21">
        <f t="shared" si="0"/>
        <v>166824.99599999998</v>
      </c>
    </row>
    <row r="30" spans="1:9" x14ac:dyDescent="0.25">
      <c r="E30" s="37">
        <f>SUM(E3:E27)</f>
        <v>1097870.6040000001</v>
      </c>
      <c r="G30" s="7">
        <f>SUM(G2:G28)</f>
        <v>1264695.6000000001</v>
      </c>
      <c r="I30" s="37">
        <f>G30-E30</f>
        <v>166824.99600000004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1"/>
  <sheetViews>
    <sheetView workbookViewId="0">
      <pane ySplit="1" topLeftCell="A2" activePane="bottomLeft" state="frozen"/>
      <selection pane="bottomLeft" activeCell="C1" sqref="C1:C1048576"/>
    </sheetView>
  </sheetViews>
  <sheetFormatPr defaultColWidth="8.85546875" defaultRowHeight="15.75" x14ac:dyDescent="0.25"/>
  <cols>
    <col min="1" max="1" width="11.140625" style="1" customWidth="1"/>
    <col min="2" max="2" width="23.28515625" style="1" customWidth="1"/>
    <col min="3" max="3" width="8.85546875" style="1"/>
    <col min="4" max="4" width="10.42578125" style="7" bestFit="1" customWidth="1"/>
    <col min="5" max="5" width="12.710937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17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22" t="s">
        <v>12</v>
      </c>
      <c r="B2" s="3"/>
      <c r="C2" s="3"/>
      <c r="D2" s="6"/>
      <c r="E2" s="6"/>
      <c r="F2" s="3"/>
      <c r="G2" s="6"/>
      <c r="H2" s="3"/>
      <c r="I2" s="6">
        <v>0</v>
      </c>
    </row>
    <row r="3" spans="1:9" x14ac:dyDescent="0.25">
      <c r="A3" s="3"/>
      <c r="B3" s="3"/>
      <c r="C3" s="8"/>
      <c r="D3" s="6"/>
      <c r="E3" s="6">
        <f>C3*D3</f>
        <v>0</v>
      </c>
      <c r="F3" s="5">
        <v>45700</v>
      </c>
      <c r="G3" s="6">
        <v>105200</v>
      </c>
      <c r="H3" s="3" t="s">
        <v>10</v>
      </c>
      <c r="I3" s="6">
        <f>I2-E3+G3</f>
        <v>105200</v>
      </c>
    </row>
    <row r="4" spans="1:9" x14ac:dyDescent="0.25">
      <c r="A4" s="5"/>
      <c r="B4" s="3"/>
      <c r="C4" s="8"/>
      <c r="D4" s="6"/>
      <c r="E4" s="6">
        <f t="shared" ref="E4:E21" si="0">C4*D4</f>
        <v>0</v>
      </c>
      <c r="F4" s="5">
        <v>45730</v>
      </c>
      <c r="G4" s="6">
        <v>103200</v>
      </c>
      <c r="H4" s="3" t="s">
        <v>10</v>
      </c>
      <c r="I4" s="6">
        <f t="shared" ref="I4:I21" si="1">I3-E4+G4</f>
        <v>208400</v>
      </c>
    </row>
    <row r="5" spans="1:9" x14ac:dyDescent="0.25">
      <c r="A5" s="32">
        <v>45701</v>
      </c>
      <c r="B5" s="23" t="s">
        <v>26</v>
      </c>
      <c r="C5" s="24">
        <v>100</v>
      </c>
      <c r="D5" s="25">
        <v>1052</v>
      </c>
      <c r="E5" s="25">
        <f t="shared" si="0"/>
        <v>105200</v>
      </c>
      <c r="F5" s="3"/>
      <c r="G5" s="6"/>
      <c r="H5" s="3"/>
      <c r="I5" s="6">
        <f t="shared" si="1"/>
        <v>103200</v>
      </c>
    </row>
    <row r="6" spans="1:9" x14ac:dyDescent="0.25">
      <c r="A6" s="32">
        <v>45734</v>
      </c>
      <c r="B6" s="23" t="s">
        <v>26</v>
      </c>
      <c r="C6" s="24">
        <v>100</v>
      </c>
      <c r="D6" s="25">
        <v>1032</v>
      </c>
      <c r="E6" s="25">
        <f t="shared" si="0"/>
        <v>103200</v>
      </c>
      <c r="F6" s="5"/>
      <c r="G6" s="6"/>
      <c r="H6" s="3"/>
      <c r="I6" s="6">
        <f t="shared" si="1"/>
        <v>0</v>
      </c>
    </row>
    <row r="7" spans="1:9" s="14" customFormat="1" x14ac:dyDescent="0.25">
      <c r="A7" s="12"/>
      <c r="B7" s="28"/>
      <c r="C7" s="20"/>
      <c r="D7" s="21"/>
      <c r="E7" s="6">
        <f t="shared" si="0"/>
        <v>0</v>
      </c>
      <c r="F7" s="13"/>
      <c r="G7" s="21"/>
      <c r="H7" s="13"/>
      <c r="I7" s="21">
        <f t="shared" si="1"/>
        <v>0</v>
      </c>
    </row>
    <row r="8" spans="1:9" x14ac:dyDescent="0.25">
      <c r="A8" s="3"/>
      <c r="B8" s="3"/>
      <c r="C8" s="8"/>
      <c r="D8" s="6"/>
      <c r="E8" s="6">
        <f t="shared" si="0"/>
        <v>0</v>
      </c>
      <c r="F8" s="5"/>
      <c r="G8" s="6"/>
      <c r="H8" s="3"/>
      <c r="I8" s="6">
        <f t="shared" si="1"/>
        <v>0</v>
      </c>
    </row>
    <row r="9" spans="1:9" x14ac:dyDescent="0.25">
      <c r="A9" s="3"/>
      <c r="B9" s="3"/>
      <c r="C9" s="8"/>
      <c r="D9" s="6"/>
      <c r="E9" s="6">
        <f t="shared" si="0"/>
        <v>0</v>
      </c>
      <c r="F9" s="3"/>
      <c r="G9" s="6"/>
      <c r="H9" s="3"/>
      <c r="I9" s="6">
        <f t="shared" si="1"/>
        <v>0</v>
      </c>
    </row>
    <row r="10" spans="1:9" x14ac:dyDescent="0.25">
      <c r="A10" s="3"/>
      <c r="B10" s="3"/>
      <c r="C10" s="8"/>
      <c r="D10" s="6"/>
      <c r="E10" s="6">
        <f t="shared" si="0"/>
        <v>0</v>
      </c>
      <c r="F10" s="3"/>
      <c r="G10" s="6"/>
      <c r="H10" s="3"/>
      <c r="I10" s="6">
        <f t="shared" si="1"/>
        <v>0</v>
      </c>
    </row>
    <row r="11" spans="1:9" x14ac:dyDescent="0.25">
      <c r="A11" s="3"/>
      <c r="B11" s="3"/>
      <c r="C11" s="8"/>
      <c r="D11" s="6"/>
      <c r="E11" s="6">
        <f t="shared" si="0"/>
        <v>0</v>
      </c>
      <c r="F11" s="3"/>
      <c r="G11" s="6"/>
      <c r="H11" s="3"/>
      <c r="I11" s="6">
        <f t="shared" si="1"/>
        <v>0</v>
      </c>
    </row>
    <row r="12" spans="1:9" x14ac:dyDescent="0.25">
      <c r="A12" s="3"/>
      <c r="B12" s="3"/>
      <c r="C12" s="8"/>
      <c r="D12" s="6"/>
      <c r="E12" s="6">
        <f t="shared" si="0"/>
        <v>0</v>
      </c>
      <c r="F12" s="3"/>
      <c r="G12" s="6"/>
      <c r="H12" s="3"/>
      <c r="I12" s="6">
        <f t="shared" si="1"/>
        <v>0</v>
      </c>
    </row>
    <row r="13" spans="1:9" x14ac:dyDescent="0.25">
      <c r="A13" s="3"/>
      <c r="B13" s="3"/>
      <c r="C13" s="8"/>
      <c r="D13" s="6"/>
      <c r="E13" s="6">
        <f t="shared" si="0"/>
        <v>0</v>
      </c>
      <c r="F13" s="3"/>
      <c r="G13" s="6"/>
      <c r="H13" s="3"/>
      <c r="I13" s="6">
        <f t="shared" si="1"/>
        <v>0</v>
      </c>
    </row>
    <row r="14" spans="1:9" x14ac:dyDescent="0.25">
      <c r="A14" s="3"/>
      <c r="B14" s="3"/>
      <c r="C14" s="8"/>
      <c r="D14" s="6"/>
      <c r="E14" s="6">
        <f t="shared" si="0"/>
        <v>0</v>
      </c>
      <c r="F14" s="3"/>
      <c r="G14" s="6"/>
      <c r="H14" s="3"/>
      <c r="I14" s="6">
        <f t="shared" si="1"/>
        <v>0</v>
      </c>
    </row>
    <row r="15" spans="1:9" x14ac:dyDescent="0.25">
      <c r="A15" s="3"/>
      <c r="B15" s="3"/>
      <c r="C15" s="8"/>
      <c r="D15" s="6"/>
      <c r="E15" s="6">
        <f t="shared" si="0"/>
        <v>0</v>
      </c>
      <c r="F15" s="3"/>
      <c r="G15" s="6"/>
      <c r="H15" s="3"/>
      <c r="I15" s="6">
        <f t="shared" si="1"/>
        <v>0</v>
      </c>
    </row>
    <row r="16" spans="1:9" x14ac:dyDescent="0.25">
      <c r="A16" s="3"/>
      <c r="B16" s="3"/>
      <c r="C16" s="8"/>
      <c r="D16" s="6"/>
      <c r="E16" s="6">
        <f t="shared" si="0"/>
        <v>0</v>
      </c>
      <c r="F16" s="3"/>
      <c r="G16" s="6"/>
      <c r="H16" s="3"/>
      <c r="I16" s="6">
        <f t="shared" si="1"/>
        <v>0</v>
      </c>
    </row>
    <row r="17" spans="1:9" x14ac:dyDescent="0.25">
      <c r="A17" s="3"/>
      <c r="B17" s="3"/>
      <c r="C17" s="8"/>
      <c r="D17" s="6"/>
      <c r="E17" s="6">
        <f t="shared" si="0"/>
        <v>0</v>
      </c>
      <c r="F17" s="3"/>
      <c r="G17" s="6"/>
      <c r="H17" s="3"/>
      <c r="I17" s="6">
        <f t="shared" si="1"/>
        <v>0</v>
      </c>
    </row>
    <row r="18" spans="1:9" x14ac:dyDescent="0.25">
      <c r="A18" s="3"/>
      <c r="B18" s="3"/>
      <c r="C18" s="8"/>
      <c r="D18" s="6"/>
      <c r="E18" s="6">
        <f t="shared" si="0"/>
        <v>0</v>
      </c>
      <c r="F18" s="3"/>
      <c r="G18" s="6"/>
      <c r="H18" s="3"/>
      <c r="I18" s="6">
        <f t="shared" si="1"/>
        <v>0</v>
      </c>
    </row>
    <row r="19" spans="1:9" x14ac:dyDescent="0.25">
      <c r="A19" s="3"/>
      <c r="B19" s="3"/>
      <c r="C19" s="8"/>
      <c r="D19" s="6"/>
      <c r="E19" s="6">
        <f t="shared" si="0"/>
        <v>0</v>
      </c>
      <c r="F19" s="3"/>
      <c r="G19" s="6"/>
      <c r="H19" s="3"/>
      <c r="I19" s="6">
        <f t="shared" si="1"/>
        <v>0</v>
      </c>
    </row>
    <row r="20" spans="1:9" x14ac:dyDescent="0.25">
      <c r="A20" s="3"/>
      <c r="B20" s="3"/>
      <c r="C20" s="8"/>
      <c r="D20" s="6"/>
      <c r="E20" s="6">
        <f t="shared" si="0"/>
        <v>0</v>
      </c>
      <c r="F20" s="3"/>
      <c r="G20" s="6"/>
      <c r="H20" s="3"/>
      <c r="I20" s="6">
        <f t="shared" si="1"/>
        <v>0</v>
      </c>
    </row>
    <row r="21" spans="1:9" x14ac:dyDescent="0.25">
      <c r="A21" s="3"/>
      <c r="B21" s="3"/>
      <c r="C21" s="8"/>
      <c r="D21" s="6"/>
      <c r="E21" s="6">
        <f t="shared" si="0"/>
        <v>0</v>
      </c>
      <c r="F21" s="3"/>
      <c r="G21" s="6"/>
      <c r="H21" s="3"/>
      <c r="I21" s="6">
        <f t="shared" si="1"/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1"/>
  <sheetViews>
    <sheetView workbookViewId="0">
      <pane ySplit="1" topLeftCell="A2" activePane="bottomLeft" state="frozen"/>
      <selection pane="bottomLeft" activeCell="B27" sqref="B27"/>
    </sheetView>
  </sheetViews>
  <sheetFormatPr defaultColWidth="8.85546875" defaultRowHeight="15.75" x14ac:dyDescent="0.25"/>
  <cols>
    <col min="1" max="1" width="11.140625" style="1" customWidth="1"/>
    <col min="2" max="2" width="25" style="1" customWidth="1"/>
    <col min="3" max="3" width="9.28515625" style="1" bestFit="1" customWidth="1"/>
    <col min="4" max="4" width="11.5703125" style="7" bestFit="1" customWidth="1"/>
    <col min="5" max="5" width="12.710937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17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4" t="s">
        <v>9</v>
      </c>
      <c r="B2" s="3"/>
      <c r="C2" s="3"/>
      <c r="D2" s="6"/>
      <c r="E2" s="6"/>
      <c r="F2" s="3"/>
      <c r="G2" s="6"/>
      <c r="H2" s="3"/>
      <c r="I2" s="6">
        <v>0</v>
      </c>
    </row>
    <row r="3" spans="1:9" x14ac:dyDescent="0.25">
      <c r="A3" s="3"/>
      <c r="B3" s="3"/>
      <c r="C3" s="3"/>
      <c r="D3" s="6"/>
      <c r="E3" s="6"/>
      <c r="F3" s="5">
        <v>45538</v>
      </c>
      <c r="G3" s="6">
        <v>316000</v>
      </c>
      <c r="H3" s="3" t="s">
        <v>10</v>
      </c>
      <c r="I3" s="6">
        <f>I2-E3+G3</f>
        <v>316000</v>
      </c>
    </row>
    <row r="4" spans="1:9" x14ac:dyDescent="0.25">
      <c r="A4" s="5">
        <v>45562</v>
      </c>
      <c r="B4" s="3" t="s">
        <v>27</v>
      </c>
      <c r="C4" s="3">
        <v>17435</v>
      </c>
      <c r="D4" s="6">
        <v>17.399999999999999</v>
      </c>
      <c r="E4" s="6">
        <f>C4*D4</f>
        <v>303369</v>
      </c>
      <c r="F4" s="3"/>
      <c r="G4" s="6"/>
      <c r="H4" s="3"/>
      <c r="I4" s="6">
        <f t="shared" ref="I4:I21" si="0">I3-E4+G4</f>
        <v>12631</v>
      </c>
    </row>
    <row r="5" spans="1:9" x14ac:dyDescent="0.25">
      <c r="A5" s="3"/>
      <c r="B5" s="3" t="s">
        <v>28</v>
      </c>
      <c r="C5" s="3">
        <v>1</v>
      </c>
      <c r="D5" s="6">
        <v>41300</v>
      </c>
      <c r="E5" s="6">
        <f>C5*D5</f>
        <v>41300</v>
      </c>
      <c r="F5" s="3"/>
      <c r="G5" s="6"/>
      <c r="H5" s="3"/>
      <c r="I5" s="6">
        <f t="shared" si="0"/>
        <v>-28669</v>
      </c>
    </row>
    <row r="6" spans="1:9" x14ac:dyDescent="0.25">
      <c r="A6" s="3"/>
      <c r="B6" s="3" t="s">
        <v>29</v>
      </c>
      <c r="C6" s="3">
        <v>1</v>
      </c>
      <c r="D6" s="6">
        <v>13700</v>
      </c>
      <c r="E6" s="6">
        <f>C6*D6</f>
        <v>13700</v>
      </c>
      <c r="F6" s="3"/>
      <c r="G6" s="6"/>
      <c r="H6" s="3"/>
      <c r="I6" s="6">
        <f t="shared" si="0"/>
        <v>-42369</v>
      </c>
    </row>
    <row r="7" spans="1:9" x14ac:dyDescent="0.25">
      <c r="A7" s="3"/>
      <c r="B7" s="3"/>
      <c r="C7" s="3"/>
      <c r="D7" s="6"/>
      <c r="E7" s="6"/>
      <c r="F7" s="5">
        <v>45587</v>
      </c>
      <c r="G7" s="6">
        <v>42369</v>
      </c>
      <c r="H7" s="3"/>
      <c r="I7" s="6">
        <f t="shared" si="0"/>
        <v>0</v>
      </c>
    </row>
    <row r="8" spans="1:9" x14ac:dyDescent="0.25">
      <c r="A8" s="3"/>
      <c r="B8" s="3"/>
      <c r="C8" s="3"/>
      <c r="D8" s="6"/>
      <c r="E8" s="6"/>
      <c r="F8" s="3"/>
      <c r="G8" s="6"/>
      <c r="H8" s="3"/>
      <c r="I8" s="6">
        <f t="shared" si="0"/>
        <v>0</v>
      </c>
    </row>
    <row r="9" spans="1:9" x14ac:dyDescent="0.25">
      <c r="A9" s="3"/>
      <c r="B9" s="3"/>
      <c r="C9" s="3"/>
      <c r="D9" s="6"/>
      <c r="E9" s="6"/>
      <c r="F9" s="3"/>
      <c r="G9" s="6"/>
      <c r="H9" s="3"/>
      <c r="I9" s="6">
        <f t="shared" si="0"/>
        <v>0</v>
      </c>
    </row>
    <row r="10" spans="1:9" x14ac:dyDescent="0.25">
      <c r="A10" s="3"/>
      <c r="B10" s="3"/>
      <c r="C10" s="3"/>
      <c r="D10" s="6"/>
      <c r="E10" s="6"/>
      <c r="F10" s="3"/>
      <c r="G10" s="6"/>
      <c r="H10" s="3"/>
      <c r="I10" s="6">
        <f t="shared" si="0"/>
        <v>0</v>
      </c>
    </row>
    <row r="11" spans="1:9" x14ac:dyDescent="0.25">
      <c r="A11" s="3"/>
      <c r="B11" s="3"/>
      <c r="C11" s="3"/>
      <c r="D11" s="6"/>
      <c r="E11" s="6"/>
      <c r="F11" s="3"/>
      <c r="G11" s="6"/>
      <c r="H11" s="3"/>
      <c r="I11" s="6">
        <f t="shared" si="0"/>
        <v>0</v>
      </c>
    </row>
    <row r="12" spans="1:9" x14ac:dyDescent="0.25">
      <c r="A12" s="3"/>
      <c r="B12" s="3"/>
      <c r="C12" s="3"/>
      <c r="D12" s="6"/>
      <c r="E12" s="6"/>
      <c r="F12" s="3"/>
      <c r="G12" s="6"/>
      <c r="H12" s="3"/>
      <c r="I12" s="6">
        <f t="shared" si="0"/>
        <v>0</v>
      </c>
    </row>
    <row r="13" spans="1:9" x14ac:dyDescent="0.25">
      <c r="A13" s="3"/>
      <c r="B13" s="3"/>
      <c r="C13" s="3"/>
      <c r="D13" s="6"/>
      <c r="E13" s="6"/>
      <c r="F13" s="3"/>
      <c r="G13" s="6"/>
      <c r="H13" s="3"/>
      <c r="I13" s="6">
        <f t="shared" si="0"/>
        <v>0</v>
      </c>
    </row>
    <row r="14" spans="1:9" x14ac:dyDescent="0.25">
      <c r="A14" s="3"/>
      <c r="B14" s="3"/>
      <c r="C14" s="8"/>
      <c r="D14" s="6"/>
      <c r="E14" s="6"/>
      <c r="F14" s="3"/>
      <c r="G14" s="6"/>
      <c r="H14" s="3"/>
      <c r="I14" s="6">
        <f t="shared" si="0"/>
        <v>0</v>
      </c>
    </row>
    <row r="15" spans="1:9" x14ac:dyDescent="0.25">
      <c r="A15" s="3"/>
      <c r="B15" s="3"/>
      <c r="C15" s="8"/>
      <c r="D15" s="6"/>
      <c r="E15" s="6"/>
      <c r="F15" s="3"/>
      <c r="G15" s="6"/>
      <c r="H15" s="3"/>
      <c r="I15" s="6">
        <f t="shared" si="0"/>
        <v>0</v>
      </c>
    </row>
    <row r="16" spans="1:9" x14ac:dyDescent="0.25">
      <c r="A16" s="3"/>
      <c r="B16" s="3"/>
      <c r="C16" s="8"/>
      <c r="D16" s="6"/>
      <c r="E16" s="6"/>
      <c r="F16" s="3"/>
      <c r="G16" s="6"/>
      <c r="H16" s="3"/>
      <c r="I16" s="6">
        <f t="shared" si="0"/>
        <v>0</v>
      </c>
    </row>
    <row r="17" spans="1:9" x14ac:dyDescent="0.25">
      <c r="A17" s="3"/>
      <c r="B17" s="3"/>
      <c r="C17" s="8"/>
      <c r="D17" s="6"/>
      <c r="E17" s="6"/>
      <c r="F17" s="3"/>
      <c r="G17" s="6"/>
      <c r="H17" s="3"/>
      <c r="I17" s="6">
        <f t="shared" si="0"/>
        <v>0</v>
      </c>
    </row>
    <row r="18" spans="1:9" x14ac:dyDescent="0.25">
      <c r="A18" s="3"/>
      <c r="B18" s="3"/>
      <c r="C18" s="8"/>
      <c r="D18" s="6"/>
      <c r="E18" s="6"/>
      <c r="F18" s="3"/>
      <c r="G18" s="6"/>
      <c r="H18" s="3"/>
      <c r="I18" s="6">
        <f t="shared" si="0"/>
        <v>0</v>
      </c>
    </row>
    <row r="19" spans="1:9" x14ac:dyDescent="0.25">
      <c r="A19" s="3"/>
      <c r="B19" s="3"/>
      <c r="C19" s="8"/>
      <c r="D19" s="6"/>
      <c r="E19" s="6"/>
      <c r="F19" s="3"/>
      <c r="G19" s="6"/>
      <c r="H19" s="3"/>
      <c r="I19" s="6">
        <f t="shared" si="0"/>
        <v>0</v>
      </c>
    </row>
    <row r="20" spans="1:9" x14ac:dyDescent="0.25">
      <c r="A20" s="3"/>
      <c r="B20" s="3"/>
      <c r="C20" s="8"/>
      <c r="D20" s="6"/>
      <c r="E20" s="6"/>
      <c r="F20" s="3"/>
      <c r="G20" s="6"/>
      <c r="H20" s="3"/>
      <c r="I20" s="6">
        <f t="shared" si="0"/>
        <v>0</v>
      </c>
    </row>
    <row r="21" spans="1:9" x14ac:dyDescent="0.25">
      <c r="A21" s="3"/>
      <c r="B21" s="3"/>
      <c r="C21" s="8"/>
      <c r="D21" s="6"/>
      <c r="E21" s="6"/>
      <c r="F21" s="3"/>
      <c r="G21" s="6"/>
      <c r="H21" s="3"/>
      <c r="I21" s="6">
        <f t="shared" si="0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1"/>
  <sheetViews>
    <sheetView workbookViewId="0">
      <pane ySplit="1" topLeftCell="A2" activePane="bottomLeft" state="frozen"/>
      <selection pane="bottomLeft" activeCell="G28" sqref="G28"/>
    </sheetView>
  </sheetViews>
  <sheetFormatPr defaultColWidth="8.85546875" defaultRowHeight="15.75" x14ac:dyDescent="0.25"/>
  <cols>
    <col min="1" max="1" width="11.140625" style="1" customWidth="1"/>
    <col min="2" max="2" width="50.7109375" style="1" customWidth="1"/>
    <col min="3" max="3" width="9.28515625" style="1" bestFit="1" customWidth="1"/>
    <col min="4" max="4" width="12.7109375" style="7" customWidth="1"/>
    <col min="5" max="5" width="12.710937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17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22" t="s">
        <v>12</v>
      </c>
      <c r="B2" s="3"/>
      <c r="C2" s="3"/>
      <c r="D2" s="6"/>
      <c r="E2" s="6"/>
      <c r="F2" s="3"/>
      <c r="G2" s="6"/>
      <c r="H2" s="3"/>
      <c r="I2" s="6">
        <v>0</v>
      </c>
    </row>
    <row r="3" spans="1:9" x14ac:dyDescent="0.25">
      <c r="A3" s="3"/>
      <c r="B3" s="3"/>
      <c r="C3" s="3"/>
      <c r="D3" s="6"/>
      <c r="E3" s="6"/>
      <c r="F3" s="5">
        <v>45695</v>
      </c>
      <c r="G3" s="6">
        <v>1547000</v>
      </c>
      <c r="H3" s="3" t="s">
        <v>10</v>
      </c>
      <c r="I3" s="6">
        <f>I2-E3+G3</f>
        <v>1547000</v>
      </c>
    </row>
    <row r="4" spans="1:9" x14ac:dyDescent="0.25">
      <c r="A4" s="5">
        <v>45715</v>
      </c>
      <c r="B4" s="3" t="s">
        <v>30</v>
      </c>
      <c r="C4" s="3">
        <v>995.54</v>
      </c>
      <c r="D4" s="6">
        <v>715</v>
      </c>
      <c r="E4" s="6">
        <f>C4*D4</f>
        <v>711811.1</v>
      </c>
      <c r="F4" s="3"/>
      <c r="G4" s="6"/>
      <c r="H4" s="3"/>
      <c r="I4" s="6">
        <f t="shared" ref="I4:I21" si="0">I3-E4+G4</f>
        <v>835188.9</v>
      </c>
    </row>
    <row r="5" spans="1:9" x14ac:dyDescent="0.25">
      <c r="A5" s="3"/>
      <c r="B5" s="3" t="s">
        <v>31</v>
      </c>
      <c r="C5" s="3">
        <v>363.24</v>
      </c>
      <c r="D5" s="6">
        <v>850</v>
      </c>
      <c r="E5" s="6">
        <f>C5*D5</f>
        <v>308754</v>
      </c>
      <c r="F5" s="3"/>
      <c r="G5" s="6"/>
      <c r="H5" s="3"/>
      <c r="I5" s="6">
        <f t="shared" si="0"/>
        <v>526434.9</v>
      </c>
    </row>
    <row r="6" spans="1:9" x14ac:dyDescent="0.25">
      <c r="A6" s="3"/>
      <c r="B6" s="3" t="s">
        <v>32</v>
      </c>
      <c r="C6" s="3">
        <v>374.12</v>
      </c>
      <c r="D6" s="6">
        <v>850</v>
      </c>
      <c r="E6" s="6">
        <f>C6*D6</f>
        <v>318002</v>
      </c>
      <c r="F6" s="3"/>
      <c r="G6" s="6"/>
      <c r="H6" s="3"/>
      <c r="I6" s="6">
        <f t="shared" si="0"/>
        <v>208432.90000000002</v>
      </c>
    </row>
    <row r="7" spans="1:9" x14ac:dyDescent="0.25">
      <c r="A7" s="3"/>
      <c r="B7" s="3" t="s">
        <v>33</v>
      </c>
      <c r="C7" s="3">
        <v>1</v>
      </c>
      <c r="D7" s="6">
        <v>79000</v>
      </c>
      <c r="E7" s="6">
        <f t="shared" ref="E7:E9" si="1">C7*D7</f>
        <v>79000</v>
      </c>
      <c r="F7" s="5"/>
      <c r="G7" s="6"/>
      <c r="H7" s="3"/>
      <c r="I7" s="6">
        <f t="shared" si="0"/>
        <v>129432.90000000002</v>
      </c>
    </row>
    <row r="8" spans="1:9" x14ac:dyDescent="0.25">
      <c r="A8" s="3"/>
      <c r="B8" s="3" t="s">
        <v>33</v>
      </c>
      <c r="C8" s="3">
        <v>1</v>
      </c>
      <c r="D8" s="6">
        <v>79000</v>
      </c>
      <c r="E8" s="6">
        <f t="shared" si="1"/>
        <v>79000</v>
      </c>
      <c r="F8" s="3"/>
      <c r="G8" s="6"/>
      <c r="H8" s="3"/>
      <c r="I8" s="6">
        <f t="shared" si="0"/>
        <v>50432.900000000023</v>
      </c>
    </row>
    <row r="9" spans="1:9" x14ac:dyDescent="0.25">
      <c r="A9" s="3"/>
      <c r="B9" s="3" t="s">
        <v>33</v>
      </c>
      <c r="C9" s="3">
        <v>1</v>
      </c>
      <c r="D9" s="6">
        <v>79000</v>
      </c>
      <c r="E9" s="6">
        <f t="shared" si="1"/>
        <v>79000</v>
      </c>
      <c r="F9" s="3"/>
      <c r="G9" s="6"/>
      <c r="H9" s="3"/>
      <c r="I9" s="6">
        <f t="shared" si="0"/>
        <v>-28567.099999999977</v>
      </c>
    </row>
    <row r="10" spans="1:9" x14ac:dyDescent="0.25">
      <c r="A10" s="3"/>
      <c r="B10" s="3"/>
      <c r="C10" s="3"/>
      <c r="D10" s="6"/>
      <c r="E10" s="6"/>
      <c r="F10" s="3"/>
      <c r="G10" s="6">
        <v>28567.1</v>
      </c>
      <c r="H10" s="3"/>
      <c r="I10" s="6">
        <f t="shared" si="0"/>
        <v>0</v>
      </c>
    </row>
    <row r="11" spans="1:9" x14ac:dyDescent="0.25">
      <c r="A11" s="23"/>
      <c r="B11" s="23"/>
      <c r="C11" s="23"/>
      <c r="D11" s="25"/>
      <c r="E11" s="25"/>
      <c r="F11" s="23"/>
      <c r="G11" s="25"/>
      <c r="H11" s="23"/>
      <c r="I11" s="25">
        <f t="shared" si="0"/>
        <v>0</v>
      </c>
    </row>
    <row r="12" spans="1:9" x14ac:dyDescent="0.25">
      <c r="A12" s="5">
        <v>45761</v>
      </c>
      <c r="B12" s="3"/>
      <c r="C12" s="3"/>
      <c r="D12" s="6"/>
      <c r="E12" s="6"/>
      <c r="F12" s="3"/>
      <c r="G12" s="6">
        <v>276400</v>
      </c>
      <c r="H12" s="3"/>
      <c r="I12" s="6">
        <f t="shared" si="0"/>
        <v>276400</v>
      </c>
    </row>
    <row r="13" spans="1:9" x14ac:dyDescent="0.25">
      <c r="A13" s="3"/>
      <c r="B13" s="3"/>
      <c r="C13" s="3"/>
      <c r="D13" s="6"/>
      <c r="E13" s="6"/>
      <c r="F13" s="5">
        <v>45769</v>
      </c>
      <c r="G13" s="6">
        <v>448200</v>
      </c>
      <c r="H13" s="3"/>
      <c r="I13" s="6">
        <f t="shared" si="0"/>
        <v>724600</v>
      </c>
    </row>
    <row r="14" spans="1:9" x14ac:dyDescent="0.25">
      <c r="A14" s="3" t="s">
        <v>59</v>
      </c>
      <c r="B14" s="3" t="s">
        <v>31</v>
      </c>
      <c r="C14" s="8">
        <v>88.6</v>
      </c>
      <c r="D14" s="6">
        <v>850</v>
      </c>
      <c r="E14" s="6">
        <f>C14*D14</f>
        <v>75310</v>
      </c>
      <c r="F14" s="3"/>
      <c r="G14" s="6"/>
      <c r="H14" s="3"/>
      <c r="I14" s="6">
        <f t="shared" si="0"/>
        <v>649290</v>
      </c>
    </row>
    <row r="15" spans="1:9" x14ac:dyDescent="0.25">
      <c r="A15" s="3"/>
      <c r="B15" s="3" t="s">
        <v>60</v>
      </c>
      <c r="C15" s="8">
        <v>48.76</v>
      </c>
      <c r="D15" s="6">
        <v>850</v>
      </c>
      <c r="E15" s="6">
        <f t="shared" ref="E15:E21" si="2">C15*D15</f>
        <v>41446</v>
      </c>
      <c r="F15" s="3"/>
      <c r="G15" s="6"/>
      <c r="H15" s="3"/>
      <c r="I15" s="6">
        <f t="shared" si="0"/>
        <v>607844</v>
      </c>
    </row>
    <row r="16" spans="1:9" x14ac:dyDescent="0.25">
      <c r="A16" s="3" t="s">
        <v>69</v>
      </c>
      <c r="B16" s="3" t="s">
        <v>68</v>
      </c>
      <c r="C16" s="8">
        <v>16.2</v>
      </c>
      <c r="D16" s="6">
        <v>715</v>
      </c>
      <c r="E16" s="6">
        <f t="shared" si="2"/>
        <v>11583</v>
      </c>
      <c r="F16" s="3"/>
      <c r="G16" s="6"/>
      <c r="H16" s="3"/>
      <c r="I16" s="6">
        <f t="shared" si="0"/>
        <v>596261</v>
      </c>
    </row>
    <row r="17" spans="1:9" x14ac:dyDescent="0.25">
      <c r="A17" s="3"/>
      <c r="B17" s="3" t="s">
        <v>70</v>
      </c>
      <c r="C17" s="8">
        <v>9.24</v>
      </c>
      <c r="D17" s="6">
        <v>850</v>
      </c>
      <c r="E17" s="6">
        <f t="shared" si="2"/>
        <v>7854</v>
      </c>
      <c r="F17" s="3"/>
      <c r="G17" s="6"/>
      <c r="H17" s="3"/>
      <c r="I17" s="6">
        <f t="shared" si="0"/>
        <v>588407</v>
      </c>
    </row>
    <row r="18" spans="1:9" x14ac:dyDescent="0.25">
      <c r="A18" s="3"/>
      <c r="B18" s="3" t="s">
        <v>60</v>
      </c>
      <c r="C18" s="8">
        <v>63.92</v>
      </c>
      <c r="D18" s="6">
        <v>850</v>
      </c>
      <c r="E18" s="6">
        <f t="shared" si="2"/>
        <v>54332</v>
      </c>
      <c r="F18" s="3"/>
      <c r="G18" s="6"/>
      <c r="H18" s="3"/>
      <c r="I18" s="6">
        <f t="shared" si="0"/>
        <v>534075</v>
      </c>
    </row>
    <row r="19" spans="1:9" x14ac:dyDescent="0.25">
      <c r="A19" s="3" t="s">
        <v>71</v>
      </c>
      <c r="B19" s="61" t="s">
        <v>70</v>
      </c>
      <c r="C19" s="62">
        <v>9.1999999999999993</v>
      </c>
      <c r="D19" s="63">
        <v>850</v>
      </c>
      <c r="E19" s="6">
        <f t="shared" si="2"/>
        <v>7819.9999999999991</v>
      </c>
      <c r="F19" s="3"/>
      <c r="G19" s="6"/>
      <c r="H19" s="3"/>
      <c r="I19" s="6">
        <f t="shared" si="0"/>
        <v>526255</v>
      </c>
    </row>
    <row r="20" spans="1:9" x14ac:dyDescent="0.25">
      <c r="A20" s="3"/>
      <c r="B20" s="3"/>
      <c r="C20" s="8"/>
      <c r="D20" s="6"/>
      <c r="E20" s="6">
        <f t="shared" si="2"/>
        <v>0</v>
      </c>
      <c r="F20" s="3" t="s">
        <v>72</v>
      </c>
      <c r="G20" s="64">
        <v>6728.28</v>
      </c>
      <c r="H20" s="3"/>
      <c r="I20" s="6">
        <f t="shared" si="0"/>
        <v>532983.28</v>
      </c>
    </row>
    <row r="21" spans="1:9" x14ac:dyDescent="0.25">
      <c r="A21" s="3"/>
      <c r="B21" s="3"/>
      <c r="C21" s="8"/>
      <c r="D21" s="6"/>
      <c r="E21" s="6">
        <f t="shared" si="2"/>
        <v>0</v>
      </c>
      <c r="F21" s="3"/>
      <c r="G21" s="6"/>
      <c r="H21" s="3"/>
      <c r="I21" s="6">
        <f t="shared" si="0"/>
        <v>532983.28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1"/>
  <sheetViews>
    <sheetView workbookViewId="0">
      <pane ySplit="1" topLeftCell="A2" activePane="bottomLeft" state="frozen"/>
      <selection pane="bottomLeft" activeCell="F23" sqref="F23"/>
    </sheetView>
  </sheetViews>
  <sheetFormatPr defaultColWidth="8.85546875" defaultRowHeight="15.75" x14ac:dyDescent="0.25"/>
  <cols>
    <col min="1" max="1" width="11.140625" style="18" customWidth="1"/>
    <col min="2" max="2" width="25" style="1" customWidth="1"/>
    <col min="3" max="3" width="9.28515625" style="1" bestFit="1" customWidth="1"/>
    <col min="4" max="4" width="12.7109375" style="7" customWidth="1"/>
    <col min="5" max="5" width="12.710937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10" s="2" customFormat="1" ht="31.5" x14ac:dyDescent="0.25">
      <c r="A1" s="15" t="s">
        <v>0</v>
      </c>
      <c r="B1" s="9" t="s">
        <v>1</v>
      </c>
      <c r="C1" s="9" t="s">
        <v>17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10" x14ac:dyDescent="0.25">
      <c r="A2" s="43" t="s">
        <v>12</v>
      </c>
      <c r="B2" s="3"/>
      <c r="C2" s="3"/>
      <c r="D2" s="6"/>
      <c r="E2" s="6"/>
      <c r="F2" s="3"/>
      <c r="G2" s="6"/>
      <c r="H2" s="3"/>
      <c r="I2" s="6">
        <v>0</v>
      </c>
    </row>
    <row r="3" spans="1:10" x14ac:dyDescent="0.25">
      <c r="A3" s="17"/>
      <c r="B3" s="3"/>
      <c r="C3" s="3"/>
      <c r="D3" s="6"/>
      <c r="E3" s="6"/>
      <c r="F3" s="5">
        <v>45716</v>
      </c>
      <c r="G3" s="6">
        <v>87000</v>
      </c>
      <c r="H3" s="3" t="s">
        <v>10</v>
      </c>
      <c r="I3" s="6">
        <f>I2-E3+G3</f>
        <v>87000</v>
      </c>
    </row>
    <row r="4" spans="1:10" s="14" customFormat="1" ht="45" x14ac:dyDescent="0.25">
      <c r="A4" s="44">
        <v>45726</v>
      </c>
      <c r="B4" s="39" t="s">
        <v>34</v>
      </c>
      <c r="C4" s="13">
        <v>284.55</v>
      </c>
      <c r="D4" s="21">
        <v>290</v>
      </c>
      <c r="E4" s="21">
        <f>C4*D4</f>
        <v>82519.5</v>
      </c>
      <c r="F4" s="13"/>
      <c r="G4" s="21"/>
      <c r="H4" s="13"/>
      <c r="I4" s="21">
        <f t="shared" ref="I4:I21" si="0">I3-E4+G4</f>
        <v>4480.5</v>
      </c>
    </row>
    <row r="5" spans="1:10" x14ac:dyDescent="0.25">
      <c r="A5" s="45" t="s">
        <v>15</v>
      </c>
      <c r="B5" s="23"/>
      <c r="C5" s="23"/>
      <c r="D5" s="25"/>
      <c r="E5" s="25">
        <f>C5*D5</f>
        <v>0</v>
      </c>
      <c r="F5" s="23"/>
      <c r="G5" s="25"/>
      <c r="H5" s="23"/>
      <c r="I5" s="25">
        <f t="shared" si="0"/>
        <v>4480.5</v>
      </c>
    </row>
    <row r="6" spans="1:10" x14ac:dyDescent="0.25">
      <c r="A6" s="17"/>
      <c r="B6" s="3"/>
      <c r="C6" s="3"/>
      <c r="D6" s="6"/>
      <c r="E6" s="6">
        <f>C6*D6</f>
        <v>0</v>
      </c>
      <c r="F6" s="5">
        <v>45751</v>
      </c>
      <c r="G6" s="6">
        <v>84000</v>
      </c>
      <c r="H6" s="3" t="s">
        <v>10</v>
      </c>
      <c r="I6" s="6">
        <f t="shared" si="0"/>
        <v>88480.5</v>
      </c>
    </row>
    <row r="7" spans="1:10" s="14" customFormat="1" ht="31.5" x14ac:dyDescent="0.25">
      <c r="A7" s="49">
        <v>45772</v>
      </c>
      <c r="B7" s="28" t="s">
        <v>35</v>
      </c>
      <c r="C7" s="53">
        <v>180.9</v>
      </c>
      <c r="D7" s="21">
        <v>280</v>
      </c>
      <c r="E7" s="21">
        <f t="shared" ref="E7:E9" si="1">C7*D7</f>
        <v>50652</v>
      </c>
      <c r="F7" s="12"/>
      <c r="G7" s="21"/>
      <c r="H7" s="13"/>
      <c r="I7" s="21">
        <f t="shared" si="0"/>
        <v>37828.5</v>
      </c>
      <c r="J7" s="54" t="s">
        <v>36</v>
      </c>
    </row>
    <row r="8" spans="1:10" x14ac:dyDescent="0.25">
      <c r="A8" s="17"/>
      <c r="B8" s="3"/>
      <c r="C8" s="3"/>
      <c r="D8" s="6"/>
      <c r="E8" s="6">
        <f t="shared" si="1"/>
        <v>0</v>
      </c>
      <c r="F8" s="3"/>
      <c r="G8" s="6"/>
      <c r="H8" s="3"/>
      <c r="I8" s="6">
        <f t="shared" si="0"/>
        <v>37828.5</v>
      </c>
    </row>
    <row r="9" spans="1:10" x14ac:dyDescent="0.25">
      <c r="A9" s="17"/>
      <c r="B9" s="3"/>
      <c r="C9" s="3"/>
      <c r="D9" s="6"/>
      <c r="E9" s="6">
        <f t="shared" si="1"/>
        <v>0</v>
      </c>
      <c r="F9" s="3"/>
      <c r="G9" s="6"/>
      <c r="H9" s="3"/>
      <c r="I9" s="6">
        <f t="shared" si="0"/>
        <v>37828.5</v>
      </c>
    </row>
    <row r="10" spans="1:10" x14ac:dyDescent="0.25">
      <c r="A10" s="17"/>
      <c r="B10" s="3"/>
      <c r="C10" s="3"/>
      <c r="D10" s="6"/>
      <c r="E10" s="6"/>
      <c r="F10" s="3"/>
      <c r="G10" s="6"/>
      <c r="H10" s="3"/>
      <c r="I10" s="6">
        <f t="shared" si="0"/>
        <v>37828.5</v>
      </c>
    </row>
    <row r="11" spans="1:10" x14ac:dyDescent="0.25">
      <c r="A11" s="17"/>
      <c r="B11" s="3"/>
      <c r="C11" s="3"/>
      <c r="D11" s="6"/>
      <c r="E11" s="6"/>
      <c r="F11" s="3"/>
      <c r="G11" s="6"/>
      <c r="H11" s="3"/>
      <c r="I11" s="6">
        <f t="shared" si="0"/>
        <v>37828.5</v>
      </c>
    </row>
    <row r="12" spans="1:10" x14ac:dyDescent="0.25">
      <c r="A12" s="17"/>
      <c r="B12" s="3"/>
      <c r="C12" s="3"/>
      <c r="D12" s="6"/>
      <c r="E12" s="6"/>
      <c r="F12" s="3"/>
      <c r="G12" s="6"/>
      <c r="H12" s="3"/>
      <c r="I12" s="6">
        <f t="shared" si="0"/>
        <v>37828.5</v>
      </c>
    </row>
    <row r="13" spans="1:10" x14ac:dyDescent="0.25">
      <c r="A13" s="17"/>
      <c r="B13" s="3"/>
      <c r="C13" s="3"/>
      <c r="D13" s="6"/>
      <c r="E13" s="6"/>
      <c r="F13" s="3"/>
      <c r="G13" s="6"/>
      <c r="H13" s="3"/>
      <c r="I13" s="6">
        <f t="shared" si="0"/>
        <v>37828.5</v>
      </c>
    </row>
    <row r="14" spans="1:10" x14ac:dyDescent="0.25">
      <c r="A14" s="17"/>
      <c r="B14" s="3"/>
      <c r="C14" s="8"/>
      <c r="D14" s="6"/>
      <c r="E14" s="6"/>
      <c r="F14" s="3"/>
      <c r="G14" s="6"/>
      <c r="H14" s="3"/>
      <c r="I14" s="6">
        <f t="shared" si="0"/>
        <v>37828.5</v>
      </c>
    </row>
    <row r="15" spans="1:10" x14ac:dyDescent="0.25">
      <c r="A15" s="17"/>
      <c r="B15" s="3"/>
      <c r="C15" s="8"/>
      <c r="D15" s="6"/>
      <c r="E15" s="6"/>
      <c r="F15" s="3"/>
      <c r="G15" s="6"/>
      <c r="H15" s="3"/>
      <c r="I15" s="6">
        <f t="shared" si="0"/>
        <v>37828.5</v>
      </c>
    </row>
    <row r="16" spans="1:10" x14ac:dyDescent="0.25">
      <c r="A16" s="17"/>
      <c r="B16" s="3"/>
      <c r="C16" s="8"/>
      <c r="D16" s="6"/>
      <c r="E16" s="6"/>
      <c r="F16" s="3"/>
      <c r="G16" s="6"/>
      <c r="H16" s="3"/>
      <c r="I16" s="6">
        <f t="shared" si="0"/>
        <v>37828.5</v>
      </c>
    </row>
    <row r="17" spans="1:9" x14ac:dyDescent="0.25">
      <c r="A17" s="17"/>
      <c r="B17" s="3"/>
      <c r="C17" s="8"/>
      <c r="D17" s="6"/>
      <c r="E17" s="6"/>
      <c r="F17" s="3"/>
      <c r="G17" s="6"/>
      <c r="H17" s="3"/>
      <c r="I17" s="6">
        <f t="shared" si="0"/>
        <v>37828.5</v>
      </c>
    </row>
    <row r="18" spans="1:9" x14ac:dyDescent="0.25">
      <c r="A18" s="17"/>
      <c r="B18" s="3"/>
      <c r="C18" s="8"/>
      <c r="D18" s="6"/>
      <c r="E18" s="6"/>
      <c r="F18" s="3"/>
      <c r="G18" s="6"/>
      <c r="H18" s="3"/>
      <c r="I18" s="6">
        <f t="shared" si="0"/>
        <v>37828.5</v>
      </c>
    </row>
    <row r="19" spans="1:9" x14ac:dyDescent="0.25">
      <c r="A19" s="17"/>
      <c r="B19" s="3"/>
      <c r="C19" s="8"/>
      <c r="D19" s="6"/>
      <c r="E19" s="6"/>
      <c r="F19" s="3"/>
      <c r="G19" s="6"/>
      <c r="H19" s="3"/>
      <c r="I19" s="6">
        <f t="shared" si="0"/>
        <v>37828.5</v>
      </c>
    </row>
    <row r="20" spans="1:9" x14ac:dyDescent="0.25">
      <c r="A20" s="17"/>
      <c r="B20" s="3"/>
      <c r="C20" s="8"/>
      <c r="D20" s="6"/>
      <c r="E20" s="6"/>
      <c r="F20" s="3"/>
      <c r="G20" s="6"/>
      <c r="H20" s="3"/>
      <c r="I20" s="6">
        <f t="shared" si="0"/>
        <v>37828.5</v>
      </c>
    </row>
    <row r="21" spans="1:9" x14ac:dyDescent="0.25">
      <c r="A21" s="17"/>
      <c r="B21" s="3"/>
      <c r="C21" s="8"/>
      <c r="D21" s="6"/>
      <c r="E21" s="6"/>
      <c r="F21" s="3"/>
      <c r="G21" s="6"/>
      <c r="H21" s="3"/>
      <c r="I21" s="6">
        <f t="shared" si="0"/>
        <v>37828.5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1"/>
  <sheetViews>
    <sheetView workbookViewId="0">
      <pane ySplit="1" topLeftCell="A2" activePane="bottomLeft" state="frozen"/>
      <selection pane="bottomLeft" activeCell="D1" sqref="D1"/>
    </sheetView>
  </sheetViews>
  <sheetFormatPr defaultColWidth="8.85546875" defaultRowHeight="15.75" x14ac:dyDescent="0.25"/>
  <cols>
    <col min="1" max="1" width="11.140625" style="1" customWidth="1"/>
    <col min="2" max="2" width="17.7109375" style="1" customWidth="1"/>
    <col min="3" max="3" width="9.28515625" style="1" bestFit="1" customWidth="1"/>
    <col min="4" max="4" width="8.85546875" style="7"/>
    <col min="5" max="5" width="14.4257812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42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2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40" t="s">
        <v>8</v>
      </c>
    </row>
    <row r="2" spans="1:9" x14ac:dyDescent="0.25">
      <c r="A2" s="4" t="s">
        <v>12</v>
      </c>
      <c r="B2" s="3"/>
      <c r="C2" s="3"/>
      <c r="D2" s="6"/>
      <c r="E2" s="6"/>
      <c r="F2" s="3"/>
      <c r="G2" s="6"/>
      <c r="H2" s="3"/>
      <c r="I2" s="41">
        <v>0</v>
      </c>
    </row>
    <row r="3" spans="1:9" x14ac:dyDescent="0.25">
      <c r="A3" s="3"/>
      <c r="B3" s="3"/>
      <c r="C3" s="8"/>
      <c r="D3" s="6"/>
      <c r="E3" s="6"/>
      <c r="F3" s="5">
        <v>45730</v>
      </c>
      <c r="G3" s="6">
        <v>265000</v>
      </c>
      <c r="H3" s="3" t="s">
        <v>10</v>
      </c>
      <c r="I3" s="41">
        <f>I2-E3+G3</f>
        <v>265000</v>
      </c>
    </row>
    <row r="4" spans="1:9" x14ac:dyDescent="0.25">
      <c r="A4" s="5">
        <v>45740</v>
      </c>
      <c r="B4" s="3" t="s">
        <v>37</v>
      </c>
      <c r="C4" s="8">
        <v>53760</v>
      </c>
      <c r="D4" s="6">
        <v>5.3</v>
      </c>
      <c r="E4" s="6">
        <f>C4*D4</f>
        <v>284928</v>
      </c>
      <c r="F4" s="3"/>
      <c r="G4" s="6"/>
      <c r="H4" s="3"/>
      <c r="I4" s="41">
        <f t="shared" ref="I4:I21" si="0">I3-E4+G4</f>
        <v>-19928</v>
      </c>
    </row>
    <row r="5" spans="1:9" x14ac:dyDescent="0.25">
      <c r="A5" s="23" t="s">
        <v>15</v>
      </c>
      <c r="B5" s="23"/>
      <c r="C5" s="24"/>
      <c r="D5" s="25"/>
      <c r="E5" s="25"/>
      <c r="F5" s="23"/>
      <c r="G5" s="25"/>
      <c r="H5" s="23"/>
      <c r="I5" s="46">
        <f t="shared" si="0"/>
        <v>-19928</v>
      </c>
    </row>
    <row r="6" spans="1:9" x14ac:dyDescent="0.25">
      <c r="A6" s="3"/>
      <c r="B6" s="3"/>
      <c r="C6" s="8"/>
      <c r="D6" s="6"/>
      <c r="E6" s="6"/>
      <c r="F6" s="5">
        <v>45756</v>
      </c>
      <c r="G6" s="6">
        <v>265000</v>
      </c>
      <c r="H6" s="3" t="s">
        <v>10</v>
      </c>
      <c r="I6" s="41">
        <f t="shared" si="0"/>
        <v>245072</v>
      </c>
    </row>
    <row r="7" spans="1:9" x14ac:dyDescent="0.25">
      <c r="A7" s="5">
        <v>45757</v>
      </c>
      <c r="B7" s="3" t="s">
        <v>37</v>
      </c>
      <c r="C7" s="8">
        <v>46200</v>
      </c>
      <c r="D7" s="6">
        <v>5.3</v>
      </c>
      <c r="E7" s="6">
        <f>C7*D7</f>
        <v>244860</v>
      </c>
      <c r="F7" s="3"/>
      <c r="G7" s="6"/>
      <c r="H7" s="3"/>
      <c r="I7" s="41">
        <f t="shared" si="0"/>
        <v>212</v>
      </c>
    </row>
    <row r="8" spans="1:9" x14ac:dyDescent="0.25">
      <c r="A8" s="3"/>
      <c r="B8" s="3"/>
      <c r="C8" s="8"/>
      <c r="D8" s="6"/>
      <c r="E8" s="6">
        <f t="shared" ref="E8:E20" si="1">C8*D8</f>
        <v>0</v>
      </c>
      <c r="F8" s="5">
        <v>45769</v>
      </c>
      <c r="G8" s="6">
        <v>213696</v>
      </c>
      <c r="H8" s="3" t="s">
        <v>10</v>
      </c>
      <c r="I8" s="41">
        <f t="shared" si="0"/>
        <v>213908</v>
      </c>
    </row>
    <row r="9" spans="1:9" x14ac:dyDescent="0.25">
      <c r="A9" s="5">
        <v>45772</v>
      </c>
      <c r="B9" s="3" t="s">
        <v>37</v>
      </c>
      <c r="C9" s="8">
        <v>40320</v>
      </c>
      <c r="D9" s="6">
        <v>5.3</v>
      </c>
      <c r="E9" s="6">
        <f t="shared" si="1"/>
        <v>213696</v>
      </c>
      <c r="F9" s="3"/>
      <c r="G9" s="6"/>
      <c r="H9" s="3"/>
      <c r="I9" s="41">
        <f t="shared" si="0"/>
        <v>212</v>
      </c>
    </row>
    <row r="10" spans="1:9" x14ac:dyDescent="0.25">
      <c r="A10" s="3" t="s">
        <v>62</v>
      </c>
      <c r="B10" s="3" t="s">
        <v>63</v>
      </c>
      <c r="C10" s="8">
        <v>6720</v>
      </c>
      <c r="D10" s="6">
        <v>5.3</v>
      </c>
      <c r="E10" s="6">
        <f t="shared" si="1"/>
        <v>35616</v>
      </c>
      <c r="F10" s="3"/>
      <c r="G10" s="6"/>
      <c r="H10" s="3"/>
      <c r="I10" s="41">
        <f t="shared" si="0"/>
        <v>-35404</v>
      </c>
    </row>
    <row r="11" spans="1:9" x14ac:dyDescent="0.25">
      <c r="A11" s="3" t="s">
        <v>66</v>
      </c>
      <c r="B11" s="3" t="s">
        <v>67</v>
      </c>
      <c r="C11" s="8">
        <v>6720</v>
      </c>
      <c r="D11" s="6">
        <v>5.3</v>
      </c>
      <c r="E11" s="6">
        <f t="shared" si="1"/>
        <v>35616</v>
      </c>
      <c r="F11" s="3"/>
      <c r="G11" s="6"/>
      <c r="H11" s="3"/>
      <c r="I11" s="41">
        <f t="shared" si="0"/>
        <v>-71020</v>
      </c>
    </row>
    <row r="12" spans="1:9" x14ac:dyDescent="0.25">
      <c r="A12" s="3"/>
      <c r="B12" s="3"/>
      <c r="C12" s="8"/>
      <c r="D12" s="6"/>
      <c r="E12" s="6">
        <f t="shared" si="1"/>
        <v>0</v>
      </c>
      <c r="F12" s="3"/>
      <c r="G12" s="6"/>
      <c r="H12" s="3"/>
      <c r="I12" s="41">
        <f t="shared" si="0"/>
        <v>-71020</v>
      </c>
    </row>
    <row r="13" spans="1:9" x14ac:dyDescent="0.25">
      <c r="A13" s="3"/>
      <c r="B13" s="3"/>
      <c r="C13" s="8"/>
      <c r="D13" s="6"/>
      <c r="E13" s="6">
        <f t="shared" si="1"/>
        <v>0</v>
      </c>
      <c r="F13" s="3"/>
      <c r="G13" s="6"/>
      <c r="H13" s="3"/>
      <c r="I13" s="41">
        <f t="shared" si="0"/>
        <v>-71020</v>
      </c>
    </row>
    <row r="14" spans="1:9" x14ac:dyDescent="0.25">
      <c r="A14" s="3"/>
      <c r="B14" s="3"/>
      <c r="C14" s="8"/>
      <c r="D14" s="6"/>
      <c r="E14" s="6">
        <f t="shared" si="1"/>
        <v>0</v>
      </c>
      <c r="F14" s="3"/>
      <c r="G14" s="6"/>
      <c r="H14" s="3"/>
      <c r="I14" s="41">
        <f t="shared" si="0"/>
        <v>-71020</v>
      </c>
    </row>
    <row r="15" spans="1:9" x14ac:dyDescent="0.25">
      <c r="A15" s="3"/>
      <c r="B15" s="3"/>
      <c r="C15" s="8"/>
      <c r="D15" s="6"/>
      <c r="E15" s="6">
        <f t="shared" si="1"/>
        <v>0</v>
      </c>
      <c r="F15" s="3"/>
      <c r="G15" s="6"/>
      <c r="H15" s="3"/>
      <c r="I15" s="41">
        <f t="shared" si="0"/>
        <v>-71020</v>
      </c>
    </row>
    <row r="16" spans="1:9" x14ac:dyDescent="0.25">
      <c r="A16" s="3"/>
      <c r="B16" s="3"/>
      <c r="C16" s="8"/>
      <c r="D16" s="6"/>
      <c r="E16" s="6">
        <f t="shared" si="1"/>
        <v>0</v>
      </c>
      <c r="F16" s="3"/>
      <c r="G16" s="6"/>
      <c r="H16" s="3"/>
      <c r="I16" s="41">
        <f t="shared" si="0"/>
        <v>-71020</v>
      </c>
    </row>
    <row r="17" spans="1:9" x14ac:dyDescent="0.25">
      <c r="A17" s="3"/>
      <c r="B17" s="3"/>
      <c r="C17" s="8"/>
      <c r="D17" s="6"/>
      <c r="E17" s="6">
        <f t="shared" si="1"/>
        <v>0</v>
      </c>
      <c r="F17" s="3"/>
      <c r="G17" s="6"/>
      <c r="H17" s="3"/>
      <c r="I17" s="41">
        <f t="shared" si="0"/>
        <v>-71020</v>
      </c>
    </row>
    <row r="18" spans="1:9" x14ac:dyDescent="0.25">
      <c r="A18" s="3"/>
      <c r="B18" s="3"/>
      <c r="C18" s="8"/>
      <c r="D18" s="6"/>
      <c r="E18" s="6">
        <f t="shared" si="1"/>
        <v>0</v>
      </c>
      <c r="F18" s="3"/>
      <c r="G18" s="6"/>
      <c r="H18" s="3"/>
      <c r="I18" s="41">
        <f t="shared" si="0"/>
        <v>-71020</v>
      </c>
    </row>
    <row r="19" spans="1:9" x14ac:dyDescent="0.25">
      <c r="A19" s="3"/>
      <c r="B19" s="3"/>
      <c r="C19" s="8"/>
      <c r="D19" s="6"/>
      <c r="E19" s="6">
        <f t="shared" si="1"/>
        <v>0</v>
      </c>
      <c r="F19" s="3"/>
      <c r="G19" s="6"/>
      <c r="H19" s="3"/>
      <c r="I19" s="41">
        <f t="shared" si="0"/>
        <v>-71020</v>
      </c>
    </row>
    <row r="20" spans="1:9" x14ac:dyDescent="0.25">
      <c r="A20" s="3"/>
      <c r="B20" s="3"/>
      <c r="C20" s="8"/>
      <c r="D20" s="6"/>
      <c r="E20" s="6">
        <f t="shared" si="1"/>
        <v>0</v>
      </c>
      <c r="F20" s="3"/>
      <c r="G20" s="6"/>
      <c r="H20" s="3"/>
      <c r="I20" s="41">
        <f t="shared" si="0"/>
        <v>-71020</v>
      </c>
    </row>
    <row r="21" spans="1:9" x14ac:dyDescent="0.25">
      <c r="A21" s="3"/>
      <c r="B21" s="3"/>
      <c r="C21" s="8"/>
      <c r="D21" s="6"/>
      <c r="E21" s="6">
        <f>SUM(E7:E20)</f>
        <v>529788</v>
      </c>
      <c r="F21" s="3"/>
      <c r="G21" s="6"/>
      <c r="H21" s="3"/>
      <c r="I21" s="41">
        <f t="shared" si="0"/>
        <v>-600808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1"/>
  <sheetViews>
    <sheetView workbookViewId="0">
      <pane ySplit="1" topLeftCell="A2" activePane="bottomLeft" state="frozen"/>
      <selection pane="bottomLeft" activeCell="L2" sqref="L2"/>
    </sheetView>
  </sheetViews>
  <sheetFormatPr defaultColWidth="8.85546875" defaultRowHeight="15.75" x14ac:dyDescent="0.25"/>
  <cols>
    <col min="1" max="1" width="11.140625" style="1" customWidth="1"/>
    <col min="2" max="2" width="15.85546875" style="1" customWidth="1"/>
    <col min="3" max="3" width="10.42578125" style="27" bestFit="1" customWidth="1"/>
    <col min="4" max="4" width="8.85546875" style="7"/>
    <col min="5" max="5" width="14.4257812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26" t="s">
        <v>2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22" t="s">
        <v>12</v>
      </c>
      <c r="B2" s="3"/>
      <c r="C2" s="8"/>
      <c r="D2" s="6"/>
      <c r="E2" s="6"/>
      <c r="F2" s="3"/>
      <c r="G2" s="6"/>
      <c r="H2" s="3"/>
      <c r="I2" s="6">
        <v>0</v>
      </c>
    </row>
    <row r="3" spans="1:9" x14ac:dyDescent="0.25">
      <c r="A3" s="3"/>
      <c r="B3" s="3"/>
      <c r="C3" s="8"/>
      <c r="D3" s="6"/>
      <c r="E3" s="6">
        <f>C3*D3</f>
        <v>0</v>
      </c>
      <c r="F3" s="5">
        <v>45670</v>
      </c>
      <c r="G3" s="6">
        <v>85000</v>
      </c>
      <c r="H3" s="3" t="s">
        <v>10</v>
      </c>
      <c r="I3" s="6">
        <f>I2-E3+G3</f>
        <v>85000</v>
      </c>
    </row>
    <row r="4" spans="1:9" x14ac:dyDescent="0.25">
      <c r="A4" s="5">
        <v>45684</v>
      </c>
      <c r="B4" s="3" t="s">
        <v>38</v>
      </c>
      <c r="C4" s="8">
        <v>50000</v>
      </c>
      <c r="D4" s="6">
        <v>0.85</v>
      </c>
      <c r="E4" s="6">
        <f t="shared" ref="E4:E21" si="0">C4*D4</f>
        <v>42500</v>
      </c>
      <c r="F4" s="3"/>
      <c r="G4" s="6"/>
      <c r="H4" s="3"/>
      <c r="I4" s="6">
        <f t="shared" ref="I4:I21" si="1">I3-E4+G4</f>
        <v>42500</v>
      </c>
    </row>
    <row r="5" spans="1:9" x14ac:dyDescent="0.25">
      <c r="A5" s="3"/>
      <c r="B5" s="3" t="s">
        <v>39</v>
      </c>
      <c r="C5" s="8">
        <v>50000</v>
      </c>
      <c r="D5" s="6">
        <v>0.85</v>
      </c>
      <c r="E5" s="6">
        <f t="shared" si="0"/>
        <v>42500</v>
      </c>
      <c r="F5" s="3"/>
      <c r="G5" s="6"/>
      <c r="H5" s="3"/>
      <c r="I5" s="6">
        <f t="shared" si="1"/>
        <v>0</v>
      </c>
    </row>
    <row r="6" spans="1:9" x14ac:dyDescent="0.25">
      <c r="A6" s="3"/>
      <c r="B6" s="3"/>
      <c r="C6" s="8"/>
      <c r="D6" s="6"/>
      <c r="E6" s="6">
        <f t="shared" si="0"/>
        <v>0</v>
      </c>
      <c r="F6" s="5">
        <v>45688</v>
      </c>
      <c r="G6" s="6">
        <v>129600</v>
      </c>
      <c r="H6" s="3" t="s">
        <v>10</v>
      </c>
      <c r="I6" s="6">
        <f t="shared" si="1"/>
        <v>129600</v>
      </c>
    </row>
    <row r="7" spans="1:9" x14ac:dyDescent="0.25">
      <c r="A7" s="32">
        <v>45698</v>
      </c>
      <c r="B7" s="3" t="s">
        <v>38</v>
      </c>
      <c r="C7" s="8">
        <v>120000</v>
      </c>
      <c r="D7" s="6">
        <v>0.54</v>
      </c>
      <c r="E7" s="6">
        <f t="shared" si="0"/>
        <v>64800.000000000007</v>
      </c>
      <c r="F7" s="3"/>
      <c r="G7" s="6"/>
      <c r="H7" s="3"/>
      <c r="I7" s="6">
        <f t="shared" si="1"/>
        <v>64799.999999999993</v>
      </c>
    </row>
    <row r="8" spans="1:9" x14ac:dyDescent="0.25">
      <c r="A8" s="3"/>
      <c r="B8" s="3" t="s">
        <v>39</v>
      </c>
      <c r="C8" s="8">
        <v>120000</v>
      </c>
      <c r="D8" s="6">
        <v>0.54</v>
      </c>
      <c r="E8" s="6">
        <f t="shared" si="0"/>
        <v>64800.000000000007</v>
      </c>
      <c r="F8" s="3"/>
      <c r="G8" s="6"/>
      <c r="H8" s="3"/>
      <c r="I8" s="6">
        <f t="shared" si="1"/>
        <v>-1.4551915228366852E-11</v>
      </c>
    </row>
    <row r="9" spans="1:9" x14ac:dyDescent="0.25">
      <c r="A9" s="3"/>
      <c r="B9" s="3"/>
      <c r="C9" s="8"/>
      <c r="D9" s="6"/>
      <c r="E9" s="6">
        <f t="shared" si="0"/>
        <v>0</v>
      </c>
      <c r="F9" s="5">
        <v>45713</v>
      </c>
      <c r="G9" s="6">
        <v>129600</v>
      </c>
      <c r="H9" s="3" t="s">
        <v>10</v>
      </c>
      <c r="I9" s="6">
        <f t="shared" si="1"/>
        <v>129599.99999999999</v>
      </c>
    </row>
    <row r="10" spans="1:9" x14ac:dyDescent="0.25">
      <c r="A10" s="5">
        <v>45716</v>
      </c>
      <c r="B10" s="3" t="s">
        <v>38</v>
      </c>
      <c r="C10" s="8">
        <v>120000</v>
      </c>
      <c r="D10" s="6">
        <v>0.54</v>
      </c>
      <c r="E10" s="6">
        <f t="shared" si="0"/>
        <v>64800.000000000007</v>
      </c>
      <c r="F10" s="3"/>
      <c r="G10" s="6"/>
      <c r="H10" s="3"/>
      <c r="I10" s="6">
        <f t="shared" si="1"/>
        <v>64799.999999999978</v>
      </c>
    </row>
    <row r="11" spans="1:9" x14ac:dyDescent="0.25">
      <c r="A11" s="3"/>
      <c r="B11" s="3" t="s">
        <v>39</v>
      </c>
      <c r="C11" s="8">
        <v>120000</v>
      </c>
      <c r="D11" s="6">
        <v>0.54</v>
      </c>
      <c r="E11" s="6">
        <f t="shared" si="0"/>
        <v>64800.000000000007</v>
      </c>
      <c r="F11" s="3"/>
      <c r="G11" s="6"/>
      <c r="H11" s="3"/>
      <c r="I11" s="6">
        <f t="shared" si="1"/>
        <v>-2.9103830456733704E-11</v>
      </c>
    </row>
    <row r="12" spans="1:9" x14ac:dyDescent="0.25">
      <c r="A12" s="3"/>
      <c r="B12" s="3"/>
      <c r="C12" s="8"/>
      <c r="D12" s="6"/>
      <c r="E12" s="6">
        <f t="shared" si="0"/>
        <v>0</v>
      </c>
      <c r="F12" s="3"/>
      <c r="G12" s="6"/>
      <c r="H12" s="3"/>
      <c r="I12" s="6">
        <f t="shared" si="1"/>
        <v>-2.9103830456733704E-11</v>
      </c>
    </row>
    <row r="13" spans="1:9" x14ac:dyDescent="0.25">
      <c r="A13" s="3"/>
      <c r="B13" s="3"/>
      <c r="C13" s="8"/>
      <c r="D13" s="6"/>
      <c r="E13" s="6">
        <f t="shared" si="0"/>
        <v>0</v>
      </c>
      <c r="F13" s="3"/>
      <c r="G13" s="6"/>
      <c r="H13" s="3"/>
      <c r="I13" s="6">
        <f t="shared" si="1"/>
        <v>-2.9103830456733704E-11</v>
      </c>
    </row>
    <row r="14" spans="1:9" x14ac:dyDescent="0.25">
      <c r="A14" s="3"/>
      <c r="B14" s="3"/>
      <c r="C14" s="8"/>
      <c r="D14" s="6"/>
      <c r="E14" s="6">
        <f t="shared" si="0"/>
        <v>0</v>
      </c>
      <c r="F14" s="3"/>
      <c r="G14" s="6"/>
      <c r="H14" s="3"/>
      <c r="I14" s="6">
        <f t="shared" si="1"/>
        <v>-2.9103830456733704E-11</v>
      </c>
    </row>
    <row r="15" spans="1:9" x14ac:dyDescent="0.25">
      <c r="A15" s="3"/>
      <c r="B15" s="3"/>
      <c r="C15" s="8"/>
      <c r="D15" s="6"/>
      <c r="E15" s="6">
        <f t="shared" si="0"/>
        <v>0</v>
      </c>
      <c r="F15" s="3"/>
      <c r="G15" s="6"/>
      <c r="H15" s="3"/>
      <c r="I15" s="6">
        <f t="shared" si="1"/>
        <v>-2.9103830456733704E-11</v>
      </c>
    </row>
    <row r="16" spans="1:9" x14ac:dyDescent="0.25">
      <c r="A16" s="3"/>
      <c r="B16" s="3"/>
      <c r="C16" s="8"/>
      <c r="D16" s="6"/>
      <c r="E16" s="6">
        <f t="shared" si="0"/>
        <v>0</v>
      </c>
      <c r="F16" s="3"/>
      <c r="G16" s="6"/>
      <c r="H16" s="3"/>
      <c r="I16" s="6">
        <f t="shared" si="1"/>
        <v>-2.9103830456733704E-11</v>
      </c>
    </row>
    <row r="17" spans="1:9" x14ac:dyDescent="0.25">
      <c r="A17" s="3"/>
      <c r="B17" s="3"/>
      <c r="C17" s="8"/>
      <c r="D17" s="6"/>
      <c r="E17" s="6">
        <f t="shared" si="0"/>
        <v>0</v>
      </c>
      <c r="F17" s="3"/>
      <c r="G17" s="6"/>
      <c r="H17" s="3"/>
      <c r="I17" s="6">
        <f t="shared" si="1"/>
        <v>-2.9103830456733704E-11</v>
      </c>
    </row>
    <row r="18" spans="1:9" x14ac:dyDescent="0.25">
      <c r="A18" s="3"/>
      <c r="B18" s="3"/>
      <c r="C18" s="8"/>
      <c r="D18" s="6"/>
      <c r="E18" s="6">
        <f t="shared" si="0"/>
        <v>0</v>
      </c>
      <c r="F18" s="3"/>
      <c r="G18" s="6"/>
      <c r="H18" s="3"/>
      <c r="I18" s="6">
        <f t="shared" si="1"/>
        <v>-2.9103830456733704E-11</v>
      </c>
    </row>
    <row r="19" spans="1:9" x14ac:dyDescent="0.25">
      <c r="A19" s="3"/>
      <c r="B19" s="3"/>
      <c r="C19" s="8"/>
      <c r="D19" s="6"/>
      <c r="E19" s="6">
        <f t="shared" si="0"/>
        <v>0</v>
      </c>
      <c r="F19" s="3"/>
      <c r="G19" s="6"/>
      <c r="H19" s="3"/>
      <c r="I19" s="6">
        <f t="shared" si="1"/>
        <v>-2.9103830456733704E-11</v>
      </c>
    </row>
    <row r="20" spans="1:9" x14ac:dyDescent="0.25">
      <c r="A20" s="3"/>
      <c r="B20" s="3"/>
      <c r="C20" s="8"/>
      <c r="D20" s="6"/>
      <c r="E20" s="6">
        <f t="shared" si="0"/>
        <v>0</v>
      </c>
      <c r="F20" s="3"/>
      <c r="G20" s="6"/>
      <c r="H20" s="3"/>
      <c r="I20" s="6">
        <f t="shared" si="1"/>
        <v>-2.9103830456733704E-11</v>
      </c>
    </row>
    <row r="21" spans="1:9" x14ac:dyDescent="0.25">
      <c r="A21" s="3"/>
      <c r="B21" s="3"/>
      <c r="C21" s="8"/>
      <c r="D21" s="6"/>
      <c r="E21" s="6">
        <f t="shared" si="0"/>
        <v>0</v>
      </c>
      <c r="F21" s="3"/>
      <c r="G21" s="6"/>
      <c r="H21" s="3"/>
      <c r="I21" s="6">
        <f t="shared" si="1"/>
        <v>-2.9103830456733704E-11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1"/>
  <sheetViews>
    <sheetView workbookViewId="0">
      <pane ySplit="1" topLeftCell="A2" activePane="bottomLeft" state="frozen"/>
      <selection pane="bottomLeft" activeCell="F32" sqref="F32"/>
    </sheetView>
  </sheetViews>
  <sheetFormatPr defaultColWidth="8.85546875" defaultRowHeight="15.75" x14ac:dyDescent="0.25"/>
  <cols>
    <col min="1" max="1" width="11.140625" style="1" customWidth="1"/>
    <col min="2" max="2" width="19.7109375" style="1" customWidth="1"/>
    <col min="3" max="3" width="8.85546875" style="1"/>
    <col min="4" max="4" width="8.85546875" style="7"/>
    <col min="5" max="5" width="14.4257812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2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4" t="s">
        <v>9</v>
      </c>
      <c r="B2" s="3"/>
      <c r="C2" s="3"/>
      <c r="D2" s="6"/>
      <c r="E2" s="6"/>
      <c r="F2" s="3"/>
      <c r="G2" s="6"/>
      <c r="H2" s="3"/>
      <c r="I2" s="6">
        <v>0</v>
      </c>
    </row>
    <row r="3" spans="1:9" x14ac:dyDescent="0.25">
      <c r="A3" s="3"/>
      <c r="B3" s="3"/>
      <c r="C3" s="8"/>
      <c r="D3" s="6"/>
      <c r="E3" s="6"/>
      <c r="F3" s="5">
        <v>45616</v>
      </c>
      <c r="G3" s="6">
        <v>4640</v>
      </c>
      <c r="H3" s="3" t="s">
        <v>10</v>
      </c>
      <c r="I3" s="6">
        <f>I2-E3+G3</f>
        <v>4640</v>
      </c>
    </row>
    <row r="4" spans="1:9" x14ac:dyDescent="0.25">
      <c r="A4" s="5"/>
      <c r="B4" s="3"/>
      <c r="C4" s="8"/>
      <c r="D4" s="6"/>
      <c r="E4" s="6">
        <f>C4*D4</f>
        <v>0</v>
      </c>
      <c r="F4" s="3"/>
      <c r="G4" s="6"/>
      <c r="H4" s="3"/>
      <c r="I4" s="6">
        <f t="shared" ref="I4:I21" si="0">I3-E4+G4</f>
        <v>4640</v>
      </c>
    </row>
    <row r="5" spans="1:9" x14ac:dyDescent="0.25">
      <c r="A5" s="3"/>
      <c r="B5" s="3"/>
      <c r="C5" s="8">
        <v>1600</v>
      </c>
      <c r="D5" s="6">
        <v>2.9</v>
      </c>
      <c r="E5" s="6">
        <f>C5*D5</f>
        <v>4640</v>
      </c>
      <c r="F5" s="3"/>
      <c r="G5" s="6"/>
      <c r="H5" s="3"/>
      <c r="I5" s="6">
        <f t="shared" si="0"/>
        <v>0</v>
      </c>
    </row>
    <row r="6" spans="1:9" x14ac:dyDescent="0.25">
      <c r="A6" s="3"/>
      <c r="B6" s="3"/>
      <c r="C6" s="8"/>
      <c r="D6" s="6"/>
      <c r="E6" s="6">
        <f t="shared" ref="E6:E9" si="1">C6*D6</f>
        <v>0</v>
      </c>
      <c r="F6" s="5">
        <v>45636</v>
      </c>
      <c r="G6" s="6">
        <v>9283.6</v>
      </c>
      <c r="H6" s="3" t="s">
        <v>10</v>
      </c>
      <c r="I6" s="6">
        <f t="shared" si="0"/>
        <v>9283.6</v>
      </c>
    </row>
    <row r="7" spans="1:9" x14ac:dyDescent="0.25">
      <c r="A7" s="5">
        <v>45639</v>
      </c>
      <c r="B7" s="3" t="s">
        <v>40</v>
      </c>
      <c r="C7" s="8">
        <v>100</v>
      </c>
      <c r="D7" s="6">
        <v>18</v>
      </c>
      <c r="E7" s="6">
        <f t="shared" si="1"/>
        <v>1800</v>
      </c>
      <c r="F7" s="3"/>
      <c r="G7" s="6"/>
      <c r="H7" s="3"/>
      <c r="I7" s="6">
        <f t="shared" si="0"/>
        <v>7483.6</v>
      </c>
    </row>
    <row r="8" spans="1:9" x14ac:dyDescent="0.25">
      <c r="A8" s="3"/>
      <c r="B8" s="3" t="s">
        <v>41</v>
      </c>
      <c r="C8" s="8">
        <v>1000</v>
      </c>
      <c r="D8" s="6">
        <v>3.7</v>
      </c>
      <c r="E8" s="6">
        <f t="shared" si="1"/>
        <v>3700</v>
      </c>
      <c r="F8" s="3"/>
      <c r="G8" s="6"/>
      <c r="H8" s="3"/>
      <c r="I8" s="6">
        <f t="shared" si="0"/>
        <v>3783.6000000000004</v>
      </c>
    </row>
    <row r="9" spans="1:9" x14ac:dyDescent="0.25">
      <c r="A9" s="3"/>
      <c r="B9" s="3" t="s">
        <v>42</v>
      </c>
      <c r="C9" s="8">
        <v>36</v>
      </c>
      <c r="D9" s="6">
        <v>105.1</v>
      </c>
      <c r="E9" s="6">
        <f t="shared" si="1"/>
        <v>3783.6</v>
      </c>
      <c r="F9" s="3"/>
      <c r="G9" s="6"/>
      <c r="H9" s="3"/>
      <c r="I9" s="6">
        <f t="shared" si="0"/>
        <v>4.5474735088646412E-13</v>
      </c>
    </row>
    <row r="10" spans="1:9" x14ac:dyDescent="0.25">
      <c r="A10" s="23" t="s">
        <v>12</v>
      </c>
      <c r="B10" s="23"/>
      <c r="C10" s="24"/>
      <c r="D10" s="25"/>
      <c r="E10" s="25"/>
      <c r="F10" s="23"/>
      <c r="G10" s="25"/>
      <c r="H10" s="23"/>
      <c r="I10" s="25">
        <f t="shared" si="0"/>
        <v>4.5474735088646412E-13</v>
      </c>
    </row>
    <row r="11" spans="1:9" x14ac:dyDescent="0.25">
      <c r="A11" s="3"/>
      <c r="B11" s="3"/>
      <c r="C11" s="8"/>
      <c r="D11" s="6"/>
      <c r="E11" s="6"/>
      <c r="F11" s="5">
        <v>45680</v>
      </c>
      <c r="G11" s="6">
        <v>26767.200000000001</v>
      </c>
      <c r="H11" s="3" t="s">
        <v>10</v>
      </c>
      <c r="I11" s="6">
        <f t="shared" si="0"/>
        <v>26767.200000000001</v>
      </c>
    </row>
    <row r="12" spans="1:9" x14ac:dyDescent="0.25">
      <c r="A12" s="5">
        <v>45681</v>
      </c>
      <c r="B12" s="3" t="s">
        <v>43</v>
      </c>
      <c r="C12" s="8">
        <v>60</v>
      </c>
      <c r="D12" s="6">
        <v>446.12</v>
      </c>
      <c r="E12" s="6">
        <f t="shared" ref="E12" si="2">C12*D12</f>
        <v>26767.200000000001</v>
      </c>
      <c r="F12" s="3"/>
      <c r="G12" s="6"/>
      <c r="H12" s="3"/>
      <c r="I12" s="6">
        <f t="shared" si="0"/>
        <v>0</v>
      </c>
    </row>
    <row r="13" spans="1:9" x14ac:dyDescent="0.25">
      <c r="A13" s="23"/>
      <c r="B13" s="23"/>
      <c r="C13" s="24"/>
      <c r="D13" s="25"/>
      <c r="E13" s="25"/>
      <c r="F13" s="23"/>
      <c r="G13" s="25"/>
      <c r="H13" s="23"/>
      <c r="I13" s="25">
        <f t="shared" si="0"/>
        <v>0</v>
      </c>
    </row>
    <row r="14" spans="1:9" x14ac:dyDescent="0.25">
      <c r="A14" s="3"/>
      <c r="B14" s="3"/>
      <c r="C14" s="8"/>
      <c r="D14" s="6"/>
      <c r="E14" s="6"/>
      <c r="F14" s="5">
        <v>45740</v>
      </c>
      <c r="G14" s="6">
        <v>25969.200000000001</v>
      </c>
      <c r="H14" s="3" t="s">
        <v>10</v>
      </c>
      <c r="I14" s="6">
        <f t="shared" si="0"/>
        <v>25969.200000000001</v>
      </c>
    </row>
    <row r="15" spans="1:9" x14ac:dyDescent="0.25">
      <c r="A15" s="5">
        <v>45742</v>
      </c>
      <c r="B15" s="3" t="s">
        <v>43</v>
      </c>
      <c r="C15" s="8">
        <v>60</v>
      </c>
      <c r="D15" s="6">
        <v>432.82</v>
      </c>
      <c r="E15" s="6">
        <f t="shared" ref="E15:E21" si="3">C15*D15</f>
        <v>25969.200000000001</v>
      </c>
      <c r="F15" s="3"/>
      <c r="G15" s="6"/>
      <c r="H15" s="3"/>
      <c r="I15" s="6">
        <f t="shared" si="0"/>
        <v>0</v>
      </c>
    </row>
    <row r="16" spans="1:9" x14ac:dyDescent="0.25">
      <c r="A16" s="3" t="s">
        <v>64</v>
      </c>
      <c r="B16" s="3" t="s">
        <v>61</v>
      </c>
      <c r="C16" s="8">
        <v>5</v>
      </c>
      <c r="D16" s="6">
        <v>432.82</v>
      </c>
      <c r="E16" s="6">
        <f t="shared" si="3"/>
        <v>2164.1</v>
      </c>
      <c r="F16" s="3"/>
      <c r="G16" s="6"/>
      <c r="H16" s="3"/>
      <c r="I16" s="6">
        <f t="shared" si="0"/>
        <v>-2164.1</v>
      </c>
    </row>
    <row r="17" spans="1:9" x14ac:dyDescent="0.25">
      <c r="A17" s="3"/>
      <c r="B17" s="3"/>
      <c r="C17" s="8"/>
      <c r="D17" s="6"/>
      <c r="E17" s="6">
        <f t="shared" si="3"/>
        <v>0</v>
      </c>
      <c r="F17" s="3"/>
      <c r="G17" s="6"/>
      <c r="H17" s="3"/>
      <c r="I17" s="6">
        <f t="shared" si="0"/>
        <v>-2164.1</v>
      </c>
    </row>
    <row r="18" spans="1:9" x14ac:dyDescent="0.25">
      <c r="A18" s="3"/>
      <c r="B18" s="3"/>
      <c r="C18" s="8"/>
      <c r="D18" s="6"/>
      <c r="E18" s="6">
        <f t="shared" si="3"/>
        <v>0</v>
      </c>
      <c r="F18" s="3"/>
      <c r="G18" s="6"/>
      <c r="H18" s="3"/>
      <c r="I18" s="6">
        <f t="shared" si="0"/>
        <v>-2164.1</v>
      </c>
    </row>
    <row r="19" spans="1:9" x14ac:dyDescent="0.25">
      <c r="A19" s="3"/>
      <c r="B19" s="3"/>
      <c r="C19" s="8"/>
      <c r="D19" s="6"/>
      <c r="E19" s="6">
        <f t="shared" si="3"/>
        <v>0</v>
      </c>
      <c r="F19" s="3"/>
      <c r="G19" s="6"/>
      <c r="H19" s="3"/>
      <c r="I19" s="6">
        <f t="shared" si="0"/>
        <v>-2164.1</v>
      </c>
    </row>
    <row r="20" spans="1:9" x14ac:dyDescent="0.25">
      <c r="A20" s="3"/>
      <c r="B20" s="3"/>
      <c r="C20" s="8"/>
      <c r="D20" s="6"/>
      <c r="E20" s="6">
        <f t="shared" si="3"/>
        <v>0</v>
      </c>
      <c r="F20" s="3"/>
      <c r="G20" s="6"/>
      <c r="H20" s="3"/>
      <c r="I20" s="6">
        <f t="shared" si="0"/>
        <v>-2164.1</v>
      </c>
    </row>
    <row r="21" spans="1:9" x14ac:dyDescent="0.25">
      <c r="A21" s="3"/>
      <c r="B21" s="3"/>
      <c r="C21" s="8"/>
      <c r="D21" s="6"/>
      <c r="E21" s="6">
        <f t="shared" si="3"/>
        <v>0</v>
      </c>
      <c r="F21" s="3"/>
      <c r="G21" s="6"/>
      <c r="H21" s="3"/>
      <c r="I21" s="6">
        <f t="shared" si="0"/>
        <v>-2164.1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9"/>
  <sheetViews>
    <sheetView workbookViewId="0">
      <pane ySplit="1" topLeftCell="A2" activePane="bottomLeft" state="frozen"/>
      <selection pane="bottomLeft" activeCell="D31" sqref="D31"/>
    </sheetView>
  </sheetViews>
  <sheetFormatPr defaultColWidth="8.85546875" defaultRowHeight="15.75" x14ac:dyDescent="0.25"/>
  <cols>
    <col min="1" max="1" width="11.28515625" style="1" customWidth="1"/>
    <col min="2" max="2" width="24.28515625" style="1" customWidth="1"/>
    <col min="3" max="3" width="8.85546875" style="1"/>
    <col min="4" max="4" width="12.7109375" style="7" bestFit="1" customWidth="1"/>
    <col min="5" max="5" width="14.8554687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44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4" t="s">
        <v>9</v>
      </c>
      <c r="B2" s="11" t="s">
        <v>45</v>
      </c>
      <c r="C2" s="3"/>
      <c r="D2" s="6"/>
      <c r="E2" s="6"/>
      <c r="F2" s="3"/>
      <c r="G2" s="6"/>
      <c r="H2" s="3"/>
      <c r="I2" s="6">
        <v>0</v>
      </c>
    </row>
    <row r="3" spans="1:9" x14ac:dyDescent="0.25">
      <c r="A3" s="3"/>
      <c r="B3" s="3"/>
      <c r="C3" s="8"/>
      <c r="D3" s="6"/>
      <c r="E3" s="6"/>
      <c r="F3" s="5">
        <v>45531</v>
      </c>
      <c r="G3" s="6">
        <v>484000</v>
      </c>
      <c r="H3" s="3" t="s">
        <v>10</v>
      </c>
      <c r="I3" s="6">
        <f>I2-E3+G3</f>
        <v>484000</v>
      </c>
    </row>
    <row r="4" spans="1:9" x14ac:dyDescent="0.25">
      <c r="A4" s="5">
        <v>45551</v>
      </c>
      <c r="B4" s="3" t="s">
        <v>46</v>
      </c>
      <c r="C4" s="8">
        <v>224.75</v>
      </c>
      <c r="D4" s="6">
        <v>605</v>
      </c>
      <c r="E4" s="6">
        <f>C4*D4</f>
        <v>135973.75</v>
      </c>
      <c r="F4" s="3"/>
      <c r="G4" s="6"/>
      <c r="H4" s="3"/>
      <c r="I4" s="6">
        <f t="shared" ref="I4:I28" si="0">I3-E4+G4</f>
        <v>348026.25</v>
      </c>
    </row>
    <row r="5" spans="1:9" x14ac:dyDescent="0.25">
      <c r="A5" s="3"/>
      <c r="B5" s="3" t="s">
        <v>47</v>
      </c>
      <c r="C5" s="8">
        <v>224.7</v>
      </c>
      <c r="D5" s="6">
        <v>605</v>
      </c>
      <c r="E5" s="6">
        <f t="shared" ref="E5:E7" si="1">C5*D5</f>
        <v>135943.5</v>
      </c>
      <c r="F5" s="3"/>
      <c r="G5" s="6"/>
      <c r="H5" s="3"/>
      <c r="I5" s="6">
        <f t="shared" si="0"/>
        <v>212082.75</v>
      </c>
    </row>
    <row r="6" spans="1:9" x14ac:dyDescent="0.25">
      <c r="A6" s="3"/>
      <c r="B6" s="3" t="s">
        <v>48</v>
      </c>
      <c r="C6" s="8">
        <v>225.4</v>
      </c>
      <c r="D6" s="6">
        <v>605</v>
      </c>
      <c r="E6" s="6">
        <f t="shared" si="1"/>
        <v>136367</v>
      </c>
      <c r="F6" s="3"/>
      <c r="G6" s="6"/>
      <c r="H6" s="3"/>
      <c r="I6" s="6">
        <f t="shared" si="0"/>
        <v>75715.75</v>
      </c>
    </row>
    <row r="7" spans="1:9" x14ac:dyDescent="0.25">
      <c r="A7" s="3"/>
      <c r="B7" s="3" t="s">
        <v>49</v>
      </c>
      <c r="C7" s="8">
        <v>228.35</v>
      </c>
      <c r="D7" s="6">
        <v>605</v>
      </c>
      <c r="E7" s="6">
        <f t="shared" si="1"/>
        <v>138151.75</v>
      </c>
      <c r="F7" s="3"/>
      <c r="G7" s="6"/>
      <c r="H7" s="3"/>
      <c r="I7" s="6">
        <f t="shared" si="0"/>
        <v>-62436</v>
      </c>
    </row>
    <row r="8" spans="1:9" x14ac:dyDescent="0.25">
      <c r="A8" s="5">
        <v>45576</v>
      </c>
      <c r="B8" s="3"/>
      <c r="C8" s="8"/>
      <c r="D8" s="6"/>
      <c r="E8" s="6"/>
      <c r="F8" s="5">
        <v>45576</v>
      </c>
      <c r="G8" s="6">
        <v>62436</v>
      </c>
      <c r="H8" s="3" t="s">
        <v>10</v>
      </c>
      <c r="I8" s="6">
        <f t="shared" si="0"/>
        <v>0</v>
      </c>
    </row>
    <row r="9" spans="1:9" x14ac:dyDescent="0.25">
      <c r="A9" s="3"/>
      <c r="B9" s="3"/>
      <c r="C9" s="8"/>
      <c r="D9" s="6"/>
      <c r="E9" s="6"/>
      <c r="F9" s="5">
        <v>45629</v>
      </c>
      <c r="G9" s="6">
        <v>458910</v>
      </c>
      <c r="H9" s="3" t="s">
        <v>10</v>
      </c>
      <c r="I9" s="6">
        <f t="shared" si="0"/>
        <v>458910</v>
      </c>
    </row>
    <row r="10" spans="1:9" x14ac:dyDescent="0.25">
      <c r="A10" s="5">
        <v>45645</v>
      </c>
      <c r="B10" s="3" t="s">
        <v>50</v>
      </c>
      <c r="C10" s="8">
        <v>229.2</v>
      </c>
      <c r="D10" s="6">
        <v>682</v>
      </c>
      <c r="E10" s="6">
        <f t="shared" ref="E10:E28" si="2">C10*D10</f>
        <v>156314.4</v>
      </c>
      <c r="F10" s="3"/>
      <c r="G10" s="6"/>
      <c r="H10" s="3"/>
      <c r="I10" s="6">
        <f t="shared" si="0"/>
        <v>302595.59999999998</v>
      </c>
    </row>
    <row r="11" spans="1:9" x14ac:dyDescent="0.25">
      <c r="A11" s="3"/>
      <c r="B11" s="3" t="s">
        <v>51</v>
      </c>
      <c r="C11" s="8">
        <v>266</v>
      </c>
      <c r="D11" s="6">
        <v>692</v>
      </c>
      <c r="E11" s="6">
        <f t="shared" si="2"/>
        <v>184072</v>
      </c>
      <c r="F11" s="3"/>
      <c r="G11" s="6"/>
      <c r="H11" s="3"/>
      <c r="I11" s="6">
        <f t="shared" si="0"/>
        <v>118523.59999999998</v>
      </c>
    </row>
    <row r="12" spans="1:9" x14ac:dyDescent="0.25">
      <c r="A12" s="3"/>
      <c r="B12" s="3" t="s">
        <v>52</v>
      </c>
      <c r="C12" s="8">
        <v>1</v>
      </c>
      <c r="D12" s="6">
        <v>184110</v>
      </c>
      <c r="E12" s="6">
        <f t="shared" si="2"/>
        <v>184110</v>
      </c>
      <c r="F12" s="3"/>
      <c r="G12" s="6"/>
      <c r="H12" s="3"/>
      <c r="I12" s="6">
        <f t="shared" si="0"/>
        <v>-65586.400000000023</v>
      </c>
    </row>
    <row r="13" spans="1:9" x14ac:dyDescent="0.25">
      <c r="A13" s="23">
        <v>2025</v>
      </c>
      <c r="B13" s="23"/>
      <c r="C13" s="24"/>
      <c r="D13" s="25"/>
      <c r="E13" s="25">
        <f t="shared" si="2"/>
        <v>0</v>
      </c>
      <c r="F13" s="23"/>
      <c r="G13" s="25"/>
      <c r="H13" s="23"/>
      <c r="I13" s="25">
        <f t="shared" si="0"/>
        <v>-65586.400000000023</v>
      </c>
    </row>
    <row r="14" spans="1:9" x14ac:dyDescent="0.25">
      <c r="A14" s="3"/>
      <c r="B14" s="3"/>
      <c r="C14" s="8"/>
      <c r="D14" s="6"/>
      <c r="E14" s="6">
        <f t="shared" si="2"/>
        <v>0</v>
      </c>
      <c r="F14" s="5">
        <v>45677</v>
      </c>
      <c r="G14" s="6">
        <v>82800</v>
      </c>
      <c r="H14" s="3" t="s">
        <v>10</v>
      </c>
      <c r="I14" s="6">
        <f t="shared" si="0"/>
        <v>17213.599999999977</v>
      </c>
    </row>
    <row r="15" spans="1:9" x14ac:dyDescent="0.25">
      <c r="A15" s="3"/>
      <c r="B15" s="3"/>
      <c r="C15" s="8"/>
      <c r="D15" s="6"/>
      <c r="E15" s="6">
        <f t="shared" si="2"/>
        <v>0</v>
      </c>
      <c r="F15" s="5">
        <v>45678</v>
      </c>
      <c r="G15" s="6">
        <v>41400</v>
      </c>
      <c r="H15" s="3" t="s">
        <v>10</v>
      </c>
      <c r="I15" s="6">
        <f t="shared" si="0"/>
        <v>58613.599999999977</v>
      </c>
    </row>
    <row r="16" spans="1:9" x14ac:dyDescent="0.25">
      <c r="A16" s="5">
        <v>45687</v>
      </c>
      <c r="B16" s="3" t="s">
        <v>53</v>
      </c>
      <c r="C16" s="8">
        <v>314.8</v>
      </c>
      <c r="D16" s="6">
        <v>414</v>
      </c>
      <c r="E16" s="6">
        <f t="shared" si="2"/>
        <v>130327.20000000001</v>
      </c>
      <c r="F16" s="3"/>
      <c r="G16" s="6"/>
      <c r="H16" s="3"/>
      <c r="I16" s="6">
        <f t="shared" si="0"/>
        <v>-71713.600000000035</v>
      </c>
    </row>
    <row r="17" spans="1:9" x14ac:dyDescent="0.25">
      <c r="A17" s="3"/>
      <c r="B17" s="3" t="s">
        <v>54</v>
      </c>
      <c r="C17" s="8">
        <v>170.3</v>
      </c>
      <c r="D17" s="6">
        <v>414</v>
      </c>
      <c r="E17" s="6">
        <f t="shared" si="2"/>
        <v>70504.200000000012</v>
      </c>
      <c r="F17" s="3"/>
      <c r="G17" s="6"/>
      <c r="H17" s="3"/>
      <c r="I17" s="6">
        <f t="shared" si="0"/>
        <v>-142217.80000000005</v>
      </c>
    </row>
    <row r="18" spans="1:9" x14ac:dyDescent="0.25">
      <c r="A18" s="29" t="s">
        <v>55</v>
      </c>
      <c r="B18" s="29"/>
      <c r="C18" s="30"/>
      <c r="D18" s="31"/>
      <c r="E18" s="31">
        <f t="shared" si="2"/>
        <v>0</v>
      </c>
      <c r="F18" s="29"/>
      <c r="G18" s="31"/>
      <c r="H18" s="29"/>
      <c r="I18" s="31">
        <f t="shared" si="0"/>
        <v>-142217.80000000005</v>
      </c>
    </row>
    <row r="19" spans="1:9" x14ac:dyDescent="0.25">
      <c r="A19" s="3"/>
      <c r="B19" s="3"/>
      <c r="C19" s="8"/>
      <c r="D19" s="6"/>
      <c r="E19" s="6">
        <f t="shared" si="2"/>
        <v>0</v>
      </c>
      <c r="F19" s="5">
        <v>45691</v>
      </c>
      <c r="G19" s="6">
        <v>142217.79999999999</v>
      </c>
      <c r="H19" s="3" t="s">
        <v>10</v>
      </c>
      <c r="I19" s="6">
        <f t="shared" si="0"/>
        <v>0</v>
      </c>
    </row>
    <row r="20" spans="1:9" x14ac:dyDescent="0.25">
      <c r="A20" s="3"/>
      <c r="B20" s="3"/>
      <c r="C20" s="8"/>
      <c r="D20" s="6"/>
      <c r="E20" s="6">
        <f t="shared" si="2"/>
        <v>0</v>
      </c>
      <c r="F20" s="5">
        <v>45701</v>
      </c>
      <c r="G20" s="6">
        <v>200000</v>
      </c>
      <c r="H20" s="3" t="s">
        <v>10</v>
      </c>
      <c r="I20" s="6">
        <f t="shared" si="0"/>
        <v>200000</v>
      </c>
    </row>
    <row r="21" spans="1:9" x14ac:dyDescent="0.25">
      <c r="A21" s="3"/>
      <c r="B21" s="3"/>
      <c r="C21" s="8"/>
      <c r="D21" s="6"/>
      <c r="E21" s="6">
        <f t="shared" si="2"/>
        <v>0</v>
      </c>
      <c r="F21" s="5">
        <v>45709</v>
      </c>
      <c r="G21" s="6">
        <v>100000</v>
      </c>
      <c r="H21" s="3" t="s">
        <v>10</v>
      </c>
      <c r="I21" s="6">
        <f t="shared" si="0"/>
        <v>300000</v>
      </c>
    </row>
    <row r="22" spans="1:9" s="14" customFormat="1" ht="38.25" x14ac:dyDescent="0.25">
      <c r="A22" s="12">
        <v>45709</v>
      </c>
      <c r="B22" s="50" t="s">
        <v>56</v>
      </c>
      <c r="C22" s="20">
        <v>768.35</v>
      </c>
      <c r="D22" s="21">
        <v>625</v>
      </c>
      <c r="E22" s="21">
        <f t="shared" si="2"/>
        <v>480218.75</v>
      </c>
      <c r="F22" s="13"/>
      <c r="G22" s="21"/>
      <c r="H22" s="13"/>
      <c r="I22" s="21">
        <f t="shared" si="0"/>
        <v>-180218.75</v>
      </c>
    </row>
    <row r="23" spans="1:9" ht="17.25" customHeight="1" x14ac:dyDescent="0.25">
      <c r="A23" s="3" t="s">
        <v>69</v>
      </c>
      <c r="B23" s="60" t="s">
        <v>65</v>
      </c>
      <c r="C23" s="8">
        <v>42.15</v>
      </c>
      <c r="D23" s="6">
        <v>682</v>
      </c>
      <c r="E23" s="6">
        <f t="shared" si="2"/>
        <v>28746.3</v>
      </c>
      <c r="F23" s="3"/>
      <c r="G23" s="6"/>
      <c r="H23" s="3"/>
      <c r="I23" s="6">
        <f t="shared" si="0"/>
        <v>-208965.05</v>
      </c>
    </row>
    <row r="24" spans="1:9" x14ac:dyDescent="0.25">
      <c r="A24" s="3"/>
      <c r="B24" s="3" t="s">
        <v>65</v>
      </c>
      <c r="C24" s="8">
        <v>42.15</v>
      </c>
      <c r="D24" s="6">
        <v>682</v>
      </c>
      <c r="E24" s="6">
        <f t="shared" si="2"/>
        <v>28746.3</v>
      </c>
      <c r="F24" s="3"/>
      <c r="G24" s="6"/>
      <c r="H24" s="3"/>
      <c r="I24" s="6">
        <f t="shared" si="0"/>
        <v>-237711.34999999998</v>
      </c>
    </row>
    <row r="25" spans="1:9" x14ac:dyDescent="0.25">
      <c r="A25" s="3"/>
      <c r="B25" s="3" t="s">
        <v>65</v>
      </c>
      <c r="C25" s="8">
        <v>15.42</v>
      </c>
      <c r="D25" s="6">
        <v>682</v>
      </c>
      <c r="E25" s="6">
        <f t="shared" si="2"/>
        <v>10516.44</v>
      </c>
      <c r="F25" s="3"/>
      <c r="G25" s="6"/>
      <c r="H25" s="3"/>
      <c r="I25" s="6">
        <f t="shared" si="0"/>
        <v>-248227.78999999998</v>
      </c>
    </row>
    <row r="26" spans="1:9" x14ac:dyDescent="0.25">
      <c r="A26" s="3"/>
      <c r="B26" s="3"/>
      <c r="C26" s="8">
        <v>39.979999999999997</v>
      </c>
      <c r="D26" s="6">
        <v>741</v>
      </c>
      <c r="E26" s="6">
        <f t="shared" si="2"/>
        <v>29625.179999999997</v>
      </c>
      <c r="F26" s="3"/>
      <c r="G26" s="6"/>
      <c r="H26" s="3"/>
      <c r="I26" s="6">
        <f t="shared" si="0"/>
        <v>-277852.96999999997</v>
      </c>
    </row>
    <row r="27" spans="1:9" x14ac:dyDescent="0.25">
      <c r="A27" s="3"/>
      <c r="B27" s="3"/>
      <c r="C27" s="8"/>
      <c r="D27" s="6"/>
      <c r="E27" s="6">
        <f t="shared" si="2"/>
        <v>0</v>
      </c>
      <c r="F27" s="3"/>
      <c r="G27" s="6"/>
      <c r="H27" s="3"/>
      <c r="I27" s="6">
        <f t="shared" si="0"/>
        <v>-277852.96999999997</v>
      </c>
    </row>
    <row r="28" spans="1:9" x14ac:dyDescent="0.25">
      <c r="A28" s="3"/>
      <c r="B28" s="3"/>
      <c r="C28" s="8"/>
      <c r="D28" s="6"/>
      <c r="E28" s="6">
        <f t="shared" si="2"/>
        <v>0</v>
      </c>
      <c r="F28" s="3"/>
      <c r="G28" s="6"/>
      <c r="H28" s="3"/>
      <c r="I28" s="6">
        <f t="shared" si="0"/>
        <v>-277852.96999999997</v>
      </c>
    </row>
    <row r="29" spans="1:9" x14ac:dyDescent="0.25">
      <c r="A29" s="3"/>
      <c r="B29" s="3"/>
      <c r="C29" s="8"/>
      <c r="D29" s="6"/>
      <c r="E29" s="6">
        <f>SUM(E3:E27)</f>
        <v>1849616.7699999998</v>
      </c>
      <c r="F29" s="3"/>
      <c r="G29" s="6">
        <f>SUM(G3:G28)</f>
        <v>1571763.8</v>
      </c>
      <c r="H29" s="3"/>
      <c r="I29" s="6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1"/>
  <sheetViews>
    <sheetView workbookViewId="0">
      <pane ySplit="1" topLeftCell="A2" activePane="bottomLeft" state="frozen"/>
      <selection pane="bottomLeft" activeCell="F29" sqref="F29"/>
    </sheetView>
  </sheetViews>
  <sheetFormatPr defaultColWidth="8.85546875" defaultRowHeight="15.75" x14ac:dyDescent="0.25"/>
  <cols>
    <col min="1" max="1" width="11.140625" style="18" customWidth="1"/>
    <col min="2" max="2" width="17.140625" style="1" customWidth="1"/>
    <col min="3" max="3" width="8.85546875" style="1"/>
    <col min="4" max="4" width="8.85546875" style="7"/>
    <col min="5" max="5" width="12.710937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15" t="s">
        <v>0</v>
      </c>
      <c r="B1" s="9" t="s">
        <v>1</v>
      </c>
      <c r="C1" s="9" t="s">
        <v>17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16" t="s">
        <v>9</v>
      </c>
      <c r="B2" s="3"/>
      <c r="C2" s="3"/>
      <c r="D2" s="6"/>
      <c r="E2" s="6"/>
      <c r="F2" s="3"/>
      <c r="G2" s="6"/>
      <c r="H2" s="3"/>
      <c r="I2" s="6">
        <v>0</v>
      </c>
    </row>
    <row r="3" spans="1:9" s="14" customFormat="1" ht="30" x14ac:dyDescent="0.25">
      <c r="A3" s="12">
        <v>45624</v>
      </c>
      <c r="B3" s="19" t="s">
        <v>57</v>
      </c>
      <c r="C3" s="20">
        <v>100</v>
      </c>
      <c r="D3" s="21">
        <v>12.59</v>
      </c>
      <c r="E3" s="21">
        <f>C3*D3</f>
        <v>1259</v>
      </c>
      <c r="F3" s="12">
        <v>45624</v>
      </c>
      <c r="G3" s="21">
        <v>1259</v>
      </c>
      <c r="H3" s="13" t="s">
        <v>58</v>
      </c>
      <c r="I3" s="21">
        <f>I2-E3+G3</f>
        <v>0</v>
      </c>
    </row>
    <row r="4" spans="1:9" s="14" customFormat="1" x14ac:dyDescent="0.25">
      <c r="A4" s="12"/>
      <c r="B4" s="13"/>
      <c r="C4" s="20"/>
      <c r="D4" s="21"/>
      <c r="E4" s="21"/>
      <c r="F4" s="13"/>
      <c r="G4" s="21"/>
      <c r="H4" s="13"/>
      <c r="I4" s="21">
        <f t="shared" ref="I4:I21" si="0">I3-E4+G4</f>
        <v>0</v>
      </c>
    </row>
    <row r="5" spans="1:9" s="14" customFormat="1" x14ac:dyDescent="0.25">
      <c r="A5" s="13"/>
      <c r="B5" s="13"/>
      <c r="C5" s="20"/>
      <c r="D5" s="21"/>
      <c r="E5" s="21"/>
      <c r="F5" s="13"/>
      <c r="G5" s="21"/>
      <c r="H5" s="13"/>
      <c r="I5" s="21">
        <f t="shared" si="0"/>
        <v>0</v>
      </c>
    </row>
    <row r="6" spans="1:9" s="14" customFormat="1" x14ac:dyDescent="0.25">
      <c r="A6" s="13"/>
      <c r="B6" s="13"/>
      <c r="C6" s="20"/>
      <c r="D6" s="21"/>
      <c r="E6" s="21"/>
      <c r="F6" s="13"/>
      <c r="G6" s="21"/>
      <c r="H6" s="13"/>
      <c r="I6" s="21">
        <f t="shared" si="0"/>
        <v>0</v>
      </c>
    </row>
    <row r="7" spans="1:9" s="14" customFormat="1" x14ac:dyDescent="0.25">
      <c r="A7" s="13"/>
      <c r="B7" s="13"/>
      <c r="C7" s="20"/>
      <c r="D7" s="21"/>
      <c r="E7" s="21"/>
      <c r="F7" s="13"/>
      <c r="G7" s="21"/>
      <c r="H7" s="13"/>
      <c r="I7" s="21">
        <f t="shared" si="0"/>
        <v>0</v>
      </c>
    </row>
    <row r="8" spans="1:9" s="14" customFormat="1" x14ac:dyDescent="0.25">
      <c r="A8" s="13"/>
      <c r="B8" s="13"/>
      <c r="C8" s="20"/>
      <c r="D8" s="21"/>
      <c r="E8" s="21"/>
      <c r="F8" s="13"/>
      <c r="G8" s="21"/>
      <c r="H8" s="13"/>
      <c r="I8" s="21">
        <f t="shared" si="0"/>
        <v>0</v>
      </c>
    </row>
    <row r="9" spans="1:9" s="14" customFormat="1" x14ac:dyDescent="0.25">
      <c r="A9" s="13"/>
      <c r="B9" s="13"/>
      <c r="C9" s="20"/>
      <c r="D9" s="21"/>
      <c r="E9" s="21"/>
      <c r="F9" s="13"/>
      <c r="G9" s="21"/>
      <c r="H9" s="13"/>
      <c r="I9" s="21">
        <f t="shared" si="0"/>
        <v>0</v>
      </c>
    </row>
    <row r="10" spans="1:9" s="14" customFormat="1" x14ac:dyDescent="0.25">
      <c r="A10" s="13"/>
      <c r="B10" s="13"/>
      <c r="C10" s="20"/>
      <c r="D10" s="21"/>
      <c r="E10" s="21"/>
      <c r="F10" s="13"/>
      <c r="G10" s="21"/>
      <c r="H10" s="13"/>
      <c r="I10" s="21">
        <f t="shared" si="0"/>
        <v>0</v>
      </c>
    </row>
    <row r="11" spans="1:9" s="14" customFormat="1" x14ac:dyDescent="0.25">
      <c r="A11" s="13"/>
      <c r="B11" s="13"/>
      <c r="C11" s="20"/>
      <c r="D11" s="21"/>
      <c r="E11" s="21"/>
      <c r="F11" s="13"/>
      <c r="G11" s="21"/>
      <c r="H11" s="13"/>
      <c r="I11" s="21">
        <f t="shared" si="0"/>
        <v>0</v>
      </c>
    </row>
    <row r="12" spans="1:9" s="14" customFormat="1" x14ac:dyDescent="0.25">
      <c r="A12" s="13"/>
      <c r="B12" s="13"/>
      <c r="C12" s="20"/>
      <c r="D12" s="21"/>
      <c r="E12" s="21"/>
      <c r="F12" s="13"/>
      <c r="G12" s="21"/>
      <c r="H12" s="13"/>
      <c r="I12" s="21">
        <f t="shared" si="0"/>
        <v>0</v>
      </c>
    </row>
    <row r="13" spans="1:9" s="14" customFormat="1" x14ac:dyDescent="0.25">
      <c r="A13" s="13"/>
      <c r="B13" s="13"/>
      <c r="C13" s="20"/>
      <c r="D13" s="21"/>
      <c r="E13" s="21"/>
      <c r="F13" s="13"/>
      <c r="G13" s="21"/>
      <c r="H13" s="13"/>
      <c r="I13" s="21">
        <f t="shared" si="0"/>
        <v>0</v>
      </c>
    </row>
    <row r="14" spans="1:9" s="14" customFormat="1" x14ac:dyDescent="0.25">
      <c r="A14" s="13"/>
      <c r="B14" s="13"/>
      <c r="C14" s="20"/>
      <c r="D14" s="21"/>
      <c r="E14" s="21"/>
      <c r="F14" s="13"/>
      <c r="G14" s="21"/>
      <c r="H14" s="13"/>
      <c r="I14" s="21">
        <f t="shared" si="0"/>
        <v>0</v>
      </c>
    </row>
    <row r="15" spans="1:9" s="14" customFormat="1" x14ac:dyDescent="0.25">
      <c r="A15" s="13"/>
      <c r="B15" s="13"/>
      <c r="C15" s="20"/>
      <c r="D15" s="21"/>
      <c r="E15" s="21"/>
      <c r="F15" s="13"/>
      <c r="G15" s="21"/>
      <c r="H15" s="13"/>
      <c r="I15" s="21">
        <f t="shared" si="0"/>
        <v>0</v>
      </c>
    </row>
    <row r="16" spans="1:9" s="14" customFormat="1" x14ac:dyDescent="0.25">
      <c r="A16" s="13"/>
      <c r="B16" s="13"/>
      <c r="C16" s="20"/>
      <c r="D16" s="21"/>
      <c r="E16" s="21"/>
      <c r="F16" s="13"/>
      <c r="G16" s="21"/>
      <c r="H16" s="13"/>
      <c r="I16" s="21">
        <f t="shared" si="0"/>
        <v>0</v>
      </c>
    </row>
    <row r="17" spans="1:9" x14ac:dyDescent="0.25">
      <c r="A17" s="17"/>
      <c r="B17" s="3"/>
      <c r="C17" s="8"/>
      <c r="D17" s="6"/>
      <c r="E17" s="6"/>
      <c r="F17" s="3"/>
      <c r="G17" s="6"/>
      <c r="H17" s="3"/>
      <c r="I17" s="6">
        <f t="shared" si="0"/>
        <v>0</v>
      </c>
    </row>
    <row r="18" spans="1:9" x14ac:dyDescent="0.25">
      <c r="A18" s="17"/>
      <c r="B18" s="3"/>
      <c r="C18" s="8"/>
      <c r="D18" s="6"/>
      <c r="E18" s="6"/>
      <c r="F18" s="3"/>
      <c r="G18" s="6"/>
      <c r="H18" s="3"/>
      <c r="I18" s="6">
        <f t="shared" si="0"/>
        <v>0</v>
      </c>
    </row>
    <row r="19" spans="1:9" x14ac:dyDescent="0.25">
      <c r="A19" s="17"/>
      <c r="B19" s="3"/>
      <c r="C19" s="8"/>
      <c r="D19" s="6"/>
      <c r="E19" s="6"/>
      <c r="F19" s="3"/>
      <c r="G19" s="6"/>
      <c r="H19" s="3"/>
      <c r="I19" s="6">
        <f t="shared" si="0"/>
        <v>0</v>
      </c>
    </row>
    <row r="20" spans="1:9" x14ac:dyDescent="0.25">
      <c r="A20" s="17"/>
      <c r="B20" s="3"/>
      <c r="C20" s="8"/>
      <c r="D20" s="6"/>
      <c r="E20" s="6"/>
      <c r="F20" s="3"/>
      <c r="G20" s="6"/>
      <c r="H20" s="3"/>
      <c r="I20" s="6">
        <f t="shared" si="0"/>
        <v>0</v>
      </c>
    </row>
    <row r="21" spans="1:9" x14ac:dyDescent="0.25">
      <c r="A21" s="17"/>
      <c r="B21" s="3"/>
      <c r="C21" s="8"/>
      <c r="D21" s="6"/>
      <c r="E21" s="6"/>
      <c r="F21" s="3"/>
      <c r="G21" s="6"/>
      <c r="H21" s="3"/>
      <c r="I21" s="6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14</vt:i4>
      </vt:variant>
    </vt:vector>
  </HeadingPairs>
  <TitlesOfParts>
    <vt:vector size="14" baseType="lpstr">
      <vt:lpstr>Аурум Фуд</vt:lpstr>
      <vt:lpstr>Золотой Снек</vt:lpstr>
      <vt:lpstr>Интернет-Решения</vt:lpstr>
      <vt:lpstr>Лейбл Стик</vt:lpstr>
      <vt:lpstr>ООО ТД Л-Пак</vt:lpstr>
      <vt:lpstr>Тара.ру</vt:lpstr>
      <vt:lpstr>СЗ-Гофра</vt:lpstr>
      <vt:lpstr>Упак Ареал</vt:lpstr>
      <vt:lpstr>РусУпак</vt:lpstr>
      <vt:lpstr>Пластик</vt:lpstr>
      <vt:lpstr>Полимаркет</vt:lpstr>
      <vt:lpstr>Приопак</vt:lpstr>
      <vt:lpstr>Ф-Граф</vt:lpstr>
      <vt:lpstr>чл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2025-07-11T17:57:05Z</dcterms:modified>
  <cp:category/>
  <cp:contentStatus/>
</cp:coreProperties>
</file>