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32A92D6D-DCC3-48E8-B08E-0ABC2146EB00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БелторгФ" sheetId="7" r:id="rId1"/>
    <sheet name="ИП Супрунов" sheetId="1" r:id="rId2"/>
    <sheet name="ИП Лысенко" sheetId="15" r:id="rId3"/>
    <sheet name="Золотой Снек" sheetId="2" r:id="rId4"/>
    <sheet name="Компас класс" sheetId="12" r:id="rId5"/>
    <sheet name="Рыбацкое дело" sheetId="5" r:id="rId6"/>
    <sheet name="СНГ" sheetId="6" r:id="rId7"/>
    <sheet name="ТМК-Сервис" sheetId="3" r:id="rId8"/>
    <sheet name="Универсам Бег" sheetId="13" r:id="rId9"/>
    <sheet name="Яндекс.Л" sheetId="9" r:id="rId10"/>
    <sheet name="чл" sheetId="10" r:id="rId11"/>
    <sheet name="Экобиотехн" sheetId="11" r:id="rId12"/>
    <sheet name="ЭЛЕМЕНТ-ТРЕЙД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4" l="1"/>
  <c r="L23" i="7"/>
  <c r="L24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R25" i="15"/>
  <c r="R26" i="15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"/>
  <c r="H25" i="7"/>
  <c r="K25" i="7"/>
  <c r="Q58" i="15"/>
  <c r="N58" i="15"/>
  <c r="Q25" i="1"/>
  <c r="N25" i="1"/>
  <c r="B90" i="2"/>
  <c r="B89" i="2"/>
  <c r="S69" i="10"/>
  <c r="S70" i="10"/>
  <c r="S71" i="10"/>
  <c r="S68" i="10"/>
  <c r="S67" i="10"/>
  <c r="S66" i="10"/>
  <c r="S63" i="10"/>
  <c r="S64" i="10"/>
  <c r="S65" i="10"/>
  <c r="L24" i="1"/>
  <c r="B24" i="1"/>
  <c r="C24" i="1"/>
  <c r="D24" i="1"/>
  <c r="E24" i="1"/>
  <c r="F24" i="1"/>
  <c r="S60" i="10"/>
  <c r="S61" i="10"/>
  <c r="S62" i="10"/>
  <c r="S59" i="10"/>
  <c r="G72" i="10"/>
  <c r="S50" i="10"/>
  <c r="S51" i="10"/>
  <c r="S52" i="10"/>
  <c r="S53" i="10"/>
  <c r="S54" i="10"/>
  <c r="S55" i="10"/>
  <c r="S56" i="10"/>
  <c r="S57" i="10"/>
  <c r="S58" i="10"/>
  <c r="F72" i="10"/>
  <c r="H72" i="10"/>
  <c r="I72" i="10"/>
  <c r="J72" i="10"/>
  <c r="K72" i="10"/>
  <c r="L72" i="10"/>
  <c r="M72" i="10"/>
  <c r="N72" i="10"/>
  <c r="O72" i="10"/>
  <c r="P72" i="10"/>
  <c r="Q72" i="10"/>
  <c r="B87" i="2"/>
  <c r="S72" i="10" l="1"/>
  <c r="W72" i="10" s="1"/>
  <c r="S44" i="10"/>
  <c r="S45" i="10"/>
  <c r="S46" i="10"/>
  <c r="S47" i="10"/>
  <c r="S48" i="10"/>
  <c r="S49" i="10"/>
  <c r="S43" i="10"/>
  <c r="S41" i="10"/>
  <c r="S42" i="10"/>
  <c r="H23" i="14"/>
  <c r="V45" i="10" l="1"/>
  <c r="B17" i="14"/>
  <c r="B16" i="14"/>
  <c r="B18" i="14"/>
  <c r="B19" i="14"/>
  <c r="B20" i="14"/>
  <c r="H19" i="14"/>
  <c r="H18" i="14"/>
  <c r="S31" i="10"/>
  <c r="S32" i="10"/>
  <c r="S33" i="10"/>
  <c r="S34" i="10"/>
  <c r="S35" i="10"/>
  <c r="S36" i="10"/>
  <c r="S38" i="10"/>
  <c r="S39" i="10"/>
  <c r="S40" i="10"/>
  <c r="N10" i="15" l="1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L9" i="15"/>
  <c r="K9" i="15"/>
  <c r="J9" i="15"/>
  <c r="I9" i="15"/>
  <c r="N9" i="15" s="1"/>
  <c r="G79" i="2"/>
  <c r="F79" i="2"/>
  <c r="P79" i="2"/>
  <c r="R7" i="2"/>
  <c r="R8" i="2"/>
  <c r="R9" i="2"/>
  <c r="R20" i="2"/>
  <c r="R21" i="2"/>
  <c r="R22" i="2"/>
  <c r="R23" i="2"/>
  <c r="R48" i="2"/>
  <c r="R49" i="2"/>
  <c r="R50" i="2"/>
  <c r="R51" i="2"/>
  <c r="R52" i="2"/>
  <c r="R56" i="2"/>
  <c r="R57" i="2"/>
  <c r="R58" i="2"/>
  <c r="R59" i="2"/>
  <c r="R60" i="2"/>
  <c r="R61" i="2"/>
  <c r="R62" i="2"/>
  <c r="R69" i="2"/>
  <c r="R70" i="2"/>
  <c r="R71" i="2"/>
  <c r="R72" i="2"/>
  <c r="R73" i="2"/>
  <c r="R74" i="2"/>
  <c r="R76" i="2"/>
  <c r="R77" i="2"/>
  <c r="R78" i="2"/>
  <c r="R80" i="2"/>
  <c r="R81" i="2"/>
  <c r="R82" i="2"/>
  <c r="R83" i="2"/>
  <c r="R84" i="2"/>
  <c r="R85" i="2"/>
  <c r="R86" i="2"/>
  <c r="R87" i="2"/>
  <c r="V87" i="2" s="1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J79" i="2"/>
  <c r="E79" i="2"/>
  <c r="B13" i="14"/>
  <c r="L13" i="15"/>
  <c r="K13" i="15"/>
  <c r="J13" i="15"/>
  <c r="I13" i="15"/>
  <c r="N13" i="15" s="1"/>
  <c r="R79" i="2" l="1"/>
  <c r="F13" i="15"/>
  <c r="H12" i="15"/>
  <c r="N12" i="15" s="1"/>
  <c r="G11" i="15"/>
  <c r="N11" i="15" s="1"/>
  <c r="F11" i="15" l="1"/>
  <c r="F12" i="15"/>
  <c r="K76" i="9"/>
  <c r="K77" i="9"/>
  <c r="K78" i="9"/>
  <c r="K79" i="9"/>
  <c r="K80" i="9"/>
  <c r="K81" i="9"/>
  <c r="K82" i="9"/>
  <c r="K83" i="9"/>
  <c r="K84" i="9"/>
  <c r="K85" i="9"/>
  <c r="K86" i="9"/>
  <c r="K87" i="9"/>
  <c r="S22" i="10"/>
  <c r="S23" i="10"/>
  <c r="S24" i="10"/>
  <c r="S25" i="10"/>
  <c r="S26" i="10"/>
  <c r="S27" i="10"/>
  <c r="S28" i="10"/>
  <c r="S29" i="10"/>
  <c r="S30" i="10"/>
  <c r="H11" i="14"/>
  <c r="H10" i="14" l="1"/>
  <c r="H8" i="15"/>
  <c r="G7" i="15"/>
  <c r="F7" i="15" l="1"/>
  <c r="N7" i="15"/>
  <c r="F8" i="15"/>
  <c r="N8" i="15"/>
  <c r="J3" i="14" l="1"/>
  <c r="J4" i="14" s="1"/>
  <c r="J5" i="14" s="1"/>
  <c r="J6" i="14" s="1"/>
  <c r="H7" i="14"/>
  <c r="J7" i="14" l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H5" i="15"/>
  <c r="F5" i="15" s="1"/>
  <c r="G4" i="15"/>
  <c r="F4" i="15" s="1"/>
  <c r="F57" i="15" s="1"/>
  <c r="E40" i="9" l="1"/>
  <c r="K40" i="9" s="1"/>
  <c r="H39" i="9"/>
  <c r="G38" i="9"/>
  <c r="K38" i="9" s="1"/>
  <c r="H37" i="9"/>
  <c r="K37" i="9" s="1"/>
  <c r="G36" i="9"/>
  <c r="K36" i="9" s="1"/>
  <c r="F35" i="9"/>
  <c r="K35" i="9" s="1"/>
  <c r="E34" i="9"/>
  <c r="K34" i="9" s="1"/>
  <c r="K39" i="9"/>
  <c r="K57" i="15" l="1"/>
  <c r="J57" i="15"/>
  <c r="I57" i="15"/>
  <c r="H57" i="15"/>
  <c r="B57" i="15"/>
  <c r="N6" i="15"/>
  <c r="N5" i="15"/>
  <c r="N4" i="15"/>
  <c r="N3" i="15"/>
  <c r="G57" i="15"/>
  <c r="N57" i="15" l="1"/>
  <c r="F69" i="9"/>
  <c r="E69" i="9"/>
  <c r="H68" i="9"/>
  <c r="F67" i="9"/>
  <c r="E67" i="9"/>
  <c r="H66" i="9"/>
  <c r="G65" i="9"/>
  <c r="F65" i="9"/>
  <c r="B24" i="14"/>
  <c r="B23" i="14"/>
  <c r="B22" i="14"/>
  <c r="B21" i="14"/>
  <c r="B15" i="14"/>
  <c r="B14" i="14"/>
  <c r="B12" i="14"/>
  <c r="B11" i="14"/>
  <c r="B10" i="14"/>
  <c r="B9" i="14"/>
  <c r="B8" i="14"/>
  <c r="B7" i="14"/>
  <c r="B6" i="14"/>
  <c r="B5" i="14"/>
  <c r="B4" i="14"/>
  <c r="B3" i="14" l="1"/>
  <c r="G63" i="9"/>
  <c r="E63" i="9"/>
  <c r="H62" i="9"/>
  <c r="F62" i="9"/>
  <c r="E3" i="14" l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75" i="14"/>
  <c r="L75" i="2"/>
  <c r="N75" i="2"/>
  <c r="G75" i="2"/>
  <c r="E75" i="2"/>
  <c r="D75" i="2"/>
  <c r="R75" i="2" s="1"/>
  <c r="E17" i="14" l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H61" i="9"/>
  <c r="G61" i="9"/>
  <c r="F61" i="9"/>
  <c r="E61" i="9"/>
  <c r="E60" i="9"/>
  <c r="G59" i="9"/>
  <c r="E59" i="9"/>
  <c r="G58" i="9"/>
  <c r="F58" i="9"/>
  <c r="E28" i="14" l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E3" i="13" l="1"/>
  <c r="I56" i="13"/>
  <c r="B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6" i="13"/>
  <c r="K25" i="13"/>
  <c r="K24" i="13"/>
  <c r="K23" i="13"/>
  <c r="K22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E56" i="13"/>
  <c r="F56" i="13"/>
  <c r="H56" i="9"/>
  <c r="G56" i="9"/>
  <c r="F56" i="9"/>
  <c r="E56" i="9"/>
  <c r="K21" i="13" l="1"/>
  <c r="G56" i="13"/>
  <c r="K27" i="13"/>
  <c r="K3" i="13"/>
  <c r="O3" i="13" s="1"/>
  <c r="H56" i="13"/>
  <c r="K4" i="13"/>
  <c r="G55" i="9"/>
  <c r="K55" i="9" s="1"/>
  <c r="H54" i="9"/>
  <c r="F53" i="9"/>
  <c r="K53" i="9" s="1"/>
  <c r="G52" i="9"/>
  <c r="H51" i="9"/>
  <c r="E50" i="9"/>
  <c r="K50" i="9" s="1"/>
  <c r="F49" i="9"/>
  <c r="H48" i="9"/>
  <c r="K48" i="9" s="1"/>
  <c r="E47" i="9"/>
  <c r="K47" i="9" s="1"/>
  <c r="G46" i="9"/>
  <c r="F45" i="9"/>
  <c r="B88" i="9"/>
  <c r="K45" i="9"/>
  <c r="K46" i="9"/>
  <c r="K49" i="9"/>
  <c r="K51" i="9"/>
  <c r="K52" i="9"/>
  <c r="K54" i="9"/>
  <c r="K56" i="9"/>
  <c r="O4" i="13" l="1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K56" i="13"/>
  <c r="H44" i="9"/>
  <c r="G43" i="9"/>
  <c r="F42" i="9"/>
  <c r="E41" i="9"/>
  <c r="K41" i="9" s="1"/>
  <c r="F12" i="12" l="1"/>
  <c r="I11" i="12"/>
  <c r="L10" i="12"/>
  <c r="H8" i="12"/>
  <c r="G9" i="12"/>
  <c r="K7" i="12"/>
  <c r="E6" i="12"/>
  <c r="J5" i="12"/>
  <c r="D4" i="12"/>
  <c r="E29" i="9"/>
  <c r="H32" i="9"/>
  <c r="F33" i="9"/>
  <c r="G32" i="9"/>
  <c r="E32" i="9"/>
  <c r="K33" i="9"/>
  <c r="K42" i="9"/>
  <c r="K43" i="9"/>
  <c r="K44" i="9"/>
  <c r="H31" i="9"/>
  <c r="E30" i="9"/>
  <c r="F30" i="9"/>
  <c r="H29" i="9"/>
  <c r="G28" i="9"/>
  <c r="F28" i="9"/>
  <c r="H27" i="9"/>
  <c r="G27" i="9"/>
  <c r="F27" i="9"/>
  <c r="E27" i="9"/>
  <c r="F26" i="9"/>
  <c r="H25" i="9"/>
  <c r="E25" i="9"/>
  <c r="G25" i="9"/>
  <c r="K32" i="9" l="1"/>
  <c r="H24" i="9" l="1"/>
  <c r="G24" i="9"/>
  <c r="F24" i="9"/>
  <c r="E24" i="9"/>
  <c r="F23" i="9"/>
  <c r="E23" i="9"/>
  <c r="G22" i="9"/>
  <c r="F22" i="9"/>
  <c r="G21" i="9"/>
  <c r="F21" i="9"/>
  <c r="K21" i="9" s="1"/>
  <c r="H20" i="9"/>
  <c r="G20" i="9"/>
  <c r="F20" i="9"/>
  <c r="E20" i="9"/>
  <c r="H19" i="9"/>
  <c r="G18" i="9"/>
  <c r="F17" i="9"/>
  <c r="E16" i="9"/>
  <c r="K22" i="9"/>
  <c r="K25" i="9"/>
  <c r="K26" i="9"/>
  <c r="K27" i="9"/>
  <c r="K28" i="9"/>
  <c r="K29" i="9"/>
  <c r="K30" i="9"/>
  <c r="K31" i="9"/>
  <c r="K20" i="9" l="1"/>
  <c r="K24" i="9"/>
  <c r="K23" i="9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H15" i="9"/>
  <c r="G14" i="9"/>
  <c r="F13" i="9"/>
  <c r="E12" i="9"/>
  <c r="D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K29" i="12"/>
  <c r="E29" i="12"/>
  <c r="N8" i="12"/>
  <c r="G29" i="12"/>
  <c r="N7" i="12"/>
  <c r="N6" i="12"/>
  <c r="F29" i="12"/>
  <c r="I29" i="12"/>
  <c r="N4" i="12"/>
  <c r="L29" i="12"/>
  <c r="N3" i="12"/>
  <c r="R3" i="12" l="1"/>
  <c r="R4" i="12" s="1"/>
  <c r="J29" i="12"/>
  <c r="N5" i="12"/>
  <c r="N9" i="12"/>
  <c r="H29" i="12"/>
  <c r="N29" i="12" l="1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D18" i="11" l="1"/>
  <c r="D19" i="11"/>
  <c r="D20" i="11"/>
  <c r="D21" i="11"/>
  <c r="D22" i="11"/>
  <c r="D23" i="11"/>
  <c r="D11" i="11"/>
  <c r="D12" i="11"/>
  <c r="D13" i="11"/>
  <c r="D14" i="11"/>
  <c r="D15" i="11"/>
  <c r="D16" i="11"/>
  <c r="D17" i="11"/>
  <c r="D4" i="11"/>
  <c r="D5" i="11"/>
  <c r="D6" i="11"/>
  <c r="D7" i="11"/>
  <c r="D8" i="11"/>
  <c r="D9" i="11"/>
  <c r="D10" i="11"/>
  <c r="D3" i="11"/>
  <c r="H3" i="11" s="1"/>
  <c r="B24" i="11"/>
  <c r="H11" i="9"/>
  <c r="G10" i="9"/>
  <c r="F9" i="9"/>
  <c r="E8" i="9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3" i="10"/>
  <c r="W3" i="10" s="1"/>
  <c r="H4" i="11" l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H7" i="9"/>
  <c r="G6" i="9"/>
  <c r="F5" i="9"/>
  <c r="E4" i="9"/>
  <c r="F68" i="2"/>
  <c r="R68" i="2" s="1"/>
  <c r="N67" i="2"/>
  <c r="R67" i="2" s="1"/>
  <c r="E66" i="2"/>
  <c r="R66" i="2" s="1"/>
  <c r="K65" i="2"/>
  <c r="R65" i="2" s="1"/>
  <c r="J64" i="2"/>
  <c r="R64" i="2" s="1"/>
  <c r="H63" i="2"/>
  <c r="R63" i="2" s="1"/>
  <c r="H3" i="9" l="1"/>
  <c r="H88" i="9" s="1"/>
  <c r="G3" i="9"/>
  <c r="F3" i="9"/>
  <c r="F88" i="9" s="1"/>
  <c r="E3" i="9"/>
  <c r="I88" i="9"/>
  <c r="G88" i="9"/>
  <c r="E88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 l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K88" i="9"/>
  <c r="O34" i="9" l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B102" i="2" l="1"/>
  <c r="D55" i="2"/>
  <c r="R55" i="2" s="1"/>
  <c r="E54" i="2"/>
  <c r="R54" i="2" s="1"/>
  <c r="G53" i="2"/>
  <c r="R53" i="2" s="1"/>
  <c r="D46" i="2" l="1"/>
  <c r="R46" i="2" s="1"/>
  <c r="C102" i="2" l="1"/>
  <c r="L47" i="2" l="1"/>
  <c r="R47" i="2" s="1"/>
  <c r="K45" i="2"/>
  <c r="R45" i="2" s="1"/>
  <c r="H44" i="2"/>
  <c r="R44" i="2" s="1"/>
  <c r="H43" i="2"/>
  <c r="R43" i="2" s="1"/>
  <c r="N42" i="2"/>
  <c r="R42" i="2" s="1"/>
  <c r="O41" i="2"/>
  <c r="R41" i="2" s="1"/>
  <c r="E40" i="2"/>
  <c r="R40" i="2" s="1"/>
  <c r="G39" i="2"/>
  <c r="R39" i="2" s="1"/>
  <c r="H38" i="2"/>
  <c r="R38" i="2" s="1"/>
  <c r="J37" i="2"/>
  <c r="R37" i="2" s="1"/>
  <c r="K36" i="2"/>
  <c r="R36" i="2" s="1"/>
  <c r="E35" i="2"/>
  <c r="R35" i="2" s="1"/>
  <c r="N34" i="2"/>
  <c r="R34" i="2" s="1"/>
  <c r="N102" i="2"/>
  <c r="J33" i="2"/>
  <c r="R33" i="2" s="1"/>
  <c r="O102" i="2" l="1"/>
  <c r="F24" i="7"/>
  <c r="E24" i="7"/>
  <c r="D24" i="7"/>
  <c r="C24" i="7"/>
  <c r="B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4" i="7" l="1"/>
  <c r="F32" i="2"/>
  <c r="R32" i="2" s="1"/>
  <c r="D31" i="2"/>
  <c r="R31" i="2" s="1"/>
  <c r="G30" i="2"/>
  <c r="R30" i="2" s="1"/>
  <c r="E29" i="2"/>
  <c r="R29" i="2" s="1"/>
  <c r="M27" i="2" l="1"/>
  <c r="R27" i="2" s="1"/>
  <c r="L28" i="2"/>
  <c r="R28" i="2" s="1"/>
  <c r="G26" i="2"/>
  <c r="R26" i="2" s="1"/>
  <c r="D25" i="2"/>
  <c r="R25" i="2" s="1"/>
  <c r="E24" i="2"/>
  <c r="R24" i="2" s="1"/>
  <c r="M102" i="2" l="1"/>
  <c r="D24" i="3"/>
  <c r="D29" i="6"/>
  <c r="H29" i="5"/>
  <c r="K29" i="5"/>
  <c r="L29" i="5"/>
  <c r="H24" i="1" l="1"/>
  <c r="I24" i="1"/>
  <c r="J24" i="1"/>
  <c r="K24" i="1"/>
  <c r="G24" i="1"/>
  <c r="I9" i="5" l="1"/>
  <c r="I29" i="5" s="1"/>
  <c r="E8" i="5"/>
  <c r="E29" i="5" s="1"/>
  <c r="F7" i="5"/>
  <c r="F29" i="5" s="1"/>
  <c r="J6" i="5"/>
  <c r="J29" i="5" s="1"/>
  <c r="G5" i="5"/>
  <c r="G29" i="5" s="1"/>
  <c r="D4" i="5"/>
  <c r="D29" i="5" s="1"/>
  <c r="K10" i="6" l="1"/>
  <c r="K29" i="6" s="1"/>
  <c r="E9" i="6"/>
  <c r="E29" i="6" s="1"/>
  <c r="G8" i="6"/>
  <c r="H7" i="6"/>
  <c r="H29" i="6" s="1"/>
  <c r="F6" i="6"/>
  <c r="I5" i="6"/>
  <c r="I29" i="6" s="1"/>
  <c r="L4" i="6"/>
  <c r="J3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7" i="6"/>
  <c r="N5" i="6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R3" i="5" l="1"/>
  <c r="N29" i="5"/>
  <c r="N3" i="6"/>
  <c r="J29" i="6"/>
  <c r="N4" i="6"/>
  <c r="L29" i="6"/>
  <c r="N6" i="6"/>
  <c r="F29" i="6"/>
  <c r="N8" i="6"/>
  <c r="G29" i="6"/>
  <c r="R4" i="5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K19" i="2"/>
  <c r="R19" i="2" s="1"/>
  <c r="D18" i="2"/>
  <c r="R18" i="2" s="1"/>
  <c r="F17" i="2"/>
  <c r="R17" i="2" s="1"/>
  <c r="E16" i="2"/>
  <c r="R16" i="2" s="1"/>
  <c r="L15" i="2"/>
  <c r="R15" i="2" s="1"/>
  <c r="R3" i="6" l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N29" i="6"/>
  <c r="F102" i="2"/>
  <c r="L102" i="2"/>
  <c r="I9" i="3"/>
  <c r="K8" i="3"/>
  <c r="K24" i="3" s="1"/>
  <c r="G7" i="3"/>
  <c r="G24" i="3" s="1"/>
  <c r="F6" i="3"/>
  <c r="F24" i="3" s="1"/>
  <c r="J5" i="3"/>
  <c r="J24" i="3" s="1"/>
  <c r="H4" i="3"/>
  <c r="H24" i="3" s="1"/>
  <c r="E3" i="3"/>
  <c r="E24" i="3" s="1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8" i="3"/>
  <c r="M7" i="3"/>
  <c r="M6" i="3"/>
  <c r="M5" i="3"/>
  <c r="M4" i="3"/>
  <c r="M3" i="3"/>
  <c r="Q3" i="3" l="1"/>
  <c r="M9" i="3"/>
  <c r="M24" i="3" s="1"/>
  <c r="I24" i="3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K14" i="2"/>
  <c r="R14" i="2" s="1"/>
  <c r="D13" i="2"/>
  <c r="R13" i="2" s="1"/>
  <c r="J12" i="2"/>
  <c r="R12" i="2" s="1"/>
  <c r="E11" i="2"/>
  <c r="R11" i="2" s="1"/>
  <c r="I10" i="2"/>
  <c r="R10" i="2" s="1"/>
  <c r="I102" i="2" l="1"/>
  <c r="K102" i="2"/>
  <c r="J102" i="2"/>
  <c r="H6" i="2"/>
  <c r="R6" i="2" s="1"/>
  <c r="G5" i="2"/>
  <c r="R5" i="2" s="1"/>
  <c r="E4" i="2"/>
  <c r="R4" i="2" s="1"/>
  <c r="E102" i="2" l="1"/>
  <c r="H102" i="2"/>
  <c r="G3" i="2"/>
  <c r="G102" i="2" s="1"/>
  <c r="D3" i="2"/>
  <c r="R3" i="2" s="1"/>
  <c r="R102" i="2" l="1"/>
  <c r="D102" i="2"/>
  <c r="N22" i="1"/>
  <c r="N23" i="1"/>
  <c r="N24" i="1"/>
  <c r="R3" i="1"/>
  <c r="R4" i="1" s="1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V80" i="2" l="1"/>
  <c r="V81" i="2" s="1"/>
  <c r="V82" i="2" s="1"/>
  <c r="V83" i="2" s="1"/>
  <c r="V84" i="2" s="1"/>
  <c r="V85" i="2" s="1"/>
  <c r="V86" i="2" s="1"/>
  <c r="V88" i="2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</calcChain>
</file>

<file path=xl/sharedStrings.xml><?xml version="1.0" encoding="utf-8"?>
<sst xmlns="http://schemas.openxmlformats.org/spreadsheetml/2006/main" count="448" uniqueCount="125">
  <si>
    <t>дата отгрузки</t>
  </si>
  <si>
    <t>Арахис в хрустящей корочке Бекон 0,5</t>
  </si>
  <si>
    <t xml:space="preserve"> Арахис в хрустящей корочке Васаби 0,5</t>
  </si>
  <si>
    <t>Арахис в хрустящей корочке Сметана зелень 0,5</t>
  </si>
  <si>
    <t>Арахис в хрустящей корочке Сыр 0,5</t>
  </si>
  <si>
    <t xml:space="preserve"> Арахис в хрустящей корочке Барбекю 0,5</t>
  </si>
  <si>
    <t>цена</t>
  </si>
  <si>
    <t>сумма</t>
  </si>
  <si>
    <t>дата оплаты</t>
  </si>
  <si>
    <t>способ</t>
  </si>
  <si>
    <t>итого</t>
  </si>
  <si>
    <t>р/с</t>
  </si>
  <si>
    <t>Арахис Микс 0,5 кг</t>
  </si>
  <si>
    <t>Арахис Бекон 0,5 кг</t>
  </si>
  <si>
    <t>Арахис Васаби 0,5 кг</t>
  </si>
  <si>
    <t>Арахис Шашлык 0,5 кг</t>
  </si>
  <si>
    <t>Арахис Барбекю 0,5 кг</t>
  </si>
  <si>
    <t>Арахис Сыр 0,5 кг</t>
  </si>
  <si>
    <t>Арахис Красная икра 0,5 кг</t>
  </si>
  <si>
    <t>Арахис Креветка 0,5 кг</t>
  </si>
  <si>
    <t>Арахис Салями 0,5 кг</t>
  </si>
  <si>
    <t>Арахис Мексик соус 0,5 кг</t>
  </si>
  <si>
    <t>Арахис Холодец-хрен 0,5 кг</t>
  </si>
  <si>
    <t>цена, 0.5 кг</t>
  </si>
  <si>
    <t>кол-во мест</t>
  </si>
  <si>
    <t>кол-во в коробе</t>
  </si>
  <si>
    <t>фасовка, кг</t>
  </si>
  <si>
    <t>итого вес, кг</t>
  </si>
  <si>
    <t xml:space="preserve">Арахис Квадромикс </t>
  </si>
  <si>
    <t>Арахис Ассорти</t>
  </si>
  <si>
    <t xml:space="preserve">Арахис в ХК Барбекю </t>
  </si>
  <si>
    <t>Арахис в ХК Васаби</t>
  </si>
  <si>
    <t>Арахис в Хк Сметана-зелень</t>
  </si>
  <si>
    <t>Арахис в ХК Лук</t>
  </si>
  <si>
    <t>Рс</t>
  </si>
  <si>
    <t>апрель</t>
  </si>
  <si>
    <t>май</t>
  </si>
  <si>
    <t>13 мая</t>
  </si>
  <si>
    <t>кг/место</t>
  </si>
  <si>
    <t xml:space="preserve">Арахис в хрустящей корочке Микс </t>
  </si>
  <si>
    <t xml:space="preserve"> Арахис в хрустящей корочке Васаби </t>
  </si>
  <si>
    <t xml:space="preserve">Арахис в хрустящей корочке Сметана зелень </t>
  </si>
  <si>
    <t xml:space="preserve">Арахис в хрустящей корочке Сыр </t>
  </si>
  <si>
    <t xml:space="preserve"> Арахис в хрустящей корочке Барбекю</t>
  </si>
  <si>
    <t xml:space="preserve"> Арахис в хрустящей корочке Салями</t>
  </si>
  <si>
    <t xml:space="preserve"> Арахис в хрустящей корочке Бекон</t>
  </si>
  <si>
    <t xml:space="preserve"> Арахис в хрустящей корочке Шашлык</t>
  </si>
  <si>
    <t xml:space="preserve"> Арахис в хрустящей корочке Красная икра</t>
  </si>
  <si>
    <t xml:space="preserve"> Арахис в хрустящей корочке Холодец-хрен</t>
  </si>
  <si>
    <t xml:space="preserve"> Арахис в хрустящей корочке Мексик соус</t>
  </si>
  <si>
    <t>Арахис в хрустящей корочке Креветка</t>
  </si>
  <si>
    <t>Арахис в хрустящей корочке Чили</t>
  </si>
  <si>
    <t>цена, 1,0 кг</t>
  </si>
  <si>
    <t>2025 год</t>
  </si>
  <si>
    <t>февраль</t>
  </si>
  <si>
    <t xml:space="preserve">05 мая </t>
  </si>
  <si>
    <t>12 мая</t>
  </si>
  <si>
    <t>14 мая</t>
  </si>
  <si>
    <t xml:space="preserve">Арахис Микс </t>
  </si>
  <si>
    <t xml:space="preserve"> Арахис Васаби</t>
  </si>
  <si>
    <t xml:space="preserve">Арахис Сметана зелень </t>
  </si>
  <si>
    <t xml:space="preserve">Арахис Сыр </t>
  </si>
  <si>
    <t xml:space="preserve"> Арахис Барбекю</t>
  </si>
  <si>
    <t xml:space="preserve"> Арахис Салями</t>
  </si>
  <si>
    <t xml:space="preserve"> Арахис Бекон</t>
  </si>
  <si>
    <t xml:space="preserve"> Арахис Шашлык</t>
  </si>
  <si>
    <t xml:space="preserve"> Арахис Красная икра</t>
  </si>
  <si>
    <t xml:space="preserve"> Арахис в хрустящей корочке Соль</t>
  </si>
  <si>
    <t>март</t>
  </si>
  <si>
    <t xml:space="preserve"> Арахис в хрустящей корочке Чили</t>
  </si>
  <si>
    <t>кол-во тарелок, 200г</t>
  </si>
  <si>
    <t>ретробонус 5%</t>
  </si>
  <si>
    <t>кол-во вложений</t>
  </si>
  <si>
    <t>Арахис Хк Бекон 100гр</t>
  </si>
  <si>
    <t>Арахис Хк Сыр 100гр</t>
  </si>
  <si>
    <t>Арахис Хк Васаби 100гр</t>
  </si>
  <si>
    <t>Арахис Хк Чили 100гр</t>
  </si>
  <si>
    <t>Питер</t>
  </si>
  <si>
    <t>Екатеринбург</t>
  </si>
  <si>
    <t>Ростов-на-Дону</t>
  </si>
  <si>
    <t>Казань</t>
  </si>
  <si>
    <t>05 мая</t>
  </si>
  <si>
    <t>покупатель</t>
  </si>
  <si>
    <t>Смаки</t>
  </si>
  <si>
    <t xml:space="preserve"> Арахис Васаби </t>
  </si>
  <si>
    <t xml:space="preserve"> Арахис Креветка</t>
  </si>
  <si>
    <t>Арахис Салями</t>
  </si>
  <si>
    <t>Арахис Мексик соус</t>
  </si>
  <si>
    <t>Арахис Шашлык</t>
  </si>
  <si>
    <t>цена, единица</t>
  </si>
  <si>
    <t>База №5</t>
  </si>
  <si>
    <t>касса</t>
  </si>
  <si>
    <t>тарелки</t>
  </si>
  <si>
    <t>Пивкофф</t>
  </si>
  <si>
    <t>ИП Супрунов</t>
  </si>
  <si>
    <t>пакетик</t>
  </si>
  <si>
    <t>ч/л</t>
  </si>
  <si>
    <t>пакет</t>
  </si>
  <si>
    <t>06 мая</t>
  </si>
  <si>
    <t>07 мая</t>
  </si>
  <si>
    <t>МЮ</t>
  </si>
  <si>
    <t>ИП1</t>
  </si>
  <si>
    <t>масло пальмовое отработка</t>
  </si>
  <si>
    <t>% ставка</t>
  </si>
  <si>
    <t>дней</t>
  </si>
  <si>
    <t>начислено</t>
  </si>
  <si>
    <t>оплачено</t>
  </si>
  <si>
    <t xml:space="preserve">13 мая </t>
  </si>
  <si>
    <t>16-18 мая</t>
  </si>
  <si>
    <t>19 мая</t>
  </si>
  <si>
    <t xml:space="preserve">19 мая </t>
  </si>
  <si>
    <t>22 мая</t>
  </si>
  <si>
    <t>23-25 мая</t>
  </si>
  <si>
    <t>Арахис ж/с</t>
  </si>
  <si>
    <t xml:space="preserve">16-18 мая </t>
  </si>
  <si>
    <t>26 мая</t>
  </si>
  <si>
    <t>27 мая</t>
  </si>
  <si>
    <t>Пифкофф</t>
  </si>
  <si>
    <t>30 мая-1 июня</t>
  </si>
  <si>
    <t>30 мая-01 июня</t>
  </si>
  <si>
    <t>28 мая</t>
  </si>
  <si>
    <t>29 мая</t>
  </si>
  <si>
    <t xml:space="preserve">29 мая </t>
  </si>
  <si>
    <t>30 мая</t>
  </si>
  <si>
    <t>02.06.2025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</si>
</sst>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8" fontId="1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6" fillId="2" borderId="32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" fontId="1" fillId="0" borderId="34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" fontId="1" fillId="0" borderId="35" xfId="0" applyNumberFormat="1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2" fillId="2" borderId="32" xfId="0" applyNumberFormat="1" applyFont="1" applyFill="1" applyBorder="1" applyAlignment="1">
      <alignment horizontal="center" vertical="center"/>
    </xf>
    <xf numFmtId="8" fontId="1" fillId="0" borderId="13" xfId="0" applyNumberFormat="1" applyFont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3" fillId="8" borderId="41" xfId="0" applyNumberFormat="1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center" vertical="center"/>
    </xf>
    <xf numFmtId="164" fontId="15" fillId="9" borderId="4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" fontId="2" fillId="2" borderId="2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K25" sqref="K25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2.85546875" style="1" customWidth="1"/>
    <col min="4" max="4" width="15.5703125" style="1" customWidth="1"/>
    <col min="5" max="5" width="12.28515625" style="1" customWidth="1"/>
    <col min="6" max="6" width="13.28515625" style="1" customWidth="1"/>
    <col min="7" max="7" width="10.28515625" style="8" customWidth="1"/>
    <col min="8" max="8" width="14.85546875" style="8" bestFit="1" customWidth="1"/>
    <col min="9" max="10" width="8.85546875" style="1"/>
    <col min="11" max="11" width="14.85546875" style="8" bestFit="1" customWidth="1"/>
    <col min="12" max="12" width="16" style="48" customWidth="1"/>
    <col min="13" max="16384" width="8.85546875" style="1"/>
  </cols>
  <sheetData>
    <row r="1" spans="1:12" s="2" customFormat="1" ht="7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3" t="s">
        <v>9</v>
      </c>
      <c r="K1" s="6" t="s">
        <v>7</v>
      </c>
      <c r="L1" s="151"/>
    </row>
    <row r="2" spans="1:12" x14ac:dyDescent="0.25">
      <c r="A2" s="4"/>
      <c r="B2" s="5"/>
      <c r="C2" s="5"/>
      <c r="D2" s="5"/>
      <c r="E2" s="5"/>
      <c r="F2" s="5"/>
      <c r="G2" s="7"/>
      <c r="H2" s="7"/>
      <c r="I2" s="4"/>
      <c r="J2" s="4"/>
      <c r="K2" s="7"/>
      <c r="L2" s="7">
        <v>0</v>
      </c>
    </row>
    <row r="3" spans="1:12" x14ac:dyDescent="0.25">
      <c r="A3" s="9">
        <v>45716</v>
      </c>
      <c r="B3" s="5">
        <v>6000</v>
      </c>
      <c r="C3" s="5">
        <v>6000</v>
      </c>
      <c r="D3" s="5"/>
      <c r="E3" s="5">
        <v>6000</v>
      </c>
      <c r="F3" s="5"/>
      <c r="G3" s="7">
        <v>87.5</v>
      </c>
      <c r="H3" s="7">
        <f t="shared" ref="H3:H24" si="0">B3*G3+C3*G3+D3*G3+E3*G3+F3*G3</f>
        <v>1575000</v>
      </c>
      <c r="I3" s="9">
        <v>45716</v>
      </c>
      <c r="J3" s="4" t="s">
        <v>11</v>
      </c>
      <c r="K3" s="7">
        <v>1575000</v>
      </c>
      <c r="L3" s="7">
        <f>L2+H3-K3</f>
        <v>0</v>
      </c>
    </row>
    <row r="4" spans="1:12" x14ac:dyDescent="0.25">
      <c r="A4" s="44"/>
      <c r="B4" s="13"/>
      <c r="C4" s="13"/>
      <c r="D4" s="13"/>
      <c r="E4" s="13"/>
      <c r="F4" s="13"/>
      <c r="G4" s="14"/>
      <c r="H4" s="14">
        <f t="shared" si="0"/>
        <v>0</v>
      </c>
      <c r="I4" s="44"/>
      <c r="J4" s="12"/>
      <c r="K4" s="14"/>
      <c r="L4" s="7">
        <f t="shared" ref="L4:L24" si="1">L3+H4-K4</f>
        <v>0</v>
      </c>
    </row>
    <row r="5" spans="1:12" x14ac:dyDescent="0.25">
      <c r="A5" s="4"/>
      <c r="B5" s="5"/>
      <c r="C5" s="5"/>
      <c r="D5" s="5"/>
      <c r="E5" s="5"/>
      <c r="F5" s="5"/>
      <c r="G5" s="7"/>
      <c r="H5" s="7">
        <f t="shared" si="0"/>
        <v>0</v>
      </c>
      <c r="I5" s="9">
        <v>45737</v>
      </c>
      <c r="J5" s="4" t="s">
        <v>11</v>
      </c>
      <c r="K5" s="7">
        <v>500000</v>
      </c>
      <c r="L5" s="7">
        <f t="shared" si="1"/>
        <v>-500000</v>
      </c>
    </row>
    <row r="6" spans="1:12" ht="16.5" thickBot="1" x14ac:dyDescent="0.3">
      <c r="A6" s="50"/>
      <c r="B6" s="49"/>
      <c r="C6" s="49"/>
      <c r="D6" s="49"/>
      <c r="E6" s="49"/>
      <c r="F6" s="49"/>
      <c r="G6" s="108"/>
      <c r="H6" s="108">
        <f t="shared" si="0"/>
        <v>0</v>
      </c>
      <c r="I6" s="154">
        <v>45743</v>
      </c>
      <c r="J6" s="50" t="s">
        <v>11</v>
      </c>
      <c r="K6" s="108">
        <v>800000</v>
      </c>
      <c r="L6" s="7">
        <f t="shared" si="1"/>
        <v>-1300000</v>
      </c>
    </row>
    <row r="7" spans="1:12" ht="16.5" thickBot="1" x14ac:dyDescent="0.3">
      <c r="A7" s="109">
        <v>45744</v>
      </c>
      <c r="B7" s="111">
        <v>6000</v>
      </c>
      <c r="C7" s="111">
        <v>6000</v>
      </c>
      <c r="D7" s="111"/>
      <c r="E7" s="111">
        <v>6000</v>
      </c>
      <c r="F7" s="111"/>
      <c r="G7" s="112">
        <v>87.5</v>
      </c>
      <c r="H7" s="112">
        <f t="shared" si="0"/>
        <v>1575000</v>
      </c>
      <c r="I7" s="156">
        <v>45744</v>
      </c>
      <c r="J7" s="157" t="s">
        <v>11</v>
      </c>
      <c r="K7" s="112">
        <v>275000</v>
      </c>
      <c r="L7" s="7">
        <f t="shared" si="1"/>
        <v>0</v>
      </c>
    </row>
    <row r="8" spans="1:12" ht="16.5" thickBot="1" x14ac:dyDescent="0.3">
      <c r="A8" s="212"/>
      <c r="B8" s="210"/>
      <c r="C8" s="210"/>
      <c r="D8" s="210"/>
      <c r="E8" s="210"/>
      <c r="F8" s="210"/>
      <c r="G8" s="213"/>
      <c r="H8" s="213">
        <f t="shared" si="0"/>
        <v>0</v>
      </c>
      <c r="I8" s="212"/>
      <c r="J8" s="212"/>
      <c r="K8" s="213"/>
      <c r="L8" s="7">
        <f t="shared" si="1"/>
        <v>0</v>
      </c>
    </row>
    <row r="9" spans="1:12" ht="16.5" thickBot="1" x14ac:dyDescent="0.3">
      <c r="A9" s="4" t="s">
        <v>123</v>
      </c>
      <c r="B9" s="5">
        <v>20000</v>
      </c>
      <c r="C9" s="5"/>
      <c r="D9" s="5"/>
      <c r="E9" s="5"/>
      <c r="F9" s="5"/>
      <c r="G9" s="7">
        <v>85</v>
      </c>
      <c r="H9" s="7">
        <f t="shared" si="0"/>
        <v>1700000</v>
      </c>
      <c r="I9" s="9">
        <v>45800</v>
      </c>
      <c r="J9" s="157" t="s">
        <v>11</v>
      </c>
      <c r="K9" s="7">
        <v>1700000</v>
      </c>
      <c r="L9" s="7">
        <f t="shared" si="1"/>
        <v>0</v>
      </c>
    </row>
    <row r="10" spans="1:12" x14ac:dyDescent="0.25">
      <c r="A10" s="4"/>
      <c r="B10" s="5"/>
      <c r="C10" s="5"/>
      <c r="D10" s="5"/>
      <c r="E10" s="5"/>
      <c r="F10" s="5"/>
      <c r="G10" s="7"/>
      <c r="H10" s="7">
        <f t="shared" si="0"/>
        <v>0</v>
      </c>
      <c r="I10" s="4"/>
      <c r="J10" s="4"/>
      <c r="K10" s="7"/>
      <c r="L10" s="7">
        <f t="shared" si="1"/>
        <v>0</v>
      </c>
    </row>
    <row r="11" spans="1:12" x14ac:dyDescent="0.25">
      <c r="A11" s="4"/>
      <c r="B11" s="5"/>
      <c r="C11" s="5"/>
      <c r="D11" s="5"/>
      <c r="E11" s="5"/>
      <c r="F11" s="5"/>
      <c r="G11" s="7"/>
      <c r="H11" s="7">
        <f t="shared" si="0"/>
        <v>0</v>
      </c>
      <c r="I11" s="4"/>
      <c r="J11" s="4"/>
      <c r="K11" s="7"/>
      <c r="L11" s="7">
        <f t="shared" si="1"/>
        <v>0</v>
      </c>
    </row>
    <row r="12" spans="1:12" x14ac:dyDescent="0.25">
      <c r="A12" s="4"/>
      <c r="B12" s="5"/>
      <c r="C12" s="5"/>
      <c r="D12" s="5"/>
      <c r="E12" s="5"/>
      <c r="F12" s="5"/>
      <c r="G12" s="7"/>
      <c r="H12" s="7">
        <f t="shared" si="0"/>
        <v>0</v>
      </c>
      <c r="I12" s="4"/>
      <c r="J12" s="4"/>
      <c r="K12" s="7"/>
      <c r="L12" s="7">
        <f t="shared" si="1"/>
        <v>0</v>
      </c>
    </row>
    <row r="13" spans="1:12" x14ac:dyDescent="0.25">
      <c r="A13" s="4"/>
      <c r="B13" s="5"/>
      <c r="C13" s="5"/>
      <c r="D13" s="5"/>
      <c r="E13" s="5"/>
      <c r="F13" s="5"/>
      <c r="G13" s="7"/>
      <c r="H13" s="7">
        <f t="shared" si="0"/>
        <v>0</v>
      </c>
      <c r="I13" s="4"/>
      <c r="J13" s="4"/>
      <c r="K13" s="7"/>
      <c r="L13" s="7">
        <f t="shared" si="1"/>
        <v>0</v>
      </c>
    </row>
    <row r="14" spans="1:12" x14ac:dyDescent="0.25">
      <c r="A14" s="4"/>
      <c r="B14" s="5"/>
      <c r="C14" s="5"/>
      <c r="D14" s="5"/>
      <c r="E14" s="5"/>
      <c r="F14" s="5"/>
      <c r="G14" s="7"/>
      <c r="H14" s="7">
        <f t="shared" si="0"/>
        <v>0</v>
      </c>
      <c r="I14" s="4"/>
      <c r="J14" s="4"/>
      <c r="K14" s="7"/>
      <c r="L14" s="7">
        <f t="shared" si="1"/>
        <v>0</v>
      </c>
    </row>
    <row r="15" spans="1:12" x14ac:dyDescent="0.25">
      <c r="A15" s="4"/>
      <c r="B15" s="5"/>
      <c r="C15" s="5"/>
      <c r="D15" s="5"/>
      <c r="E15" s="5"/>
      <c r="F15" s="5"/>
      <c r="G15" s="7"/>
      <c r="H15" s="7">
        <f t="shared" si="0"/>
        <v>0</v>
      </c>
      <c r="I15" s="4"/>
      <c r="J15" s="4"/>
      <c r="K15" s="7"/>
      <c r="L15" s="7">
        <f t="shared" si="1"/>
        <v>0</v>
      </c>
    </row>
    <row r="16" spans="1:12" x14ac:dyDescent="0.25">
      <c r="A16" s="4"/>
      <c r="B16" s="5"/>
      <c r="C16" s="5"/>
      <c r="D16" s="5"/>
      <c r="E16" s="5"/>
      <c r="F16" s="5"/>
      <c r="G16" s="7"/>
      <c r="H16" s="7">
        <f t="shared" si="0"/>
        <v>0</v>
      </c>
      <c r="I16" s="4"/>
      <c r="J16" s="4"/>
      <c r="K16" s="7"/>
      <c r="L16" s="7">
        <f t="shared" si="1"/>
        <v>0</v>
      </c>
    </row>
    <row r="17" spans="1:12" x14ac:dyDescent="0.25">
      <c r="A17" s="4"/>
      <c r="B17" s="5"/>
      <c r="C17" s="5"/>
      <c r="D17" s="5"/>
      <c r="E17" s="5"/>
      <c r="F17" s="5"/>
      <c r="G17" s="7"/>
      <c r="H17" s="7">
        <f t="shared" si="0"/>
        <v>0</v>
      </c>
      <c r="I17" s="4"/>
      <c r="J17" s="4"/>
      <c r="K17" s="7"/>
      <c r="L17" s="7">
        <f t="shared" si="1"/>
        <v>0</v>
      </c>
    </row>
    <row r="18" spans="1:12" x14ac:dyDescent="0.25">
      <c r="A18" s="4"/>
      <c r="B18" s="5"/>
      <c r="C18" s="5"/>
      <c r="D18" s="5"/>
      <c r="E18" s="5"/>
      <c r="F18" s="5"/>
      <c r="G18" s="7"/>
      <c r="H18" s="7">
        <f t="shared" si="0"/>
        <v>0</v>
      </c>
      <c r="I18" s="4"/>
      <c r="J18" s="4"/>
      <c r="K18" s="7"/>
      <c r="L18" s="7">
        <f t="shared" si="1"/>
        <v>0</v>
      </c>
    </row>
    <row r="19" spans="1:12" x14ac:dyDescent="0.25">
      <c r="A19" s="4"/>
      <c r="B19" s="5"/>
      <c r="C19" s="5"/>
      <c r="D19" s="5"/>
      <c r="E19" s="5"/>
      <c r="F19" s="5"/>
      <c r="G19" s="7"/>
      <c r="H19" s="7">
        <f t="shared" si="0"/>
        <v>0</v>
      </c>
      <c r="I19" s="4"/>
      <c r="J19" s="4"/>
      <c r="K19" s="7"/>
      <c r="L19" s="7">
        <f t="shared" si="1"/>
        <v>0</v>
      </c>
    </row>
    <row r="20" spans="1:12" x14ac:dyDescent="0.25">
      <c r="A20" s="4"/>
      <c r="B20" s="5"/>
      <c r="C20" s="5"/>
      <c r="D20" s="5"/>
      <c r="E20" s="5"/>
      <c r="F20" s="5"/>
      <c r="G20" s="7"/>
      <c r="H20" s="7">
        <f t="shared" si="0"/>
        <v>0</v>
      </c>
      <c r="I20" s="4"/>
      <c r="J20" s="4"/>
      <c r="K20" s="7"/>
      <c r="L20" s="7">
        <f t="shared" si="1"/>
        <v>0</v>
      </c>
    </row>
    <row r="21" spans="1:12" x14ac:dyDescent="0.25">
      <c r="A21" s="4"/>
      <c r="B21" s="5"/>
      <c r="C21" s="5"/>
      <c r="D21" s="5"/>
      <c r="E21" s="5"/>
      <c r="F21" s="5"/>
      <c r="G21" s="7"/>
      <c r="H21" s="7">
        <f t="shared" si="0"/>
        <v>0</v>
      </c>
      <c r="I21" s="4"/>
      <c r="J21" s="4"/>
      <c r="K21" s="7"/>
      <c r="L21" s="7">
        <f t="shared" si="1"/>
        <v>0</v>
      </c>
    </row>
    <row r="22" spans="1:12" x14ac:dyDescent="0.25">
      <c r="A22" s="4"/>
      <c r="B22" s="5"/>
      <c r="C22" s="5"/>
      <c r="D22" s="5"/>
      <c r="E22" s="5"/>
      <c r="F22" s="5"/>
      <c r="G22" s="7"/>
      <c r="H22" s="7">
        <f t="shared" si="0"/>
        <v>0</v>
      </c>
      <c r="I22" s="4"/>
      <c r="J22" s="4"/>
      <c r="K22" s="7"/>
      <c r="L22" s="7">
        <f t="shared" si="1"/>
        <v>0</v>
      </c>
    </row>
    <row r="23" spans="1:12" x14ac:dyDescent="0.25">
      <c r="A23" s="4"/>
      <c r="B23" s="5"/>
      <c r="C23" s="5"/>
      <c r="D23" s="5"/>
      <c r="E23" s="5"/>
      <c r="F23" s="5"/>
      <c r="G23" s="7"/>
      <c r="H23" s="7">
        <f t="shared" si="0"/>
        <v>0</v>
      </c>
      <c r="I23" s="4"/>
      <c r="J23" s="4"/>
      <c r="K23" s="7"/>
      <c r="L23" s="7">
        <f t="shared" si="1"/>
        <v>0</v>
      </c>
    </row>
    <row r="24" spans="1:12" x14ac:dyDescent="0.25">
      <c r="A24" s="4"/>
      <c r="B24" s="5">
        <f>SUM(B3:B23)</f>
        <v>32000</v>
      </c>
      <c r="C24" s="5">
        <f>SUM(C3:C23)</f>
        <v>12000</v>
      </c>
      <c r="D24" s="5">
        <f>SUM(D3:D23)</f>
        <v>0</v>
      </c>
      <c r="E24" s="5">
        <f>SUM(E3:E23)</f>
        <v>12000</v>
      </c>
      <c r="F24" s="5">
        <f>SUM(F3:F23)</f>
        <v>0</v>
      </c>
      <c r="G24" s="7"/>
      <c r="H24" s="7">
        <f t="shared" si="0"/>
        <v>0</v>
      </c>
      <c r="I24" s="4"/>
      <c r="J24" s="4"/>
      <c r="K24" s="7"/>
      <c r="L24" s="7">
        <f t="shared" si="1"/>
        <v>0</v>
      </c>
    </row>
    <row r="25" spans="1:12" x14ac:dyDescent="0.25">
      <c r="H25" s="8">
        <f>SUM(H3:H24)</f>
        <v>4850000</v>
      </c>
      <c r="K25" s="8">
        <f>SUM(K2:K24)</f>
        <v>4850000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ySplit="1" topLeftCell="A2" activePane="bottomLeft" state="frozen"/>
      <selection pane="bottomLeft" activeCell="Q29" sqref="Q29"/>
    </sheetView>
  </sheetViews>
  <sheetFormatPr defaultColWidth="8.85546875" defaultRowHeight="15.75" x14ac:dyDescent="0.25"/>
  <cols>
    <col min="1" max="1" width="9.7109375" style="1" customWidth="1"/>
    <col min="2" max="2" width="8.85546875" style="1" customWidth="1"/>
    <col min="3" max="6" width="9.7109375" style="1" customWidth="1"/>
    <col min="7" max="7" width="12.7109375" style="1" customWidth="1"/>
    <col min="8" max="8" width="12.85546875" style="1" customWidth="1"/>
    <col min="9" max="9" width="11.7109375" style="1" customWidth="1"/>
    <col min="10" max="10" width="11.140625" style="1" customWidth="1"/>
    <col min="11" max="11" width="13.28515625" style="1" customWidth="1"/>
    <col min="12" max="12" width="12.7109375" style="1" customWidth="1"/>
    <col min="13" max="13" width="10.28515625" style="8" customWidth="1"/>
    <col min="14" max="14" width="13.140625" style="8" bestFit="1" customWidth="1"/>
    <col min="15" max="15" width="10.5703125" style="1" customWidth="1"/>
    <col min="16" max="16" width="8.85546875" style="1"/>
    <col min="17" max="17" width="13.140625" style="8" bestFit="1" customWidth="1"/>
    <col min="18" max="18" width="14.7109375" style="8" customWidth="1"/>
    <col min="19" max="16384" width="8.85546875" style="1"/>
  </cols>
  <sheetData>
    <row r="1" spans="1:18" s="2" customFormat="1" ht="47.2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6" t="s">
        <v>23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9"/>
      <c r="C3" s="9"/>
      <c r="D3" s="9"/>
      <c r="E3" s="9"/>
      <c r="F3" s="9"/>
      <c r="G3" s="5">
        <v>50</v>
      </c>
      <c r="H3" s="5">
        <v>20</v>
      </c>
      <c r="I3" s="5">
        <v>20</v>
      </c>
      <c r="J3" s="5">
        <v>20</v>
      </c>
      <c r="K3" s="5">
        <v>20</v>
      </c>
      <c r="L3" s="5"/>
      <c r="M3" s="7">
        <v>220</v>
      </c>
      <c r="N3" s="7">
        <f>B3*M3+C3*M3+D3*M3+E3*M3+F3*M3+G3*M3+H3*M3+I3*M3+J3*M3+K3*M3+L3*M3</f>
        <v>28600</v>
      </c>
      <c r="O3" s="4"/>
      <c r="P3" s="4"/>
      <c r="Q3" s="7"/>
      <c r="R3" s="7">
        <f>R2+N3-Q3</f>
        <v>28600</v>
      </c>
    </row>
    <row r="4" spans="1:18" x14ac:dyDescent="0.2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7"/>
      <c r="N4" s="7">
        <f t="shared" ref="N4:N21" si="0">B4*M4+C4*M4+D4*M4+E4*M4+F4*M4+G4*M4+H4*M4+I4*M4+J4*M4+K4*M4+L4*M4</f>
        <v>0</v>
      </c>
      <c r="O4" s="9">
        <v>45572</v>
      </c>
      <c r="P4" s="4" t="s">
        <v>11</v>
      </c>
      <c r="Q4" s="7">
        <v>28600</v>
      </c>
      <c r="R4" s="7">
        <f t="shared" ref="R4:R24" si="1">R3+N4-Q4</f>
        <v>0</v>
      </c>
    </row>
    <row r="5" spans="1:18" x14ac:dyDescent="0.25">
      <c r="A5" s="44">
        <v>45701</v>
      </c>
      <c r="B5" s="4">
        <v>60</v>
      </c>
      <c r="C5" s="4">
        <v>60</v>
      </c>
      <c r="D5" s="4">
        <v>60</v>
      </c>
      <c r="E5" s="4">
        <v>40</v>
      </c>
      <c r="F5" s="4">
        <v>20</v>
      </c>
      <c r="G5" s="5">
        <v>20</v>
      </c>
      <c r="H5" s="5">
        <v>40</v>
      </c>
      <c r="I5" s="5">
        <v>40</v>
      </c>
      <c r="J5" s="5">
        <v>40</v>
      </c>
      <c r="K5" s="5">
        <v>20</v>
      </c>
      <c r="L5" s="5">
        <v>40</v>
      </c>
      <c r="M5" s="7">
        <v>110</v>
      </c>
      <c r="N5" s="7">
        <f t="shared" si="0"/>
        <v>48400</v>
      </c>
      <c r="O5" s="4"/>
      <c r="P5" s="4"/>
      <c r="Q5" s="7"/>
      <c r="R5" s="7">
        <f t="shared" si="1"/>
        <v>48400</v>
      </c>
    </row>
    <row r="6" spans="1:18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7"/>
      <c r="N6" s="7">
        <f t="shared" si="0"/>
        <v>0</v>
      </c>
      <c r="O6" s="9">
        <v>45707</v>
      </c>
      <c r="P6" s="4" t="s">
        <v>11</v>
      </c>
      <c r="Q6" s="7">
        <v>48400</v>
      </c>
      <c r="R6" s="7">
        <f t="shared" si="1"/>
        <v>0</v>
      </c>
    </row>
    <row r="7" spans="1:18" x14ac:dyDescent="0.25">
      <c r="A7" s="225" t="s">
        <v>112</v>
      </c>
      <c r="B7" s="4">
        <v>180</v>
      </c>
      <c r="C7" s="4"/>
      <c r="D7" s="4"/>
      <c r="E7" s="4"/>
      <c r="F7" s="4"/>
      <c r="G7" s="5"/>
      <c r="H7" s="5"/>
      <c r="I7" s="5"/>
      <c r="J7" s="5"/>
      <c r="K7" s="5"/>
      <c r="L7" s="5"/>
      <c r="M7" s="7">
        <v>85</v>
      </c>
      <c r="N7" s="7">
        <f t="shared" si="0"/>
        <v>15300</v>
      </c>
      <c r="O7" s="225" t="s">
        <v>112</v>
      </c>
      <c r="P7" s="4" t="s">
        <v>91</v>
      </c>
      <c r="Q7" s="7">
        <v>40140</v>
      </c>
      <c r="R7" s="7">
        <f t="shared" si="1"/>
        <v>-24840</v>
      </c>
    </row>
    <row r="8" spans="1:18" x14ac:dyDescent="0.25">
      <c r="A8" s="4"/>
      <c r="B8" s="4">
        <v>180</v>
      </c>
      <c r="C8" s="4"/>
      <c r="D8" s="4"/>
      <c r="E8" s="4"/>
      <c r="F8" s="4"/>
      <c r="G8" s="5"/>
      <c r="H8" s="5"/>
      <c r="I8" s="5"/>
      <c r="J8" s="5"/>
      <c r="K8" s="5"/>
      <c r="L8" s="5"/>
      <c r="M8" s="7">
        <v>75</v>
      </c>
      <c r="N8" s="7">
        <f t="shared" si="0"/>
        <v>13500</v>
      </c>
      <c r="O8" s="4"/>
      <c r="P8" s="4"/>
      <c r="Q8" s="7"/>
      <c r="R8" s="7">
        <f t="shared" si="1"/>
        <v>-11340</v>
      </c>
    </row>
    <row r="9" spans="1:18" x14ac:dyDescent="0.25">
      <c r="A9" s="4"/>
      <c r="B9" s="4"/>
      <c r="C9" s="4"/>
      <c r="D9" s="4">
        <v>10</v>
      </c>
      <c r="E9" s="4"/>
      <c r="F9" s="4">
        <v>30</v>
      </c>
      <c r="G9" s="5">
        <v>20</v>
      </c>
      <c r="H9" s="5"/>
      <c r="I9" s="5"/>
      <c r="J9" s="5"/>
      <c r="K9" s="5"/>
      <c r="L9" s="5"/>
      <c r="M9" s="7">
        <v>35</v>
      </c>
      <c r="N9" s="7">
        <f t="shared" si="0"/>
        <v>2100</v>
      </c>
      <c r="O9" s="4"/>
      <c r="P9" s="4"/>
      <c r="Q9" s="7"/>
      <c r="R9" s="7">
        <f t="shared" si="1"/>
        <v>-9240</v>
      </c>
    </row>
    <row r="10" spans="1:18" x14ac:dyDescent="0.25">
      <c r="A10" s="4"/>
      <c r="B10" s="4"/>
      <c r="C10" s="4">
        <v>12</v>
      </c>
      <c r="D10" s="4">
        <v>24</v>
      </c>
      <c r="E10" s="4"/>
      <c r="F10" s="4">
        <v>12</v>
      </c>
      <c r="G10" s="5">
        <v>24</v>
      </c>
      <c r="H10" s="5"/>
      <c r="I10" s="5"/>
      <c r="J10" s="5"/>
      <c r="K10" s="5">
        <v>12</v>
      </c>
      <c r="L10" s="5"/>
      <c r="M10" s="7">
        <v>110</v>
      </c>
      <c r="N10" s="7">
        <f t="shared" si="0"/>
        <v>9240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4"/>
      <c r="P20" s="4"/>
      <c r="Q20" s="7"/>
      <c r="R20" s="7">
        <f t="shared" si="1"/>
        <v>0</v>
      </c>
    </row>
    <row r="21" spans="1:18" x14ac:dyDescent="0.2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4"/>
      <c r="P21" s="4"/>
      <c r="Q21" s="7"/>
      <c r="R21" s="7">
        <f t="shared" si="1"/>
        <v>0</v>
      </c>
    </row>
    <row r="22" spans="1:18" x14ac:dyDescent="0.2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7"/>
      <c r="N22" s="7">
        <f>G22*M22+H22*M22+I22*M22+J22*M22+K22*M22</f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7"/>
      <c r="N23" s="7">
        <f>G23*M23+H23*M23+I23*M23+J23*M23+K23*M23</f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4">
        <f>SUM(B5:B23)</f>
        <v>420</v>
      </c>
      <c r="C24" s="4">
        <f>SUM(C5:C23)</f>
        <v>72</v>
      </c>
      <c r="D24" s="4">
        <f>SUM(D5:D23)</f>
        <v>94</v>
      </c>
      <c r="E24" s="4">
        <f>SUM(E5:E23)</f>
        <v>40</v>
      </c>
      <c r="F24" s="4">
        <f>SUM(F5:F23)</f>
        <v>62</v>
      </c>
      <c r="G24" s="5">
        <f>SUM(G3:G23)</f>
        <v>114</v>
      </c>
      <c r="H24" s="5">
        <f>SUM(H3:H23)</f>
        <v>60</v>
      </c>
      <c r="I24" s="5">
        <f>SUM(I3:I23)</f>
        <v>60</v>
      </c>
      <c r="J24" s="5">
        <f>SUM(J3:J23)</f>
        <v>60</v>
      </c>
      <c r="K24" s="5">
        <f>SUM(K3:K23)</f>
        <v>52</v>
      </c>
      <c r="L24" s="5">
        <f>SUM(L2:L23)</f>
        <v>40</v>
      </c>
      <c r="M24" s="7"/>
      <c r="N24" s="7">
        <f>G24*M24+H24*M24+I24*M24+J24*M24+K24*M24</f>
        <v>0</v>
      </c>
      <c r="O24" s="4"/>
      <c r="P24" s="4"/>
      <c r="Q24" s="7"/>
      <c r="R24" s="7">
        <f t="shared" si="1"/>
        <v>0</v>
      </c>
    </row>
    <row r="25" spans="1:18" x14ac:dyDescent="0.25">
      <c r="N25" s="8">
        <f>SUM(N3:N24)</f>
        <v>117140</v>
      </c>
      <c r="Q25" s="8">
        <f>SUM(Q2:Q24)</f>
        <v>117140</v>
      </c>
      <c r="R25" s="8">
        <f>N25-Q25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pane ySplit="1" topLeftCell="A34" activePane="bottomLeft" state="frozen"/>
      <selection pane="bottomLeft" activeCell="H62" sqref="H62"/>
    </sheetView>
  </sheetViews>
  <sheetFormatPr defaultColWidth="8.85546875" defaultRowHeight="15.75" x14ac:dyDescent="0.25"/>
  <cols>
    <col min="1" max="1" width="9.7109375" style="1" customWidth="1"/>
    <col min="2" max="6" width="9.7109375" style="11" customWidth="1"/>
    <col min="7" max="7" width="13.5703125" style="1" customWidth="1"/>
    <col min="8" max="8" width="12.42578125" style="1" customWidth="1"/>
    <col min="9" max="9" width="10" style="1" customWidth="1"/>
    <col min="10" max="10" width="11.85546875" style="1" customWidth="1"/>
    <col min="11" max="11" width="11.7109375" style="1" customWidth="1"/>
    <col min="12" max="12" width="11.140625" style="1" customWidth="1"/>
    <col min="13" max="13" width="10.28515625" style="8" customWidth="1"/>
    <col min="14" max="14" width="13.140625" style="8" bestFit="1" customWidth="1"/>
    <col min="15" max="16" width="8.85546875" style="1"/>
    <col min="17" max="17" width="13.140625" style="8" bestFit="1" customWidth="1"/>
    <col min="18" max="18" width="14.42578125" style="48" bestFit="1" customWidth="1"/>
    <col min="19" max="19" width="8.85546875" style="52"/>
    <col min="20" max="16384" width="8.85546875" style="1"/>
  </cols>
  <sheetData>
    <row r="1" spans="1:19" s="15" customFormat="1" ht="57" x14ac:dyDescent="0.25">
      <c r="A1" s="19" t="s">
        <v>0</v>
      </c>
      <c r="B1" s="58" t="s">
        <v>10</v>
      </c>
      <c r="C1" s="58" t="s">
        <v>24</v>
      </c>
      <c r="D1" s="58" t="s">
        <v>25</v>
      </c>
      <c r="E1" s="58" t="s">
        <v>26</v>
      </c>
      <c r="F1" s="5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21" t="s">
        <v>6</v>
      </c>
      <c r="N1" s="21" t="s">
        <v>7</v>
      </c>
      <c r="O1" s="19" t="s">
        <v>8</v>
      </c>
      <c r="P1" s="19" t="s">
        <v>9</v>
      </c>
      <c r="Q1" s="21" t="s">
        <v>7</v>
      </c>
      <c r="R1" s="6" t="s">
        <v>10</v>
      </c>
      <c r="S1" s="166"/>
    </row>
    <row r="2" spans="1:19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9" ht="16.5" thickBot="1" x14ac:dyDescent="0.3">
      <c r="A3" s="154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108"/>
      <c r="N3" s="108">
        <f>G3*M3+H3*M3+I3*M3+J3*M3+K3*M3</f>
        <v>0</v>
      </c>
      <c r="O3" s="9">
        <v>45742</v>
      </c>
      <c r="P3" s="4" t="s">
        <v>34</v>
      </c>
      <c r="Q3" s="7">
        <v>29322</v>
      </c>
      <c r="R3" s="7">
        <f>R2+N3-Q3</f>
        <v>-29322</v>
      </c>
    </row>
    <row r="4" spans="1:19" x14ac:dyDescent="0.25">
      <c r="A4" s="72">
        <v>45743</v>
      </c>
      <c r="B4" s="74">
        <v>10</v>
      </c>
      <c r="C4" s="74">
        <v>10</v>
      </c>
      <c r="D4" s="74">
        <v>18</v>
      </c>
      <c r="E4" s="74">
        <v>0.2</v>
      </c>
      <c r="F4" s="74">
        <f>E4*G4</f>
        <v>36</v>
      </c>
      <c r="G4" s="74">
        <f>C4*D4</f>
        <v>180</v>
      </c>
      <c r="H4" s="74"/>
      <c r="I4" s="74"/>
      <c r="J4" s="74"/>
      <c r="K4" s="74"/>
      <c r="L4" s="74"/>
      <c r="M4" s="159">
        <v>75</v>
      </c>
      <c r="N4" s="75">
        <f>G4*M4+H4*M4+I4*M4+J4*M4+K4*M4</f>
        <v>13500</v>
      </c>
      <c r="O4" s="67"/>
      <c r="P4" s="4"/>
      <c r="Q4" s="7"/>
      <c r="R4" s="7">
        <f t="shared" ref="R4:R57" si="0">R3+N4-Q4</f>
        <v>-15822</v>
      </c>
    </row>
    <row r="5" spans="1:19" ht="16.5" thickBot="1" x14ac:dyDescent="0.3">
      <c r="A5" s="78"/>
      <c r="B5" s="26">
        <v>10</v>
      </c>
      <c r="C5" s="26">
        <v>10</v>
      </c>
      <c r="D5" s="26">
        <v>18</v>
      </c>
      <c r="E5" s="26">
        <v>0.2</v>
      </c>
      <c r="F5" s="26">
        <f>E5*H5</f>
        <v>36</v>
      </c>
      <c r="G5" s="26"/>
      <c r="H5" s="26">
        <f>C5*D5</f>
        <v>180</v>
      </c>
      <c r="I5" s="26"/>
      <c r="J5" s="26"/>
      <c r="K5" s="26"/>
      <c r="L5" s="26"/>
      <c r="M5" s="27">
        <v>87.9</v>
      </c>
      <c r="N5" s="79">
        <f>G5*M5+H5*M5+I5*M5+J5*M5+K5*M5</f>
        <v>15822.000000000002</v>
      </c>
      <c r="O5" s="68"/>
      <c r="P5" s="4"/>
      <c r="Q5" s="7"/>
      <c r="R5" s="7">
        <f t="shared" si="0"/>
        <v>1.8189894035458565E-12</v>
      </c>
    </row>
    <row r="6" spans="1:19" ht="16.5" thickBot="1" x14ac:dyDescent="0.3">
      <c r="A6" s="167" t="s">
        <v>35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169">
        <f>G6*M6+H6*M6+I6*M6+J6*M6+K6*M6</f>
        <v>0</v>
      </c>
      <c r="O6" s="170"/>
      <c r="P6" s="170"/>
      <c r="Q6" s="171"/>
      <c r="R6" s="7">
        <f t="shared" si="0"/>
        <v>1.8189894035458565E-12</v>
      </c>
    </row>
    <row r="7" spans="1:19" x14ac:dyDescent="0.25">
      <c r="A7" s="72">
        <v>45751</v>
      </c>
      <c r="B7" s="74">
        <v>5</v>
      </c>
      <c r="C7" s="74">
        <v>5</v>
      </c>
      <c r="D7" s="74">
        <v>18</v>
      </c>
      <c r="E7" s="74">
        <v>0.2</v>
      </c>
      <c r="F7" s="74">
        <f>E7*G7</f>
        <v>18</v>
      </c>
      <c r="G7" s="74">
        <f>C7*D7</f>
        <v>90</v>
      </c>
      <c r="H7" s="74"/>
      <c r="I7" s="74"/>
      <c r="J7" s="74"/>
      <c r="K7" s="74"/>
      <c r="L7" s="74"/>
      <c r="M7" s="159">
        <v>75</v>
      </c>
      <c r="N7" s="159">
        <f>G7*M7+H7*M7+I7*M7+J7*M7+K7*M7+L7*M7</f>
        <v>6750</v>
      </c>
      <c r="O7" s="172">
        <v>45751</v>
      </c>
      <c r="P7" s="73" t="s">
        <v>34</v>
      </c>
      <c r="Q7" s="159">
        <v>14661</v>
      </c>
      <c r="R7" s="7">
        <f t="shared" si="0"/>
        <v>-7910.9999999999982</v>
      </c>
    </row>
    <row r="8" spans="1:19" x14ac:dyDescent="0.25">
      <c r="A8" s="76"/>
      <c r="B8" s="5">
        <v>5</v>
      </c>
      <c r="C8" s="5">
        <v>5</v>
      </c>
      <c r="D8" s="5">
        <v>18</v>
      </c>
      <c r="E8" s="5">
        <v>0.2</v>
      </c>
      <c r="F8" s="5">
        <f>E8*H8</f>
        <v>18</v>
      </c>
      <c r="G8" s="5"/>
      <c r="H8" s="5">
        <f>C8*D8</f>
        <v>90</v>
      </c>
      <c r="I8" s="5"/>
      <c r="J8" s="5"/>
      <c r="K8" s="5"/>
      <c r="L8" s="5"/>
      <c r="M8" s="7">
        <v>87.9</v>
      </c>
      <c r="N8" s="7">
        <f t="shared" ref="N8:N56" si="1">G8*M8+H8*M8+I8*M8+J8*M8+K8*M8+L8*M8</f>
        <v>7911.0000000000009</v>
      </c>
      <c r="O8" s="4"/>
      <c r="P8" s="4"/>
      <c r="Q8" s="7">
        <v>15600</v>
      </c>
      <c r="R8" s="7">
        <f t="shared" si="0"/>
        <v>-15599.999999999996</v>
      </c>
    </row>
    <row r="9" spans="1:19" ht="16.5" thickBot="1" x14ac:dyDescent="0.3">
      <c r="A9" s="128"/>
      <c r="B9" s="26">
        <v>40</v>
      </c>
      <c r="C9" s="26">
        <v>10</v>
      </c>
      <c r="D9" s="26">
        <v>10</v>
      </c>
      <c r="E9" s="26">
        <v>0.11</v>
      </c>
      <c r="F9" s="26"/>
      <c r="G9" s="26"/>
      <c r="H9" s="26"/>
      <c r="I9" s="26">
        <f>C9*D9</f>
        <v>100</v>
      </c>
      <c r="J9" s="26">
        <f>C9*D9</f>
        <v>100</v>
      </c>
      <c r="K9" s="26">
        <f>C9*D9</f>
        <v>100</v>
      </c>
      <c r="L9" s="26">
        <f>C9*D9</f>
        <v>100</v>
      </c>
      <c r="M9" s="27">
        <v>39</v>
      </c>
      <c r="N9" s="27">
        <f t="shared" si="1"/>
        <v>15600</v>
      </c>
      <c r="O9" s="28"/>
      <c r="P9" s="28"/>
      <c r="Q9" s="27"/>
      <c r="R9" s="7">
        <f t="shared" si="0"/>
        <v>3.637978807091713E-12</v>
      </c>
    </row>
    <row r="10" spans="1:19" x14ac:dyDescent="0.25">
      <c r="A10" s="17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159"/>
      <c r="N10" s="159">
        <f t="shared" si="1"/>
        <v>0</v>
      </c>
      <c r="O10" s="172">
        <v>45758</v>
      </c>
      <c r="P10" s="73" t="s">
        <v>34</v>
      </c>
      <c r="Q10" s="159">
        <v>51783</v>
      </c>
      <c r="R10" s="7">
        <f t="shared" si="0"/>
        <v>-51783</v>
      </c>
    </row>
    <row r="11" spans="1:19" x14ac:dyDescent="0.25">
      <c r="A11" s="76">
        <v>45763</v>
      </c>
      <c r="B11" s="5">
        <v>15</v>
      </c>
      <c r="C11" s="5">
        <v>15</v>
      </c>
      <c r="D11" s="5">
        <v>18</v>
      </c>
      <c r="E11" s="5">
        <v>0.2</v>
      </c>
      <c r="F11" s="5">
        <f>E11*G11</f>
        <v>54</v>
      </c>
      <c r="G11" s="5">
        <f>C11*D11</f>
        <v>270</v>
      </c>
      <c r="H11" s="5"/>
      <c r="I11" s="5"/>
      <c r="J11" s="5"/>
      <c r="K11" s="5"/>
      <c r="L11" s="5"/>
      <c r="M11" s="7">
        <v>75</v>
      </c>
      <c r="N11" s="7">
        <f t="shared" si="1"/>
        <v>20250</v>
      </c>
      <c r="O11" s="4"/>
      <c r="P11" s="4"/>
      <c r="Q11" s="7"/>
      <c r="R11" s="7">
        <f t="shared" si="0"/>
        <v>-31533</v>
      </c>
    </row>
    <row r="12" spans="1:19" x14ac:dyDescent="0.25">
      <c r="A12" s="114"/>
      <c r="B12" s="5">
        <v>15</v>
      </c>
      <c r="C12" s="5">
        <v>15</v>
      </c>
      <c r="D12" s="5">
        <v>18</v>
      </c>
      <c r="E12" s="5">
        <v>0.2</v>
      </c>
      <c r="F12" s="5">
        <f>E12*H12</f>
        <v>54</v>
      </c>
      <c r="G12" s="5"/>
      <c r="H12" s="5">
        <f>C12*D12</f>
        <v>270</v>
      </c>
      <c r="I12" s="5"/>
      <c r="J12" s="5"/>
      <c r="K12" s="5"/>
      <c r="L12" s="5"/>
      <c r="M12" s="7">
        <v>87.9</v>
      </c>
      <c r="N12" s="7">
        <f t="shared" si="1"/>
        <v>23733</v>
      </c>
      <c r="O12" s="4"/>
      <c r="P12" s="4"/>
      <c r="Q12" s="7"/>
      <c r="R12" s="7">
        <f t="shared" si="0"/>
        <v>-7800</v>
      </c>
    </row>
    <row r="13" spans="1:19" ht="16.5" thickBot="1" x14ac:dyDescent="0.3">
      <c r="A13" s="128"/>
      <c r="B13" s="26">
        <v>20</v>
      </c>
      <c r="C13" s="26">
        <v>5</v>
      </c>
      <c r="D13" s="26">
        <v>10</v>
      </c>
      <c r="E13" s="26">
        <v>0.11</v>
      </c>
      <c r="F13" s="26">
        <f>E13*(I13+J13+K13+L13)</f>
        <v>22</v>
      </c>
      <c r="G13" s="26"/>
      <c r="H13" s="26"/>
      <c r="I13" s="26">
        <f>C13*D13</f>
        <v>50</v>
      </c>
      <c r="J13" s="26">
        <f>C13*D13</f>
        <v>50</v>
      </c>
      <c r="K13" s="26">
        <f>C13*D13</f>
        <v>50</v>
      </c>
      <c r="L13" s="26">
        <f>C13*D13</f>
        <v>50</v>
      </c>
      <c r="M13" s="27">
        <v>39</v>
      </c>
      <c r="N13" s="27">
        <f t="shared" si="1"/>
        <v>7800</v>
      </c>
      <c r="O13" s="28"/>
      <c r="P13" s="28"/>
      <c r="Q13" s="27"/>
      <c r="R13" s="7">
        <f t="shared" si="0"/>
        <v>0</v>
      </c>
    </row>
    <row r="14" spans="1:19" ht="16.5" thickBot="1" x14ac:dyDescent="0.3">
      <c r="A14" s="167" t="s">
        <v>36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3"/>
      <c r="N14" s="213">
        <f t="shared" si="1"/>
        <v>0</v>
      </c>
      <c r="O14" s="212"/>
      <c r="P14" s="212"/>
      <c r="Q14" s="213"/>
      <c r="R14" s="7">
        <f t="shared" si="0"/>
        <v>0</v>
      </c>
    </row>
    <row r="15" spans="1: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1"/>
        <v>0</v>
      </c>
      <c r="O15" s="4" t="s">
        <v>37</v>
      </c>
      <c r="P15" s="4" t="s">
        <v>34</v>
      </c>
      <c r="Q15" s="159">
        <v>61576.2</v>
      </c>
      <c r="R15" s="7">
        <f t="shared" si="0"/>
        <v>-61576.2</v>
      </c>
    </row>
    <row r="16" spans="1:19" x14ac:dyDescent="0.25">
      <c r="A16" s="50"/>
      <c r="B16" s="49"/>
      <c r="C16" s="49"/>
      <c r="D16" s="49"/>
      <c r="E16" s="49"/>
      <c r="F16" s="49"/>
      <c r="G16" s="5"/>
      <c r="H16" s="5"/>
      <c r="I16" s="5"/>
      <c r="J16" s="5"/>
      <c r="K16" s="5"/>
      <c r="L16" s="5"/>
      <c r="M16" s="7"/>
      <c r="N16" s="7">
        <f t="shared" si="1"/>
        <v>0</v>
      </c>
      <c r="O16" s="4"/>
      <c r="P16" s="4"/>
      <c r="Q16" s="7"/>
      <c r="R16" s="7">
        <f t="shared" si="0"/>
        <v>-61576.2</v>
      </c>
    </row>
    <row r="17" spans="1:18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1"/>
        <v>0</v>
      </c>
      <c r="O17" s="4"/>
      <c r="P17" s="4"/>
      <c r="Q17" s="7"/>
      <c r="R17" s="7">
        <f t="shared" si="0"/>
        <v>-61576.2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1"/>
        <v>0</v>
      </c>
      <c r="O18" s="4"/>
      <c r="P18" s="4"/>
      <c r="Q18" s="7"/>
      <c r="R18" s="7">
        <f t="shared" si="0"/>
        <v>-61576.2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1"/>
        <v>0</v>
      </c>
      <c r="O19" s="4"/>
      <c r="P19" s="4"/>
      <c r="Q19" s="7"/>
      <c r="R19" s="7">
        <f t="shared" si="0"/>
        <v>-61576.2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1"/>
        <v>0</v>
      </c>
      <c r="O20" s="4"/>
      <c r="P20" s="4"/>
      <c r="Q20" s="7"/>
      <c r="R20" s="7">
        <f t="shared" si="0"/>
        <v>-61576.2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1"/>
        <v>0</v>
      </c>
      <c r="O21" s="4"/>
      <c r="P21" s="4"/>
      <c r="Q21" s="7"/>
      <c r="R21" s="7">
        <f t="shared" si="0"/>
        <v>-61576.2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3"/>
      <c r="N22" s="7">
        <f t="shared" si="1"/>
        <v>0</v>
      </c>
      <c r="O22" s="4"/>
      <c r="P22" s="4"/>
      <c r="Q22" s="7"/>
      <c r="R22" s="7">
        <f t="shared" si="0"/>
        <v>-61576.2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1"/>
        <v>0</v>
      </c>
      <c r="O23" s="4"/>
      <c r="P23" s="4"/>
      <c r="Q23" s="7"/>
      <c r="R23" s="7">
        <f t="shared" si="0"/>
        <v>-61576.2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1"/>
        <v>0</v>
      </c>
      <c r="O24" s="4"/>
      <c r="P24" s="4"/>
      <c r="Q24" s="7"/>
      <c r="R24" s="7">
        <f t="shared" si="0"/>
        <v>-61576.2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 t="shared" si="1"/>
        <v>0</v>
      </c>
      <c r="O25" s="4"/>
      <c r="P25" s="4"/>
      <c r="Q25" s="7"/>
      <c r="R25" s="7">
        <f t="shared" si="0"/>
        <v>-61576.2</v>
      </c>
    </row>
    <row r="26" spans="1:18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 t="shared" si="1"/>
        <v>0</v>
      </c>
      <c r="O26" s="4"/>
      <c r="P26" s="4"/>
      <c r="Q26" s="7"/>
      <c r="R26" s="7">
        <f t="shared" si="0"/>
        <v>-61576.2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 t="shared" si="1"/>
        <v>0</v>
      </c>
      <c r="O27" s="4"/>
      <c r="P27" s="4"/>
      <c r="Q27" s="7"/>
      <c r="R27" s="7">
        <f t="shared" si="0"/>
        <v>-61576.2</v>
      </c>
    </row>
    <row r="28" spans="1:18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3"/>
      <c r="N28" s="7">
        <f t="shared" si="1"/>
        <v>0</v>
      </c>
      <c r="O28" s="4"/>
      <c r="P28" s="4"/>
      <c r="Q28" s="7"/>
      <c r="R28" s="7">
        <f t="shared" si="0"/>
        <v>-61576.2</v>
      </c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>
        <f t="shared" si="1"/>
        <v>0</v>
      </c>
      <c r="O29" s="4"/>
      <c r="P29" s="4"/>
      <c r="Q29" s="7"/>
      <c r="R29" s="7">
        <f t="shared" si="0"/>
        <v>-61576.2</v>
      </c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>
        <f t="shared" si="1"/>
        <v>0</v>
      </c>
      <c r="O30" s="4"/>
      <c r="P30" s="4"/>
      <c r="Q30" s="7"/>
      <c r="R30" s="7">
        <f t="shared" si="0"/>
        <v>-61576.2</v>
      </c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>
        <f t="shared" si="1"/>
        <v>0</v>
      </c>
      <c r="O31" s="4"/>
      <c r="P31" s="4"/>
      <c r="Q31" s="7"/>
      <c r="R31" s="7">
        <f t="shared" si="0"/>
        <v>-61576.2</v>
      </c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>
        <f t="shared" si="1"/>
        <v>0</v>
      </c>
      <c r="O32" s="4"/>
      <c r="P32" s="4"/>
      <c r="Q32" s="7"/>
      <c r="R32" s="7">
        <f t="shared" si="0"/>
        <v>-61576.2</v>
      </c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>
        <f t="shared" si="1"/>
        <v>0</v>
      </c>
      <c r="O33" s="4"/>
      <c r="P33" s="4"/>
      <c r="Q33" s="7"/>
      <c r="R33" s="7">
        <f t="shared" si="0"/>
        <v>-61576.2</v>
      </c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f t="shared" si="1"/>
        <v>0</v>
      </c>
      <c r="O34" s="4"/>
      <c r="P34" s="4"/>
      <c r="Q34" s="7"/>
      <c r="R34" s="7">
        <f t="shared" si="0"/>
        <v>-61576.2</v>
      </c>
    </row>
    <row r="35" spans="1:18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f t="shared" si="1"/>
        <v>0</v>
      </c>
      <c r="O35" s="4"/>
      <c r="P35" s="4"/>
      <c r="Q35" s="7"/>
      <c r="R35" s="7">
        <f t="shared" si="0"/>
        <v>-61576.2</v>
      </c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f t="shared" si="1"/>
        <v>0</v>
      </c>
      <c r="O36" s="4"/>
      <c r="P36" s="4"/>
      <c r="Q36" s="7"/>
      <c r="R36" s="7">
        <f t="shared" si="0"/>
        <v>-61576.2</v>
      </c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>
        <f t="shared" si="1"/>
        <v>0</v>
      </c>
      <c r="O37" s="4"/>
      <c r="P37" s="4"/>
      <c r="Q37" s="7"/>
      <c r="R37" s="7">
        <f t="shared" si="0"/>
        <v>-61576.2</v>
      </c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>
        <f t="shared" si="1"/>
        <v>0</v>
      </c>
      <c r="O38" s="4"/>
      <c r="P38" s="4"/>
      <c r="Q38" s="7"/>
      <c r="R38" s="7">
        <f t="shared" si="0"/>
        <v>-61576.2</v>
      </c>
    </row>
    <row r="39" spans="1:18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>
        <f t="shared" si="1"/>
        <v>0</v>
      </c>
      <c r="O39" s="4"/>
      <c r="P39" s="4"/>
      <c r="Q39" s="7"/>
      <c r="R39" s="7">
        <f t="shared" si="0"/>
        <v>-61576.2</v>
      </c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>
        <f t="shared" si="1"/>
        <v>0</v>
      </c>
      <c r="O40" s="4"/>
      <c r="P40" s="4"/>
      <c r="Q40" s="7"/>
      <c r="R40" s="7">
        <f t="shared" si="0"/>
        <v>-61576.2</v>
      </c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>
        <f t="shared" si="1"/>
        <v>0</v>
      </c>
      <c r="O41" s="4"/>
      <c r="P41" s="4"/>
      <c r="Q41" s="7"/>
      <c r="R41" s="7">
        <f t="shared" si="0"/>
        <v>-61576.2</v>
      </c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>
        <f t="shared" si="1"/>
        <v>0</v>
      </c>
      <c r="O42" s="4"/>
      <c r="P42" s="4"/>
      <c r="Q42" s="7"/>
      <c r="R42" s="7">
        <f t="shared" si="0"/>
        <v>-61576.2</v>
      </c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>
        <f t="shared" si="1"/>
        <v>0</v>
      </c>
      <c r="O43" s="4"/>
      <c r="P43" s="4"/>
      <c r="Q43" s="7"/>
      <c r="R43" s="7">
        <f t="shared" si="0"/>
        <v>-61576.2</v>
      </c>
    </row>
    <row r="44" spans="1:1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>
        <f t="shared" si="1"/>
        <v>0</v>
      </c>
      <c r="O44" s="4"/>
      <c r="P44" s="4"/>
      <c r="Q44" s="7"/>
      <c r="R44" s="7">
        <f t="shared" si="0"/>
        <v>-61576.2</v>
      </c>
    </row>
    <row r="45" spans="1:1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>
        <f t="shared" si="1"/>
        <v>0</v>
      </c>
      <c r="O45" s="4"/>
      <c r="P45" s="4"/>
      <c r="Q45" s="7"/>
      <c r="R45" s="7">
        <f t="shared" si="0"/>
        <v>-61576.2</v>
      </c>
    </row>
    <row r="46" spans="1:1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>
        <f t="shared" si="1"/>
        <v>0</v>
      </c>
      <c r="O46" s="4"/>
      <c r="P46" s="4"/>
      <c r="Q46" s="7"/>
      <c r="R46" s="7">
        <f t="shared" si="0"/>
        <v>-61576.2</v>
      </c>
    </row>
    <row r="47" spans="1:1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>
        <f t="shared" si="1"/>
        <v>0</v>
      </c>
      <c r="O47" s="4"/>
      <c r="P47" s="4"/>
      <c r="Q47" s="7"/>
      <c r="R47" s="7">
        <f t="shared" si="0"/>
        <v>-61576.2</v>
      </c>
    </row>
    <row r="48" spans="1:1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>
        <f t="shared" si="1"/>
        <v>0</v>
      </c>
      <c r="O48" s="4"/>
      <c r="P48" s="4"/>
      <c r="Q48" s="7"/>
      <c r="R48" s="7">
        <f t="shared" si="0"/>
        <v>-61576.2</v>
      </c>
    </row>
    <row r="49" spans="1:1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>
        <f t="shared" si="1"/>
        <v>0</v>
      </c>
      <c r="O49" s="4"/>
      <c r="P49" s="4"/>
      <c r="Q49" s="7"/>
      <c r="R49" s="7">
        <f t="shared" si="0"/>
        <v>-61576.2</v>
      </c>
    </row>
    <row r="50" spans="1:18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>
        <f t="shared" si="1"/>
        <v>0</v>
      </c>
      <c r="O50" s="4"/>
      <c r="P50" s="4"/>
      <c r="Q50" s="7"/>
      <c r="R50" s="7">
        <f t="shared" si="0"/>
        <v>-61576.2</v>
      </c>
    </row>
    <row r="51" spans="1:1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>
        <f t="shared" si="1"/>
        <v>0</v>
      </c>
      <c r="O51" s="4"/>
      <c r="P51" s="4"/>
      <c r="Q51" s="7"/>
      <c r="R51" s="7">
        <f t="shared" si="0"/>
        <v>-61576.2</v>
      </c>
    </row>
    <row r="52" spans="1:1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>
        <f t="shared" si="1"/>
        <v>0</v>
      </c>
      <c r="O52" s="4"/>
      <c r="P52" s="4"/>
      <c r="Q52" s="7"/>
      <c r="R52" s="7">
        <f t="shared" si="0"/>
        <v>-61576.2</v>
      </c>
    </row>
    <row r="53" spans="1:1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>
        <f t="shared" si="1"/>
        <v>0</v>
      </c>
      <c r="O53" s="4"/>
      <c r="P53" s="4"/>
      <c r="Q53" s="7"/>
      <c r="R53" s="7">
        <f t="shared" si="0"/>
        <v>-61576.2</v>
      </c>
    </row>
    <row r="54" spans="1:1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>
        <f t="shared" si="1"/>
        <v>0</v>
      </c>
      <c r="O54" s="4"/>
      <c r="P54" s="4"/>
      <c r="Q54" s="7"/>
      <c r="R54" s="7">
        <f t="shared" si="0"/>
        <v>-61576.2</v>
      </c>
    </row>
    <row r="55" spans="1:18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>
        <f t="shared" si="1"/>
        <v>0</v>
      </c>
      <c r="O55" s="4"/>
      <c r="P55" s="4"/>
      <c r="Q55" s="7"/>
      <c r="R55" s="7">
        <f t="shared" si="0"/>
        <v>-61576.2</v>
      </c>
    </row>
    <row r="56" spans="1:1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>
        <f t="shared" si="1"/>
        <v>0</v>
      </c>
      <c r="O56" s="4"/>
      <c r="P56" s="4"/>
      <c r="Q56" s="7"/>
      <c r="R56" s="7">
        <f t="shared" si="0"/>
        <v>-61576.2</v>
      </c>
    </row>
    <row r="57" spans="1:18" x14ac:dyDescent="0.25">
      <c r="A57" s="4"/>
      <c r="B57" s="5">
        <f>SUM(B3:B56)</f>
        <v>120</v>
      </c>
      <c r="C57" s="5"/>
      <c r="D57" s="5"/>
      <c r="E57" s="5"/>
      <c r="F57" s="5">
        <f>SUM(F4:F56)</f>
        <v>238</v>
      </c>
      <c r="G57" s="5">
        <f>SUM(G3:G56)</f>
        <v>540</v>
      </c>
      <c r="H57" s="5">
        <f>SUM(H3:H56)</f>
        <v>540</v>
      </c>
      <c r="I57" s="5">
        <f>SUM(I3:I56)</f>
        <v>150</v>
      </c>
      <c r="J57" s="5">
        <f>SUM(J3:J56)</f>
        <v>150</v>
      </c>
      <c r="K57" s="5">
        <f>SUM(K3:K56)</f>
        <v>150</v>
      </c>
      <c r="L57" s="5"/>
      <c r="M57" s="7"/>
      <c r="N57" s="7">
        <f>G57*M57+H57*M57+I57*M57+J57*M57+K57*M57</f>
        <v>0</v>
      </c>
      <c r="O57" s="4"/>
      <c r="P57" s="4"/>
      <c r="Q57" s="7"/>
      <c r="R57" s="7">
        <f t="shared" si="0"/>
        <v>-61576.2</v>
      </c>
    </row>
    <row r="58" spans="1:18" x14ac:dyDescent="0.25">
      <c r="N58" s="8">
        <f>SUM(N3:N57)</f>
        <v>111366</v>
      </c>
      <c r="Q58" s="8">
        <f>SUM(Q2:Q57)</f>
        <v>172942.2</v>
      </c>
      <c r="R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2"/>
  <sheetViews>
    <sheetView workbookViewId="0">
      <pane ySplit="1" topLeftCell="A82" activePane="bottomLeft" state="frozen"/>
      <selection pane="bottomLeft" activeCell="V101" sqref="V101"/>
    </sheetView>
  </sheetViews>
  <sheetFormatPr defaultColWidth="8.85546875" defaultRowHeight="15.75" x14ac:dyDescent="0.25"/>
  <cols>
    <col min="1" max="1" width="9.7109375" style="1" customWidth="1"/>
    <col min="2" max="3" width="9.7109375" style="18" customWidth="1"/>
    <col min="4" max="4" width="12.42578125" style="1" customWidth="1"/>
    <col min="5" max="5" width="11.42578125" style="1" customWidth="1"/>
    <col min="6" max="6" width="13.42578125" style="1" customWidth="1"/>
    <col min="7" max="7" width="12.28515625" style="1" customWidth="1"/>
    <col min="8" max="8" width="11.28515625" style="1" customWidth="1"/>
    <col min="9" max="9" width="11.85546875" style="1" customWidth="1"/>
    <col min="10" max="10" width="11" style="1" customWidth="1"/>
    <col min="11" max="11" width="11.42578125" style="1" customWidth="1"/>
    <col min="12" max="13" width="13.28515625" style="1" customWidth="1"/>
    <col min="14" max="14" width="14.42578125" style="1" customWidth="1"/>
    <col min="15" max="16" width="11.85546875" style="1" customWidth="1"/>
    <col min="17" max="17" width="10.28515625" style="8" customWidth="1"/>
    <col min="18" max="18" width="14.42578125" style="8" bestFit="1" customWidth="1"/>
    <col min="19" max="20" width="8.85546875" style="1"/>
    <col min="21" max="21" width="13.140625" style="8" bestFit="1" customWidth="1"/>
    <col min="22" max="22" width="17.85546875" style="8" customWidth="1"/>
    <col min="23" max="16384" width="8.85546875" style="1"/>
  </cols>
  <sheetData>
    <row r="1" spans="1:22" s="15" customFormat="1" ht="71.25" x14ac:dyDescent="0.25">
      <c r="A1" s="19" t="s">
        <v>0</v>
      </c>
      <c r="B1" s="20" t="s">
        <v>24</v>
      </c>
      <c r="C1" s="20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21" t="s">
        <v>52</v>
      </c>
      <c r="R1" s="21" t="s">
        <v>7</v>
      </c>
      <c r="S1" s="19" t="s">
        <v>8</v>
      </c>
      <c r="T1" s="19" t="s">
        <v>9</v>
      </c>
      <c r="U1" s="21" t="s">
        <v>7</v>
      </c>
      <c r="V1" s="21" t="s">
        <v>10</v>
      </c>
    </row>
    <row r="2" spans="1:22" x14ac:dyDescent="0.25">
      <c r="A2" s="4"/>
      <c r="B2" s="16"/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4"/>
      <c r="T2" s="4"/>
      <c r="U2" s="7"/>
      <c r="V2" s="7">
        <v>0</v>
      </c>
    </row>
    <row r="3" spans="1:22" x14ac:dyDescent="0.25">
      <c r="A3" s="9">
        <v>45573</v>
      </c>
      <c r="B3" s="16">
        <v>57</v>
      </c>
      <c r="C3" s="16">
        <v>9</v>
      </c>
      <c r="D3" s="5">
        <f>B3*C3</f>
        <v>513</v>
      </c>
      <c r="E3" s="5"/>
      <c r="F3" s="5"/>
      <c r="G3" s="5">
        <f>B3*C3</f>
        <v>513</v>
      </c>
      <c r="H3" s="5"/>
      <c r="I3" s="5"/>
      <c r="J3" s="5"/>
      <c r="K3" s="5"/>
      <c r="L3" s="5"/>
      <c r="M3" s="5"/>
      <c r="N3" s="5"/>
      <c r="O3" s="5"/>
      <c r="P3" s="5"/>
      <c r="Q3" s="7">
        <v>184</v>
      </c>
      <c r="R3" s="7">
        <f>D3*Q3+E3*Q3+F3*Q3+G3*Q3+H3*Q3+I3*Q3+J3*Q3+K3*Q3+L3*Q3+M3*Q3+N3*Q3+O3*Q3+P3*Q3</f>
        <v>188784</v>
      </c>
      <c r="S3" s="4"/>
      <c r="T3" s="4"/>
      <c r="U3" s="7"/>
      <c r="V3" s="7">
        <f>V2+R3-U3</f>
        <v>188784</v>
      </c>
    </row>
    <row r="4" spans="1:22" x14ac:dyDescent="0.25">
      <c r="A4" s="9">
        <v>45587</v>
      </c>
      <c r="B4" s="16">
        <v>57</v>
      </c>
      <c r="C4" s="16">
        <v>9</v>
      </c>
      <c r="D4" s="5"/>
      <c r="E4" s="5">
        <f>B4*C4</f>
        <v>513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>
        <v>184</v>
      </c>
      <c r="R4" s="7">
        <f t="shared" ref="R4:R67" si="0">D4*Q4+E4*Q4+F4*Q4+G4*Q4+H4*Q4+I4*Q4+J4*Q4+K4*Q4+L4*Q4+M4*Q4+N4*Q4+O4*Q4+P4*Q4</f>
        <v>94392</v>
      </c>
      <c r="S4" s="9"/>
      <c r="T4" s="4"/>
      <c r="U4" s="7"/>
      <c r="V4" s="7">
        <f t="shared" ref="V4:V101" si="1">V3+R4-U4</f>
        <v>283176</v>
      </c>
    </row>
    <row r="5" spans="1:22" x14ac:dyDescent="0.25">
      <c r="A5" s="4"/>
      <c r="B5" s="16">
        <v>114</v>
      </c>
      <c r="C5" s="16">
        <v>9</v>
      </c>
      <c r="D5" s="5"/>
      <c r="E5" s="5"/>
      <c r="F5" s="5"/>
      <c r="G5" s="5">
        <f>B5*C5</f>
        <v>1026</v>
      </c>
      <c r="H5" s="5"/>
      <c r="I5" s="5"/>
      <c r="J5" s="5"/>
      <c r="K5" s="5"/>
      <c r="L5" s="5"/>
      <c r="M5" s="5"/>
      <c r="N5" s="5"/>
      <c r="O5" s="5"/>
      <c r="P5" s="5"/>
      <c r="Q5" s="7">
        <v>184</v>
      </c>
      <c r="R5" s="7">
        <f t="shared" si="0"/>
        <v>188784</v>
      </c>
      <c r="S5" s="4"/>
      <c r="T5" s="4"/>
      <c r="U5" s="7"/>
      <c r="V5" s="7">
        <f t="shared" si="1"/>
        <v>471960</v>
      </c>
    </row>
    <row r="6" spans="1:22" x14ac:dyDescent="0.25">
      <c r="A6" s="4"/>
      <c r="B6" s="16">
        <v>111</v>
      </c>
      <c r="C6" s="16">
        <v>9</v>
      </c>
      <c r="D6" s="5"/>
      <c r="E6" s="5"/>
      <c r="F6" s="5"/>
      <c r="G6" s="5"/>
      <c r="H6" s="5">
        <f>B6*C6</f>
        <v>999</v>
      </c>
      <c r="I6" s="5"/>
      <c r="J6" s="5"/>
      <c r="K6" s="5"/>
      <c r="L6" s="5"/>
      <c r="M6" s="5"/>
      <c r="N6" s="5"/>
      <c r="O6" s="5"/>
      <c r="P6" s="5"/>
      <c r="Q6" s="7">
        <v>184</v>
      </c>
      <c r="R6" s="7">
        <f t="shared" si="0"/>
        <v>183816</v>
      </c>
      <c r="S6" s="4"/>
      <c r="T6" s="4"/>
      <c r="U6" s="7"/>
      <c r="V6" s="7">
        <f t="shared" si="1"/>
        <v>655776</v>
      </c>
    </row>
    <row r="7" spans="1:22" x14ac:dyDescent="0.25">
      <c r="A7" s="9">
        <v>45590</v>
      </c>
      <c r="B7" s="16"/>
      <c r="C7" s="16"/>
      <c r="D7" s="5"/>
      <c r="E7" s="5"/>
      <c r="F7" s="5"/>
      <c r="G7" s="5">
        <v>207</v>
      </c>
      <c r="H7" s="5">
        <v>207</v>
      </c>
      <c r="I7" s="5"/>
      <c r="J7" s="5"/>
      <c r="K7" s="5"/>
      <c r="L7" s="5"/>
      <c r="M7" s="5"/>
      <c r="N7" s="5"/>
      <c r="O7" s="5"/>
      <c r="P7" s="5"/>
      <c r="Q7" s="7">
        <v>184</v>
      </c>
      <c r="R7" s="7">
        <f t="shared" si="0"/>
        <v>76176</v>
      </c>
      <c r="S7" s="4"/>
      <c r="T7" s="4"/>
      <c r="U7" s="7"/>
      <c r="V7" s="7">
        <f t="shared" si="1"/>
        <v>731952</v>
      </c>
    </row>
    <row r="8" spans="1:22" x14ac:dyDescent="0.25">
      <c r="A8" s="12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>
        <f t="shared" si="0"/>
        <v>0</v>
      </c>
      <c r="S8" s="12"/>
      <c r="T8" s="12"/>
      <c r="U8" s="14"/>
      <c r="V8" s="14">
        <f t="shared" si="1"/>
        <v>731952</v>
      </c>
    </row>
    <row r="9" spans="1:22" x14ac:dyDescent="0.25">
      <c r="A9" s="4"/>
      <c r="B9" s="16"/>
      <c r="C9" s="1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>
        <f t="shared" si="0"/>
        <v>0</v>
      </c>
      <c r="S9" s="9">
        <v>45602</v>
      </c>
      <c r="T9" s="4" t="s">
        <v>11</v>
      </c>
      <c r="U9" s="7">
        <v>188784</v>
      </c>
      <c r="V9" s="7">
        <f t="shared" si="1"/>
        <v>543168</v>
      </c>
    </row>
    <row r="10" spans="1:22" x14ac:dyDescent="0.25">
      <c r="A10" s="9">
        <v>45602</v>
      </c>
      <c r="B10" s="16">
        <v>11</v>
      </c>
      <c r="C10" s="16">
        <v>9</v>
      </c>
      <c r="D10" s="5"/>
      <c r="E10" s="5"/>
      <c r="F10" s="5"/>
      <c r="G10" s="5"/>
      <c r="H10" s="5"/>
      <c r="I10" s="5">
        <f>B10*C10</f>
        <v>99</v>
      </c>
      <c r="J10" s="5"/>
      <c r="K10" s="5"/>
      <c r="L10" s="5"/>
      <c r="M10" s="5"/>
      <c r="N10" s="5"/>
      <c r="O10" s="5"/>
      <c r="P10" s="5"/>
      <c r="Q10" s="7">
        <v>184</v>
      </c>
      <c r="R10" s="7">
        <f t="shared" si="0"/>
        <v>18216</v>
      </c>
      <c r="S10" s="4"/>
      <c r="T10" s="4"/>
      <c r="U10" s="7"/>
      <c r="V10" s="7">
        <f t="shared" si="1"/>
        <v>561384</v>
      </c>
    </row>
    <row r="11" spans="1:22" x14ac:dyDescent="0.25">
      <c r="A11" s="4"/>
      <c r="B11" s="16">
        <v>81</v>
      </c>
      <c r="C11" s="16">
        <v>9</v>
      </c>
      <c r="D11" s="5"/>
      <c r="E11" s="5">
        <f>B11*C11</f>
        <v>729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>
        <v>184</v>
      </c>
      <c r="R11" s="7">
        <f t="shared" si="0"/>
        <v>134136</v>
      </c>
      <c r="S11" s="4"/>
      <c r="T11" s="4"/>
      <c r="U11" s="7"/>
      <c r="V11" s="7">
        <f t="shared" si="1"/>
        <v>695520</v>
      </c>
    </row>
    <row r="12" spans="1:22" x14ac:dyDescent="0.25">
      <c r="A12" s="4"/>
      <c r="B12" s="16">
        <v>55</v>
      </c>
      <c r="C12" s="16">
        <v>9</v>
      </c>
      <c r="D12" s="5"/>
      <c r="E12" s="5"/>
      <c r="F12" s="5"/>
      <c r="G12" s="5"/>
      <c r="H12" s="5"/>
      <c r="I12" s="5"/>
      <c r="J12" s="5">
        <f>B12*C12</f>
        <v>495</v>
      </c>
      <c r="K12" s="5"/>
      <c r="L12" s="5"/>
      <c r="M12" s="5"/>
      <c r="N12" s="5"/>
      <c r="O12" s="5"/>
      <c r="P12" s="5"/>
      <c r="Q12" s="7">
        <v>184</v>
      </c>
      <c r="R12" s="7">
        <f t="shared" si="0"/>
        <v>91080</v>
      </c>
      <c r="S12" s="4"/>
      <c r="T12" s="4"/>
      <c r="U12" s="7"/>
      <c r="V12" s="7">
        <f t="shared" si="1"/>
        <v>786600</v>
      </c>
    </row>
    <row r="13" spans="1:22" x14ac:dyDescent="0.25">
      <c r="A13" s="4"/>
      <c r="B13" s="16">
        <v>57</v>
      </c>
      <c r="C13" s="16">
        <v>9</v>
      </c>
      <c r="D13" s="5">
        <f>B13*C13</f>
        <v>513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>
        <v>184</v>
      </c>
      <c r="R13" s="7">
        <f t="shared" si="0"/>
        <v>94392</v>
      </c>
      <c r="S13" s="4"/>
      <c r="T13" s="4"/>
      <c r="U13" s="7"/>
      <c r="V13" s="7">
        <f t="shared" si="1"/>
        <v>880992</v>
      </c>
    </row>
    <row r="14" spans="1:22" x14ac:dyDescent="0.25">
      <c r="A14" s="4"/>
      <c r="B14" s="16">
        <v>24</v>
      </c>
      <c r="C14" s="16">
        <v>9</v>
      </c>
      <c r="D14" s="5"/>
      <c r="E14" s="5"/>
      <c r="F14" s="5"/>
      <c r="G14" s="5"/>
      <c r="H14" s="5"/>
      <c r="I14" s="5"/>
      <c r="J14" s="5"/>
      <c r="K14" s="5">
        <f>B14*C14</f>
        <v>216</v>
      </c>
      <c r="L14" s="5"/>
      <c r="M14" s="5"/>
      <c r="N14" s="5"/>
      <c r="O14" s="5"/>
      <c r="P14" s="5"/>
      <c r="Q14" s="7">
        <v>184</v>
      </c>
      <c r="R14" s="7">
        <f t="shared" si="0"/>
        <v>39744</v>
      </c>
      <c r="S14" s="4"/>
      <c r="T14" s="4"/>
      <c r="U14" s="7"/>
      <c r="V14" s="7">
        <f t="shared" si="1"/>
        <v>920736</v>
      </c>
    </row>
    <row r="15" spans="1:22" x14ac:dyDescent="0.25">
      <c r="A15" s="9">
        <v>45603</v>
      </c>
      <c r="B15" s="16">
        <v>20</v>
      </c>
      <c r="C15" s="16">
        <v>9</v>
      </c>
      <c r="D15" s="5"/>
      <c r="E15" s="5"/>
      <c r="F15" s="5"/>
      <c r="G15" s="5"/>
      <c r="H15" s="5"/>
      <c r="I15" s="5"/>
      <c r="J15" s="5"/>
      <c r="K15" s="5"/>
      <c r="L15" s="5">
        <f>B15*C15</f>
        <v>180</v>
      </c>
      <c r="M15" s="5"/>
      <c r="N15" s="5"/>
      <c r="O15" s="5"/>
      <c r="P15" s="5"/>
      <c r="Q15" s="7">
        <v>184</v>
      </c>
      <c r="R15" s="7">
        <f t="shared" si="0"/>
        <v>33120</v>
      </c>
      <c r="S15" s="4"/>
      <c r="T15" s="4"/>
      <c r="U15" s="7"/>
      <c r="V15" s="7">
        <f t="shared" si="1"/>
        <v>953856</v>
      </c>
    </row>
    <row r="16" spans="1:22" x14ac:dyDescent="0.25">
      <c r="A16" s="4"/>
      <c r="B16" s="16">
        <v>30</v>
      </c>
      <c r="C16" s="16">
        <v>9</v>
      </c>
      <c r="D16" s="5"/>
      <c r="E16" s="5">
        <f>B16*C16</f>
        <v>270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>
        <v>184</v>
      </c>
      <c r="R16" s="7">
        <f t="shared" si="0"/>
        <v>49680</v>
      </c>
      <c r="S16" s="4"/>
      <c r="T16" s="4"/>
      <c r="U16" s="7"/>
      <c r="V16" s="7">
        <f t="shared" si="1"/>
        <v>1003536</v>
      </c>
    </row>
    <row r="17" spans="1:22" x14ac:dyDescent="0.25">
      <c r="A17" s="4"/>
      <c r="B17" s="16">
        <v>34</v>
      </c>
      <c r="C17" s="16">
        <v>9</v>
      </c>
      <c r="D17" s="5"/>
      <c r="E17" s="5"/>
      <c r="F17" s="5">
        <f>B17*C17</f>
        <v>306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7">
        <v>184</v>
      </c>
      <c r="R17" s="7">
        <f t="shared" si="0"/>
        <v>56304</v>
      </c>
      <c r="S17" s="4"/>
      <c r="T17" s="4"/>
      <c r="U17" s="7"/>
      <c r="V17" s="7">
        <f t="shared" si="1"/>
        <v>1059840</v>
      </c>
    </row>
    <row r="18" spans="1:22" x14ac:dyDescent="0.25">
      <c r="A18" s="4"/>
      <c r="B18" s="16">
        <v>57</v>
      </c>
      <c r="C18" s="16">
        <v>9</v>
      </c>
      <c r="D18" s="5">
        <f>B18*C18</f>
        <v>513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>
        <v>184</v>
      </c>
      <c r="R18" s="7">
        <f t="shared" si="0"/>
        <v>94392</v>
      </c>
      <c r="S18" s="4"/>
      <c r="T18" s="4"/>
      <c r="U18" s="7"/>
      <c r="V18" s="7">
        <f t="shared" si="1"/>
        <v>1154232</v>
      </c>
    </row>
    <row r="19" spans="1:22" x14ac:dyDescent="0.25">
      <c r="A19" s="4"/>
      <c r="B19" s="16">
        <v>10</v>
      </c>
      <c r="C19" s="16">
        <v>9</v>
      </c>
      <c r="D19" s="5"/>
      <c r="E19" s="5"/>
      <c r="F19" s="5"/>
      <c r="G19" s="5"/>
      <c r="H19" s="5"/>
      <c r="I19" s="5"/>
      <c r="J19" s="5"/>
      <c r="K19" s="5">
        <f>B19*C19</f>
        <v>90</v>
      </c>
      <c r="L19" s="5"/>
      <c r="M19" s="5"/>
      <c r="N19" s="5"/>
      <c r="O19" s="5"/>
      <c r="P19" s="5"/>
      <c r="Q19" s="7">
        <v>184</v>
      </c>
      <c r="R19" s="7">
        <f t="shared" si="0"/>
        <v>16560</v>
      </c>
      <c r="S19" s="4"/>
      <c r="T19" s="4"/>
      <c r="U19" s="7"/>
      <c r="V19" s="7">
        <f t="shared" si="1"/>
        <v>1170792</v>
      </c>
    </row>
    <row r="20" spans="1:22" x14ac:dyDescent="0.25">
      <c r="A20" s="4"/>
      <c r="B20" s="16"/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>
        <f t="shared" si="0"/>
        <v>0</v>
      </c>
      <c r="S20" s="9">
        <v>45607</v>
      </c>
      <c r="T20" s="4" t="s">
        <v>11</v>
      </c>
      <c r="U20" s="7">
        <v>66992</v>
      </c>
      <c r="V20" s="7">
        <f t="shared" si="1"/>
        <v>1103800</v>
      </c>
    </row>
    <row r="21" spans="1:22" x14ac:dyDescent="0.25">
      <c r="A21" s="9">
        <v>45618</v>
      </c>
      <c r="B21" s="16"/>
      <c r="C21" s="1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>
        <f t="shared" si="0"/>
        <v>0</v>
      </c>
      <c r="S21" s="9">
        <v>45618</v>
      </c>
      <c r="T21" s="4" t="s">
        <v>11</v>
      </c>
      <c r="U21" s="7">
        <v>200000</v>
      </c>
      <c r="V21" s="7">
        <f t="shared" si="1"/>
        <v>903800</v>
      </c>
    </row>
    <row r="22" spans="1:22" x14ac:dyDescent="0.25">
      <c r="A22" s="4"/>
      <c r="B22" s="16"/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  <c r="R22" s="7">
        <f t="shared" si="0"/>
        <v>0</v>
      </c>
      <c r="S22" s="9">
        <v>45629</v>
      </c>
      <c r="T22" s="4" t="s">
        <v>11</v>
      </c>
      <c r="U22" s="7">
        <v>80000</v>
      </c>
      <c r="V22" s="7">
        <f t="shared" si="1"/>
        <v>823800</v>
      </c>
    </row>
    <row r="23" spans="1:22" x14ac:dyDescent="0.25">
      <c r="A23" s="4"/>
      <c r="B23" s="16"/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>
        <f t="shared" si="0"/>
        <v>0</v>
      </c>
      <c r="S23" s="9">
        <v>45636</v>
      </c>
      <c r="T23" s="4" t="s">
        <v>11</v>
      </c>
      <c r="U23" s="7">
        <v>608050</v>
      </c>
      <c r="V23" s="7">
        <f t="shared" si="1"/>
        <v>215750</v>
      </c>
    </row>
    <row r="24" spans="1:22" x14ac:dyDescent="0.25">
      <c r="A24" s="9">
        <v>45638</v>
      </c>
      <c r="B24" s="16">
        <v>99</v>
      </c>
      <c r="C24" s="16">
        <v>7</v>
      </c>
      <c r="D24" s="5"/>
      <c r="E24" s="5">
        <f>B24*C24</f>
        <v>693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>
        <v>190</v>
      </c>
      <c r="R24" s="7">
        <f t="shared" si="0"/>
        <v>131670</v>
      </c>
      <c r="S24" s="9"/>
      <c r="T24" s="4"/>
      <c r="U24" s="7"/>
      <c r="V24" s="7">
        <f t="shared" si="1"/>
        <v>347420</v>
      </c>
    </row>
    <row r="25" spans="1:22" x14ac:dyDescent="0.25">
      <c r="A25" s="4"/>
      <c r="B25" s="16">
        <v>111</v>
      </c>
      <c r="C25" s="16">
        <v>7</v>
      </c>
      <c r="D25" s="5">
        <f>B25*C25</f>
        <v>777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>
        <v>190</v>
      </c>
      <c r="R25" s="7">
        <f t="shared" si="0"/>
        <v>147630</v>
      </c>
      <c r="S25" s="9"/>
      <c r="T25" s="4"/>
      <c r="U25" s="7"/>
      <c r="V25" s="7">
        <f t="shared" si="1"/>
        <v>495050</v>
      </c>
    </row>
    <row r="26" spans="1:22" x14ac:dyDescent="0.25">
      <c r="A26" s="4"/>
      <c r="B26" s="16">
        <v>8</v>
      </c>
      <c r="C26" s="16">
        <v>7</v>
      </c>
      <c r="D26" s="5"/>
      <c r="E26" s="5"/>
      <c r="F26" s="5"/>
      <c r="G26" s="5">
        <f>B26*C26</f>
        <v>56</v>
      </c>
      <c r="H26" s="5"/>
      <c r="I26" s="5"/>
      <c r="J26" s="5"/>
      <c r="K26" s="5"/>
      <c r="L26" s="5"/>
      <c r="M26" s="5"/>
      <c r="N26" s="5"/>
      <c r="O26" s="5"/>
      <c r="P26" s="5"/>
      <c r="Q26" s="7">
        <v>190</v>
      </c>
      <c r="R26" s="7">
        <f t="shared" si="0"/>
        <v>10640</v>
      </c>
      <c r="S26" s="9"/>
      <c r="T26" s="4"/>
      <c r="U26" s="7"/>
      <c r="V26" s="7">
        <f t="shared" si="1"/>
        <v>505690</v>
      </c>
    </row>
    <row r="27" spans="1:22" x14ac:dyDescent="0.25">
      <c r="A27" s="4"/>
      <c r="B27" s="16">
        <v>43</v>
      </c>
      <c r="C27" s="16">
        <v>7</v>
      </c>
      <c r="D27" s="5"/>
      <c r="E27" s="5"/>
      <c r="F27" s="5"/>
      <c r="G27" s="5"/>
      <c r="H27" s="5"/>
      <c r="I27" s="5"/>
      <c r="J27" s="5"/>
      <c r="K27" s="5"/>
      <c r="L27" s="5"/>
      <c r="M27" s="5">
        <f>B27*C27</f>
        <v>301</v>
      </c>
      <c r="N27" s="5"/>
      <c r="O27" s="5"/>
      <c r="P27" s="5"/>
      <c r="Q27" s="7">
        <v>190</v>
      </c>
      <c r="R27" s="7">
        <f t="shared" si="0"/>
        <v>57190</v>
      </c>
      <c r="S27" s="9"/>
      <c r="T27" s="4"/>
      <c r="U27" s="7"/>
      <c r="V27" s="7">
        <f t="shared" si="1"/>
        <v>562880</v>
      </c>
    </row>
    <row r="28" spans="1:22" x14ac:dyDescent="0.25">
      <c r="A28" s="4"/>
      <c r="B28" s="16">
        <v>19</v>
      </c>
      <c r="C28" s="16">
        <v>7</v>
      </c>
      <c r="D28" s="5"/>
      <c r="E28" s="5"/>
      <c r="F28" s="5"/>
      <c r="G28" s="5"/>
      <c r="H28" s="5"/>
      <c r="I28" s="5"/>
      <c r="J28" s="5"/>
      <c r="K28" s="5"/>
      <c r="L28" s="5">
        <f>B28*C28</f>
        <v>133</v>
      </c>
      <c r="M28" s="5"/>
      <c r="N28" s="5"/>
      <c r="O28" s="5"/>
      <c r="P28" s="5"/>
      <c r="Q28" s="7">
        <v>190</v>
      </c>
      <c r="R28" s="7">
        <f t="shared" si="0"/>
        <v>25270</v>
      </c>
      <c r="S28" s="9"/>
      <c r="T28" s="4"/>
      <c r="U28" s="7"/>
      <c r="V28" s="7">
        <f t="shared" si="1"/>
        <v>588150</v>
      </c>
    </row>
    <row r="29" spans="1:22" x14ac:dyDescent="0.25">
      <c r="A29" s="9">
        <v>45644</v>
      </c>
      <c r="B29" s="16">
        <v>105</v>
      </c>
      <c r="C29" s="16">
        <v>7</v>
      </c>
      <c r="D29" s="5"/>
      <c r="E29" s="5">
        <f>B29*C29</f>
        <v>735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>
        <v>190</v>
      </c>
      <c r="R29" s="7">
        <f t="shared" si="0"/>
        <v>139650</v>
      </c>
      <c r="S29" s="9"/>
      <c r="T29" s="4"/>
      <c r="U29" s="7"/>
      <c r="V29" s="7">
        <f t="shared" si="1"/>
        <v>727800</v>
      </c>
    </row>
    <row r="30" spans="1:22" x14ac:dyDescent="0.25">
      <c r="A30" s="4"/>
      <c r="B30" s="16">
        <v>89</v>
      </c>
      <c r="C30" s="16">
        <v>7</v>
      </c>
      <c r="D30" s="5"/>
      <c r="E30" s="5"/>
      <c r="F30" s="5"/>
      <c r="G30" s="5">
        <f>B30*C30</f>
        <v>623</v>
      </c>
      <c r="H30" s="5"/>
      <c r="I30" s="5"/>
      <c r="J30" s="5"/>
      <c r="K30" s="5"/>
      <c r="L30" s="5"/>
      <c r="M30" s="5"/>
      <c r="N30" s="5"/>
      <c r="O30" s="5"/>
      <c r="P30" s="5"/>
      <c r="Q30" s="7">
        <v>190</v>
      </c>
      <c r="R30" s="7">
        <f t="shared" si="0"/>
        <v>118370</v>
      </c>
      <c r="S30" s="9"/>
      <c r="T30" s="4"/>
      <c r="U30" s="7"/>
      <c r="V30" s="7">
        <f t="shared" si="1"/>
        <v>846170</v>
      </c>
    </row>
    <row r="31" spans="1:22" x14ac:dyDescent="0.25">
      <c r="A31" s="4"/>
      <c r="B31" s="16">
        <v>14</v>
      </c>
      <c r="C31" s="16">
        <v>7</v>
      </c>
      <c r="D31" s="5">
        <f>B31*C31</f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>
        <v>190</v>
      </c>
      <c r="R31" s="7">
        <f t="shared" si="0"/>
        <v>18620</v>
      </c>
      <c r="S31" s="9"/>
      <c r="T31" s="4"/>
      <c r="U31" s="7"/>
      <c r="V31" s="7">
        <f t="shared" si="1"/>
        <v>864790</v>
      </c>
    </row>
    <row r="32" spans="1:22" x14ac:dyDescent="0.25">
      <c r="A32" s="4"/>
      <c r="B32" s="16">
        <v>72</v>
      </c>
      <c r="C32" s="16">
        <v>7</v>
      </c>
      <c r="D32" s="5"/>
      <c r="E32" s="5"/>
      <c r="F32" s="5">
        <f>B32*C32</f>
        <v>504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7">
        <v>190</v>
      </c>
      <c r="R32" s="7">
        <f t="shared" si="0"/>
        <v>95760</v>
      </c>
      <c r="S32" s="9"/>
      <c r="T32" s="4"/>
      <c r="U32" s="7"/>
      <c r="V32" s="7">
        <f t="shared" si="1"/>
        <v>960550</v>
      </c>
    </row>
    <row r="33" spans="1:22" x14ac:dyDescent="0.25">
      <c r="A33" s="9">
        <v>46014</v>
      </c>
      <c r="B33" s="16">
        <v>30</v>
      </c>
      <c r="C33" s="16">
        <v>7</v>
      </c>
      <c r="D33" s="5"/>
      <c r="E33" s="5"/>
      <c r="F33" s="5"/>
      <c r="G33" s="5"/>
      <c r="H33" s="5"/>
      <c r="I33" s="5"/>
      <c r="J33" s="5">
        <f>B33*C33</f>
        <v>210</v>
      </c>
      <c r="K33" s="5"/>
      <c r="L33" s="5"/>
      <c r="M33" s="5"/>
      <c r="N33" s="5"/>
      <c r="O33" s="5"/>
      <c r="P33" s="5"/>
      <c r="Q33" s="7">
        <v>190</v>
      </c>
      <c r="R33" s="7">
        <f t="shared" si="0"/>
        <v>39900</v>
      </c>
      <c r="S33" s="9"/>
      <c r="T33" s="4"/>
      <c r="U33" s="7"/>
      <c r="V33" s="7">
        <f t="shared" si="1"/>
        <v>1000450</v>
      </c>
    </row>
    <row r="34" spans="1:22" x14ac:dyDescent="0.25">
      <c r="A34" s="4"/>
      <c r="B34" s="16">
        <v>26</v>
      </c>
      <c r="C34" s="16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B34*C34</f>
        <v>182</v>
      </c>
      <c r="O34" s="5"/>
      <c r="P34" s="5"/>
      <c r="Q34" s="7">
        <v>190</v>
      </c>
      <c r="R34" s="7">
        <f t="shared" si="0"/>
        <v>34580</v>
      </c>
      <c r="S34" s="9"/>
      <c r="T34" s="4"/>
      <c r="U34" s="7"/>
      <c r="V34" s="7">
        <f t="shared" si="1"/>
        <v>1035030</v>
      </c>
    </row>
    <row r="35" spans="1:22" x14ac:dyDescent="0.25">
      <c r="A35" s="4"/>
      <c r="B35" s="16">
        <v>46</v>
      </c>
      <c r="C35" s="16">
        <v>7</v>
      </c>
      <c r="D35" s="5"/>
      <c r="E35" s="5">
        <f>B35*C35</f>
        <v>322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>
        <v>190</v>
      </c>
      <c r="R35" s="7">
        <f t="shared" si="0"/>
        <v>61180</v>
      </c>
      <c r="S35" s="9"/>
      <c r="T35" s="4"/>
      <c r="U35" s="7"/>
      <c r="V35" s="7">
        <f t="shared" si="1"/>
        <v>1096210</v>
      </c>
    </row>
    <row r="36" spans="1:22" x14ac:dyDescent="0.25">
      <c r="A36" s="4"/>
      <c r="B36" s="16">
        <v>23</v>
      </c>
      <c r="C36" s="16">
        <v>9</v>
      </c>
      <c r="D36" s="5"/>
      <c r="E36" s="5"/>
      <c r="F36" s="5"/>
      <c r="G36" s="5"/>
      <c r="H36" s="5"/>
      <c r="I36" s="5"/>
      <c r="J36" s="5"/>
      <c r="K36" s="5">
        <f>B36*C36</f>
        <v>207</v>
      </c>
      <c r="L36" s="5"/>
      <c r="M36" s="5"/>
      <c r="N36" s="5"/>
      <c r="O36" s="5"/>
      <c r="P36" s="5"/>
      <c r="Q36" s="7">
        <v>184</v>
      </c>
      <c r="R36" s="7">
        <f t="shared" si="0"/>
        <v>38088</v>
      </c>
      <c r="S36" s="9"/>
      <c r="T36" s="4"/>
      <c r="U36" s="7"/>
      <c r="V36" s="7">
        <f t="shared" si="1"/>
        <v>1134298</v>
      </c>
    </row>
    <row r="37" spans="1:22" x14ac:dyDescent="0.25">
      <c r="A37" s="4"/>
      <c r="B37" s="16">
        <v>33</v>
      </c>
      <c r="C37" s="16">
        <v>9</v>
      </c>
      <c r="D37" s="5"/>
      <c r="E37" s="5"/>
      <c r="F37" s="5"/>
      <c r="G37" s="5"/>
      <c r="H37" s="5"/>
      <c r="I37" s="5"/>
      <c r="J37" s="5">
        <f>B37*C37</f>
        <v>297</v>
      </c>
      <c r="K37" s="5"/>
      <c r="L37" s="5"/>
      <c r="M37" s="5"/>
      <c r="N37" s="5"/>
      <c r="O37" s="5"/>
      <c r="P37" s="5"/>
      <c r="Q37" s="7">
        <v>184</v>
      </c>
      <c r="R37" s="7">
        <f t="shared" si="0"/>
        <v>54648</v>
      </c>
      <c r="S37" s="4"/>
      <c r="T37" s="4"/>
      <c r="U37" s="7"/>
      <c r="V37" s="7">
        <f t="shared" si="1"/>
        <v>1188946</v>
      </c>
    </row>
    <row r="38" spans="1:22" x14ac:dyDescent="0.25">
      <c r="A38" s="4"/>
      <c r="B38" s="16">
        <v>23</v>
      </c>
      <c r="C38" s="16">
        <v>9</v>
      </c>
      <c r="D38" s="5"/>
      <c r="E38" s="5"/>
      <c r="F38" s="5"/>
      <c r="G38" s="5"/>
      <c r="H38" s="5">
        <f>B38*C38</f>
        <v>207</v>
      </c>
      <c r="I38" s="5"/>
      <c r="J38" s="5"/>
      <c r="K38" s="5"/>
      <c r="L38" s="5"/>
      <c r="M38" s="5"/>
      <c r="N38" s="5"/>
      <c r="O38" s="5"/>
      <c r="P38" s="5"/>
      <c r="Q38" s="7">
        <v>184</v>
      </c>
      <c r="R38" s="7">
        <f t="shared" si="0"/>
        <v>38088</v>
      </c>
      <c r="S38" s="4"/>
      <c r="T38" s="4"/>
      <c r="U38" s="7"/>
      <c r="V38" s="7">
        <f t="shared" si="1"/>
        <v>1227034</v>
      </c>
    </row>
    <row r="39" spans="1:22" x14ac:dyDescent="0.25">
      <c r="A39" s="9">
        <v>46017</v>
      </c>
      <c r="B39" s="16">
        <v>46</v>
      </c>
      <c r="C39" s="16">
        <v>7</v>
      </c>
      <c r="D39" s="5"/>
      <c r="E39" s="5"/>
      <c r="F39" s="5"/>
      <c r="G39" s="5">
        <f>B39*C39</f>
        <v>322</v>
      </c>
      <c r="H39" s="5"/>
      <c r="I39" s="5"/>
      <c r="J39" s="5"/>
      <c r="K39" s="5"/>
      <c r="L39" s="5"/>
      <c r="M39" s="5"/>
      <c r="N39" s="5"/>
      <c r="O39" s="5"/>
      <c r="P39" s="5"/>
      <c r="Q39" s="7">
        <v>190</v>
      </c>
      <c r="R39" s="7">
        <f t="shared" si="0"/>
        <v>61180</v>
      </c>
      <c r="S39" s="4"/>
      <c r="T39" s="4"/>
      <c r="U39" s="7"/>
      <c r="V39" s="7">
        <f t="shared" si="1"/>
        <v>1288214</v>
      </c>
    </row>
    <row r="40" spans="1:22" x14ac:dyDescent="0.25">
      <c r="A40" s="4"/>
      <c r="B40" s="16">
        <v>36</v>
      </c>
      <c r="C40" s="16">
        <v>7</v>
      </c>
      <c r="D40" s="5"/>
      <c r="E40" s="5">
        <f>B40*C40</f>
        <v>252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>
        <v>190</v>
      </c>
      <c r="R40" s="7">
        <f t="shared" si="0"/>
        <v>47880</v>
      </c>
      <c r="S40" s="4"/>
      <c r="T40" s="4"/>
      <c r="U40" s="7"/>
      <c r="V40" s="7">
        <f t="shared" si="1"/>
        <v>1336094</v>
      </c>
    </row>
    <row r="41" spans="1:22" x14ac:dyDescent="0.25">
      <c r="A41" s="4"/>
      <c r="B41" s="16">
        <v>29</v>
      </c>
      <c r="C41" s="16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>B41*C41</f>
        <v>203</v>
      </c>
      <c r="P41" s="5"/>
      <c r="Q41" s="7">
        <v>190</v>
      </c>
      <c r="R41" s="7">
        <f t="shared" si="0"/>
        <v>38570</v>
      </c>
      <c r="S41" s="4"/>
      <c r="T41" s="4"/>
      <c r="U41" s="7"/>
      <c r="V41" s="7">
        <f t="shared" si="1"/>
        <v>1374664</v>
      </c>
    </row>
    <row r="42" spans="1:22" x14ac:dyDescent="0.25">
      <c r="A42" s="4"/>
      <c r="B42" s="16">
        <v>18</v>
      </c>
      <c r="C42" s="16">
        <v>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B42*C42</f>
        <v>126</v>
      </c>
      <c r="O42" s="5"/>
      <c r="P42" s="5"/>
      <c r="Q42" s="7">
        <v>190</v>
      </c>
      <c r="R42" s="7">
        <f t="shared" si="0"/>
        <v>23940</v>
      </c>
      <c r="S42" s="4"/>
      <c r="T42" s="4"/>
      <c r="U42" s="7"/>
      <c r="V42" s="7">
        <f t="shared" si="1"/>
        <v>1398604</v>
      </c>
    </row>
    <row r="43" spans="1:22" x14ac:dyDescent="0.25">
      <c r="A43" s="4"/>
      <c r="B43" s="16">
        <v>6</v>
      </c>
      <c r="C43" s="16">
        <v>9</v>
      </c>
      <c r="D43" s="5"/>
      <c r="E43" s="5"/>
      <c r="F43" s="5"/>
      <c r="G43" s="5"/>
      <c r="H43" s="5">
        <f>B43*C43</f>
        <v>54</v>
      </c>
      <c r="I43" s="5"/>
      <c r="J43" s="5"/>
      <c r="K43" s="5"/>
      <c r="L43" s="5"/>
      <c r="M43" s="5"/>
      <c r="N43" s="5"/>
      <c r="O43" s="5"/>
      <c r="P43" s="5"/>
      <c r="Q43" s="7">
        <v>184</v>
      </c>
      <c r="R43" s="7">
        <f t="shared" si="0"/>
        <v>9936</v>
      </c>
      <c r="S43" s="4"/>
      <c r="T43" s="4"/>
      <c r="U43" s="7"/>
      <c r="V43" s="7">
        <f t="shared" si="1"/>
        <v>1408540</v>
      </c>
    </row>
    <row r="44" spans="1:22" x14ac:dyDescent="0.25">
      <c r="A44" s="4"/>
      <c r="B44" s="16">
        <v>52</v>
      </c>
      <c r="C44" s="16">
        <v>7</v>
      </c>
      <c r="D44" s="5"/>
      <c r="E44" s="5"/>
      <c r="F44" s="5"/>
      <c r="G44" s="5"/>
      <c r="H44" s="5">
        <f>B44*C44</f>
        <v>364</v>
      </c>
      <c r="I44" s="5"/>
      <c r="J44" s="5"/>
      <c r="K44" s="5"/>
      <c r="L44" s="5"/>
      <c r="M44" s="5"/>
      <c r="N44" s="5"/>
      <c r="O44" s="5"/>
      <c r="P44" s="5"/>
      <c r="Q44" s="7">
        <v>190</v>
      </c>
      <c r="R44" s="7">
        <f t="shared" si="0"/>
        <v>69160</v>
      </c>
      <c r="S44" s="4"/>
      <c r="T44" s="4"/>
      <c r="U44" s="7"/>
      <c r="V44" s="7">
        <f t="shared" si="1"/>
        <v>1477700</v>
      </c>
    </row>
    <row r="45" spans="1:22" x14ac:dyDescent="0.25">
      <c r="A45" s="4"/>
      <c r="B45" s="16">
        <v>12</v>
      </c>
      <c r="C45" s="16">
        <v>9</v>
      </c>
      <c r="D45" s="5"/>
      <c r="E45" s="5"/>
      <c r="F45" s="5"/>
      <c r="G45" s="5"/>
      <c r="H45" s="5"/>
      <c r="I45" s="5"/>
      <c r="J45" s="5"/>
      <c r="K45" s="5">
        <f>B45*C45</f>
        <v>108</v>
      </c>
      <c r="L45" s="5"/>
      <c r="M45" s="5"/>
      <c r="N45" s="5"/>
      <c r="O45" s="5"/>
      <c r="P45" s="5"/>
      <c r="Q45" s="7">
        <v>184</v>
      </c>
      <c r="R45" s="7">
        <f t="shared" si="0"/>
        <v>19872</v>
      </c>
      <c r="S45" s="4"/>
      <c r="T45" s="4"/>
      <c r="U45" s="7"/>
      <c r="V45" s="7">
        <f t="shared" si="1"/>
        <v>1497572</v>
      </c>
    </row>
    <row r="46" spans="1:22" x14ac:dyDescent="0.25">
      <c r="A46" s="4"/>
      <c r="B46" s="16">
        <v>90</v>
      </c>
      <c r="C46" s="16">
        <v>7</v>
      </c>
      <c r="D46" s="5">
        <f>B46*C46</f>
        <v>630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>
        <v>190</v>
      </c>
      <c r="R46" s="7">
        <f t="shared" si="0"/>
        <v>119700</v>
      </c>
      <c r="S46" s="4"/>
      <c r="T46" s="4"/>
      <c r="U46" s="7"/>
      <c r="V46" s="7">
        <f t="shared" si="1"/>
        <v>1617272</v>
      </c>
    </row>
    <row r="47" spans="1:22" x14ac:dyDescent="0.25">
      <c r="A47" s="4"/>
      <c r="B47" s="16">
        <v>53</v>
      </c>
      <c r="C47" s="16">
        <v>7</v>
      </c>
      <c r="D47" s="5"/>
      <c r="E47" s="5"/>
      <c r="F47" s="5"/>
      <c r="G47" s="5"/>
      <c r="H47" s="5"/>
      <c r="I47" s="5"/>
      <c r="J47" s="5"/>
      <c r="K47" s="5"/>
      <c r="L47" s="5">
        <f>B47*C47</f>
        <v>371</v>
      </c>
      <c r="M47" s="5"/>
      <c r="N47" s="5"/>
      <c r="O47" s="5"/>
      <c r="P47" s="5"/>
      <c r="Q47" s="7">
        <v>190</v>
      </c>
      <c r="R47" s="7">
        <f t="shared" si="0"/>
        <v>70490</v>
      </c>
      <c r="S47" s="4"/>
      <c r="T47" s="4"/>
      <c r="U47" s="7"/>
      <c r="V47" s="7">
        <f t="shared" si="1"/>
        <v>1687762</v>
      </c>
    </row>
    <row r="48" spans="1:22" x14ac:dyDescent="0.25">
      <c r="A48" s="12" t="s">
        <v>53</v>
      </c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>
        <f t="shared" si="0"/>
        <v>0</v>
      </c>
      <c r="S48" s="12"/>
      <c r="T48" s="12"/>
      <c r="U48" s="14"/>
      <c r="V48" s="14">
        <f t="shared" si="1"/>
        <v>1687762</v>
      </c>
    </row>
    <row r="49" spans="1:22" x14ac:dyDescent="0.25">
      <c r="A49" s="4"/>
      <c r="B49" s="16"/>
      <c r="C49" s="1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>
        <f t="shared" si="0"/>
        <v>0</v>
      </c>
      <c r="S49" s="9">
        <v>45673</v>
      </c>
      <c r="T49" s="4" t="s">
        <v>11</v>
      </c>
      <c r="U49" s="7">
        <v>76588</v>
      </c>
      <c r="V49" s="7">
        <f t="shared" si="1"/>
        <v>1611174</v>
      </c>
    </row>
    <row r="50" spans="1:22" x14ac:dyDescent="0.25">
      <c r="A50" s="4"/>
      <c r="B50" s="16"/>
      <c r="C50" s="1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  <c r="R50" s="7">
        <f t="shared" si="0"/>
        <v>0</v>
      </c>
      <c r="S50" s="9">
        <v>45677</v>
      </c>
      <c r="T50" s="4" t="s">
        <v>11</v>
      </c>
      <c r="U50" s="7">
        <v>100000</v>
      </c>
      <c r="V50" s="7">
        <f t="shared" si="1"/>
        <v>1511174</v>
      </c>
    </row>
    <row r="51" spans="1:22" x14ac:dyDescent="0.25">
      <c r="A51" s="4"/>
      <c r="B51" s="16"/>
      <c r="C51" s="1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>
        <f t="shared" si="0"/>
        <v>0</v>
      </c>
      <c r="S51" s="9">
        <v>45679</v>
      </c>
      <c r="T51" s="4" t="s">
        <v>11</v>
      </c>
      <c r="U51" s="7">
        <v>72400</v>
      </c>
      <c r="V51" s="7">
        <f t="shared" si="1"/>
        <v>1438774</v>
      </c>
    </row>
    <row r="52" spans="1:22" x14ac:dyDescent="0.25">
      <c r="A52" s="4"/>
      <c r="B52" s="16"/>
      <c r="C52" s="1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>
        <f t="shared" si="0"/>
        <v>0</v>
      </c>
      <c r="S52" s="9">
        <v>45680</v>
      </c>
      <c r="T52" s="4" t="s">
        <v>11</v>
      </c>
      <c r="U52" s="7">
        <v>100000</v>
      </c>
      <c r="V52" s="7">
        <f t="shared" si="1"/>
        <v>1338774</v>
      </c>
    </row>
    <row r="53" spans="1:22" x14ac:dyDescent="0.25">
      <c r="A53" s="9">
        <v>45684</v>
      </c>
      <c r="B53" s="16">
        <v>70</v>
      </c>
      <c r="C53" s="16">
        <v>7</v>
      </c>
      <c r="D53" s="5"/>
      <c r="E53" s="5"/>
      <c r="F53" s="5"/>
      <c r="G53" s="5">
        <f>B53*C53</f>
        <v>490</v>
      </c>
      <c r="H53" s="5"/>
      <c r="I53" s="5"/>
      <c r="J53" s="5"/>
      <c r="K53" s="5"/>
      <c r="L53" s="5"/>
      <c r="M53" s="5"/>
      <c r="N53" s="5"/>
      <c r="O53" s="5"/>
      <c r="P53" s="5"/>
      <c r="Q53" s="7">
        <v>190</v>
      </c>
      <c r="R53" s="7">
        <f t="shared" si="0"/>
        <v>93100</v>
      </c>
      <c r="S53" s="9"/>
      <c r="T53" s="4"/>
      <c r="U53" s="7"/>
      <c r="V53" s="7">
        <f t="shared" si="1"/>
        <v>1431874</v>
      </c>
    </row>
    <row r="54" spans="1:22" x14ac:dyDescent="0.25">
      <c r="A54" s="4"/>
      <c r="B54" s="16">
        <v>210</v>
      </c>
      <c r="C54" s="16">
        <v>7</v>
      </c>
      <c r="D54" s="5"/>
      <c r="E54" s="5">
        <f>B54*C54</f>
        <v>1470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>
        <v>190</v>
      </c>
      <c r="R54" s="7">
        <f t="shared" si="0"/>
        <v>279300</v>
      </c>
      <c r="S54" s="9"/>
      <c r="T54" s="4"/>
      <c r="U54" s="7"/>
      <c r="V54" s="7">
        <f t="shared" si="1"/>
        <v>1711174</v>
      </c>
    </row>
    <row r="55" spans="1:22" x14ac:dyDescent="0.25">
      <c r="A55" s="4"/>
      <c r="B55" s="16">
        <v>70</v>
      </c>
      <c r="C55" s="16">
        <v>7</v>
      </c>
      <c r="D55" s="5">
        <f>B55*C55</f>
        <v>490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>
        <v>190</v>
      </c>
      <c r="R55" s="7">
        <f t="shared" si="0"/>
        <v>93100</v>
      </c>
      <c r="S55" s="9"/>
      <c r="T55" s="4"/>
      <c r="U55" s="7"/>
      <c r="V55" s="7">
        <f t="shared" si="1"/>
        <v>1804274</v>
      </c>
    </row>
    <row r="56" spans="1:22" x14ac:dyDescent="0.25">
      <c r="A56" s="4"/>
      <c r="B56" s="16"/>
      <c r="C56" s="1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R56" s="7">
        <f t="shared" si="0"/>
        <v>0</v>
      </c>
      <c r="S56" s="9">
        <v>45685</v>
      </c>
      <c r="T56" s="4" t="s">
        <v>11</v>
      </c>
      <c r="U56" s="7">
        <v>400000</v>
      </c>
      <c r="V56" s="7">
        <f t="shared" si="1"/>
        <v>1404274</v>
      </c>
    </row>
    <row r="57" spans="1:22" x14ac:dyDescent="0.25">
      <c r="A57" s="4"/>
      <c r="B57" s="16"/>
      <c r="C57" s="1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7"/>
      <c r="R57" s="7">
        <f t="shared" si="0"/>
        <v>0</v>
      </c>
      <c r="S57" s="9">
        <v>45686</v>
      </c>
      <c r="T57" s="4" t="s">
        <v>11</v>
      </c>
      <c r="U57" s="7">
        <v>131478</v>
      </c>
      <c r="V57" s="7">
        <f t="shared" si="1"/>
        <v>1272796</v>
      </c>
    </row>
    <row r="58" spans="1:22" x14ac:dyDescent="0.25">
      <c r="A58" s="4"/>
      <c r="B58" s="16"/>
      <c r="C58" s="1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7"/>
      <c r="R58" s="7">
        <f t="shared" si="0"/>
        <v>0</v>
      </c>
      <c r="S58" s="9">
        <v>45688</v>
      </c>
      <c r="T58" s="4" t="s">
        <v>11</v>
      </c>
      <c r="U58" s="7">
        <v>60000</v>
      </c>
      <c r="V58" s="7">
        <f t="shared" si="1"/>
        <v>1212796</v>
      </c>
    </row>
    <row r="59" spans="1:22" x14ac:dyDescent="0.25">
      <c r="A59" s="4"/>
      <c r="B59" s="16"/>
      <c r="C59" s="1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7">
        <f t="shared" si="0"/>
        <v>0</v>
      </c>
      <c r="S59" s="9"/>
      <c r="T59" s="4" t="s">
        <v>11</v>
      </c>
      <c r="U59" s="7">
        <v>101000</v>
      </c>
      <c r="V59" s="7">
        <f t="shared" si="1"/>
        <v>1111796</v>
      </c>
    </row>
    <row r="60" spans="1:22" x14ac:dyDescent="0.25">
      <c r="A60" s="36" t="s">
        <v>54</v>
      </c>
      <c r="B60" s="35"/>
      <c r="C60" s="3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7">
        <f t="shared" si="0"/>
        <v>0</v>
      </c>
      <c r="S60" s="39"/>
      <c r="T60" s="36"/>
      <c r="U60" s="38"/>
      <c r="V60" s="38">
        <f t="shared" si="1"/>
        <v>1111796</v>
      </c>
    </row>
    <row r="61" spans="1:22" x14ac:dyDescent="0.25">
      <c r="A61" s="4"/>
      <c r="B61" s="16"/>
      <c r="C61" s="1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>
        <f t="shared" si="0"/>
        <v>0</v>
      </c>
      <c r="S61" s="9">
        <v>45693</v>
      </c>
      <c r="T61" s="4" t="s">
        <v>11</v>
      </c>
      <c r="U61" s="7">
        <v>39000</v>
      </c>
      <c r="V61" s="7">
        <f t="shared" si="1"/>
        <v>1072796</v>
      </c>
    </row>
    <row r="62" spans="1:22" x14ac:dyDescent="0.25">
      <c r="A62" s="4"/>
      <c r="B62" s="16"/>
      <c r="C62" s="1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7">
        <f t="shared" si="0"/>
        <v>0</v>
      </c>
      <c r="S62" s="9"/>
      <c r="T62" s="4" t="s">
        <v>11</v>
      </c>
      <c r="U62" s="7">
        <v>100000</v>
      </c>
      <c r="V62" s="7">
        <f t="shared" si="1"/>
        <v>972796</v>
      </c>
    </row>
    <row r="63" spans="1:22" x14ac:dyDescent="0.25">
      <c r="A63" s="9">
        <v>45694</v>
      </c>
      <c r="B63" s="16">
        <v>70</v>
      </c>
      <c r="C63" s="16">
        <v>7</v>
      </c>
      <c r="D63" s="5"/>
      <c r="E63" s="5"/>
      <c r="F63" s="5"/>
      <c r="G63" s="5"/>
      <c r="H63" s="5">
        <f>B63*C63</f>
        <v>490</v>
      </c>
      <c r="I63" s="5"/>
      <c r="J63" s="5"/>
      <c r="K63" s="5"/>
      <c r="L63" s="5"/>
      <c r="M63" s="5"/>
      <c r="N63" s="5"/>
      <c r="O63" s="5"/>
      <c r="P63" s="5"/>
      <c r="Q63" s="7">
        <v>190</v>
      </c>
      <c r="R63" s="7">
        <f t="shared" si="0"/>
        <v>93100</v>
      </c>
      <c r="S63" s="9"/>
      <c r="T63" s="4"/>
      <c r="U63" s="7"/>
      <c r="V63" s="7">
        <f t="shared" si="1"/>
        <v>1065896</v>
      </c>
    </row>
    <row r="64" spans="1:22" x14ac:dyDescent="0.25">
      <c r="A64" s="4"/>
      <c r="B64" s="16">
        <v>70</v>
      </c>
      <c r="C64" s="16">
        <v>7</v>
      </c>
      <c r="D64" s="5"/>
      <c r="E64" s="5"/>
      <c r="F64" s="5"/>
      <c r="G64" s="5"/>
      <c r="H64" s="5"/>
      <c r="I64" s="5"/>
      <c r="J64" s="5">
        <f>B64*C64</f>
        <v>490</v>
      </c>
      <c r="K64" s="5"/>
      <c r="L64" s="5"/>
      <c r="M64" s="5"/>
      <c r="N64" s="5"/>
      <c r="O64" s="5"/>
      <c r="P64" s="5"/>
      <c r="Q64" s="7">
        <v>190</v>
      </c>
      <c r="R64" s="7">
        <f t="shared" si="0"/>
        <v>93100</v>
      </c>
      <c r="S64" s="9"/>
      <c r="T64" s="4"/>
      <c r="U64" s="7"/>
      <c r="V64" s="7">
        <f t="shared" si="1"/>
        <v>1158996</v>
      </c>
    </row>
    <row r="65" spans="1:22" x14ac:dyDescent="0.25">
      <c r="A65" s="4"/>
      <c r="B65" s="16">
        <v>70</v>
      </c>
      <c r="C65" s="16">
        <v>7</v>
      </c>
      <c r="D65" s="5"/>
      <c r="E65" s="5"/>
      <c r="F65" s="5"/>
      <c r="G65" s="5"/>
      <c r="H65" s="5"/>
      <c r="I65" s="5"/>
      <c r="J65" s="5"/>
      <c r="K65" s="5">
        <f>B65*C65</f>
        <v>490</v>
      </c>
      <c r="L65" s="5"/>
      <c r="M65" s="5"/>
      <c r="N65" s="5"/>
      <c r="O65" s="5"/>
      <c r="P65" s="5"/>
      <c r="Q65" s="7">
        <v>190</v>
      </c>
      <c r="R65" s="7">
        <f t="shared" si="0"/>
        <v>93100</v>
      </c>
      <c r="S65" s="9"/>
      <c r="T65" s="4"/>
      <c r="U65" s="7"/>
      <c r="V65" s="7">
        <f t="shared" si="1"/>
        <v>1252096</v>
      </c>
    </row>
    <row r="66" spans="1:22" x14ac:dyDescent="0.25">
      <c r="A66" s="4"/>
      <c r="B66" s="16">
        <v>70</v>
      </c>
      <c r="C66" s="16">
        <v>7</v>
      </c>
      <c r="D66" s="5"/>
      <c r="E66" s="5">
        <f>B66*C66</f>
        <v>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7">
        <v>190</v>
      </c>
      <c r="R66" s="7">
        <f t="shared" si="0"/>
        <v>93100</v>
      </c>
      <c r="S66" s="9"/>
      <c r="T66" s="4"/>
      <c r="U66" s="7"/>
      <c r="V66" s="7">
        <f t="shared" si="1"/>
        <v>1345196</v>
      </c>
    </row>
    <row r="67" spans="1:22" x14ac:dyDescent="0.25">
      <c r="A67" s="4"/>
      <c r="B67" s="16">
        <v>43</v>
      </c>
      <c r="C67" s="16">
        <v>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B67*C67</f>
        <v>301</v>
      </c>
      <c r="O67" s="5"/>
      <c r="P67" s="5"/>
      <c r="Q67" s="7">
        <v>190</v>
      </c>
      <c r="R67" s="7">
        <f t="shared" si="0"/>
        <v>57190</v>
      </c>
      <c r="S67" s="9"/>
      <c r="T67" s="4"/>
      <c r="U67" s="7"/>
      <c r="V67" s="7">
        <f t="shared" si="1"/>
        <v>1402386</v>
      </c>
    </row>
    <row r="68" spans="1:22" x14ac:dyDescent="0.25">
      <c r="A68" s="4"/>
      <c r="B68" s="16">
        <v>70</v>
      </c>
      <c r="C68" s="16">
        <v>7</v>
      </c>
      <c r="D68" s="5"/>
      <c r="E68" s="5"/>
      <c r="F68" s="5">
        <f>B68*C68</f>
        <v>490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7">
        <v>190</v>
      </c>
      <c r="R68" s="7">
        <f t="shared" ref="R68:R101" si="2">D68*Q68+E68*Q68+F68*Q68+G68*Q68+H68*Q68+I68*Q68+J68*Q68+K68*Q68+L68*Q68+M68*Q68+N68*Q68+O68*Q68+P68*Q68</f>
        <v>93100</v>
      </c>
      <c r="S68" s="9"/>
      <c r="T68" s="4"/>
      <c r="U68" s="7"/>
      <c r="V68" s="7">
        <f t="shared" si="1"/>
        <v>1495486</v>
      </c>
    </row>
    <row r="69" spans="1:22" x14ac:dyDescent="0.25">
      <c r="A69" s="4"/>
      <c r="B69" s="16"/>
      <c r="C69" s="1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>
        <f t="shared" si="2"/>
        <v>0</v>
      </c>
      <c r="S69" s="9">
        <v>45708</v>
      </c>
      <c r="T69" s="4" t="s">
        <v>11</v>
      </c>
      <c r="U69" s="7">
        <v>170000</v>
      </c>
      <c r="V69" s="7">
        <f t="shared" si="1"/>
        <v>1325486</v>
      </c>
    </row>
    <row r="70" spans="1:22" x14ac:dyDescent="0.25">
      <c r="A70" s="4"/>
      <c r="B70" s="16"/>
      <c r="C70" s="1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>
        <f t="shared" si="2"/>
        <v>0</v>
      </c>
      <c r="S70" s="9">
        <v>45713</v>
      </c>
      <c r="T70" s="4" t="s">
        <v>11</v>
      </c>
      <c r="U70" s="7">
        <v>100000</v>
      </c>
      <c r="V70" s="7">
        <f t="shared" si="1"/>
        <v>1225486</v>
      </c>
    </row>
    <row r="71" spans="1:22" x14ac:dyDescent="0.25">
      <c r="A71" s="4"/>
      <c r="B71" s="16"/>
      <c r="C71" s="1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7">
        <f t="shared" si="2"/>
        <v>0</v>
      </c>
      <c r="S71" s="9">
        <v>45715</v>
      </c>
      <c r="T71" s="4" t="s">
        <v>11</v>
      </c>
      <c r="U71" s="7">
        <v>295000</v>
      </c>
      <c r="V71" s="7">
        <f t="shared" si="1"/>
        <v>930486</v>
      </c>
    </row>
    <row r="72" spans="1:22" x14ac:dyDescent="0.25">
      <c r="A72" s="36"/>
      <c r="B72" s="35"/>
      <c r="C72" s="3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7">
        <f t="shared" si="2"/>
        <v>0</v>
      </c>
      <c r="S72" s="39"/>
      <c r="T72" s="36"/>
      <c r="U72" s="38"/>
      <c r="V72" s="38">
        <f t="shared" si="1"/>
        <v>930486</v>
      </c>
    </row>
    <row r="73" spans="1:22" x14ac:dyDescent="0.25">
      <c r="A73" s="4"/>
      <c r="B73" s="16"/>
      <c r="C73" s="1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7">
        <f t="shared" si="2"/>
        <v>0</v>
      </c>
      <c r="S73" s="9">
        <v>45719</v>
      </c>
      <c r="T73" s="4" t="s">
        <v>11</v>
      </c>
      <c r="U73" s="7">
        <v>122690</v>
      </c>
      <c r="V73" s="7">
        <f t="shared" si="1"/>
        <v>807796</v>
      </c>
    </row>
    <row r="74" spans="1:22" ht="16.5" thickBot="1" x14ac:dyDescent="0.3">
      <c r="A74" s="50"/>
      <c r="B74" s="107"/>
      <c r="C74" s="107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108"/>
      <c r="R74" s="7">
        <f t="shared" si="2"/>
        <v>0</v>
      </c>
      <c r="S74" s="9">
        <v>45720</v>
      </c>
      <c r="T74" s="4" t="s">
        <v>11</v>
      </c>
      <c r="U74" s="7">
        <v>300000</v>
      </c>
      <c r="V74" s="7">
        <f t="shared" si="1"/>
        <v>507796</v>
      </c>
    </row>
    <row r="75" spans="1:22" ht="16.5" thickBot="1" x14ac:dyDescent="0.3">
      <c r="A75" s="109">
        <v>45734</v>
      </c>
      <c r="B75" s="110">
        <v>50</v>
      </c>
      <c r="C75" s="110">
        <v>10</v>
      </c>
      <c r="D75" s="111">
        <f>B75*C75</f>
        <v>500</v>
      </c>
      <c r="E75" s="111">
        <f>B75*C75</f>
        <v>500</v>
      </c>
      <c r="F75" s="111"/>
      <c r="G75" s="111">
        <f>B75*C75</f>
        <v>500</v>
      </c>
      <c r="H75" s="111"/>
      <c r="I75" s="111"/>
      <c r="J75" s="111"/>
      <c r="K75" s="111"/>
      <c r="L75" s="111">
        <f>B75*C75</f>
        <v>500</v>
      </c>
      <c r="M75" s="111"/>
      <c r="N75" s="111">
        <f>B75*C75</f>
        <v>500</v>
      </c>
      <c r="O75" s="111"/>
      <c r="P75" s="111"/>
      <c r="Q75" s="112">
        <v>190</v>
      </c>
      <c r="R75" s="7">
        <f t="shared" si="2"/>
        <v>475000</v>
      </c>
      <c r="S75" s="67"/>
      <c r="T75" s="4"/>
      <c r="U75" s="7"/>
      <c r="V75" s="7">
        <f t="shared" si="1"/>
        <v>982796</v>
      </c>
    </row>
    <row r="76" spans="1:22" ht="16.5" thickBot="1" x14ac:dyDescent="0.3">
      <c r="A76" s="167" t="s">
        <v>35</v>
      </c>
      <c r="B76" s="177"/>
      <c r="C76" s="177"/>
      <c r="D76" s="168"/>
      <c r="E76" s="190"/>
      <c r="F76" s="192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4"/>
      <c r="R76" s="191">
        <f t="shared" si="2"/>
        <v>0</v>
      </c>
      <c r="S76" s="44"/>
      <c r="T76" s="12"/>
      <c r="U76" s="14"/>
      <c r="V76" s="14">
        <f t="shared" si="1"/>
        <v>982796</v>
      </c>
    </row>
    <row r="77" spans="1:22" x14ac:dyDescent="0.25">
      <c r="A77" s="72">
        <v>45757</v>
      </c>
      <c r="B77" s="178">
        <v>50</v>
      </c>
      <c r="C77" s="178">
        <v>10</v>
      </c>
      <c r="D77" s="74">
        <v>2500</v>
      </c>
      <c r="E77" s="115"/>
      <c r="F77" s="122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>
        <v>190</v>
      </c>
      <c r="R77" s="119">
        <f t="shared" si="2"/>
        <v>475000</v>
      </c>
      <c r="S77" s="9"/>
      <c r="T77" s="4"/>
      <c r="U77" s="7"/>
      <c r="V77" s="7">
        <f t="shared" si="1"/>
        <v>1457796</v>
      </c>
    </row>
    <row r="78" spans="1:22" x14ac:dyDescent="0.25">
      <c r="A78" s="114"/>
      <c r="B78" s="16"/>
      <c r="C78" s="16"/>
      <c r="D78" s="5"/>
      <c r="E78" s="116"/>
      <c r="F78" s="124"/>
      <c r="G78" s="5"/>
      <c r="H78" s="5"/>
      <c r="I78" s="5"/>
      <c r="J78" s="5"/>
      <c r="K78" s="5"/>
      <c r="L78" s="5"/>
      <c r="M78" s="5"/>
      <c r="N78" s="5"/>
      <c r="O78" s="5"/>
      <c r="P78" s="5"/>
      <c r="Q78" s="77"/>
      <c r="R78" s="119">
        <f t="shared" si="2"/>
        <v>0</v>
      </c>
      <c r="S78" s="9">
        <v>45758</v>
      </c>
      <c r="T78" s="4" t="s">
        <v>11</v>
      </c>
      <c r="U78" s="7">
        <v>83000</v>
      </c>
      <c r="V78" s="7">
        <f t="shared" si="1"/>
        <v>1374796</v>
      </c>
    </row>
    <row r="79" spans="1:22" x14ac:dyDescent="0.25">
      <c r="A79" s="76">
        <v>45763</v>
      </c>
      <c r="B79" s="16">
        <v>50</v>
      </c>
      <c r="C79" s="16">
        <v>10</v>
      </c>
      <c r="D79" s="5"/>
      <c r="E79" s="116">
        <f>B79*C79</f>
        <v>500</v>
      </c>
      <c r="F79" s="124">
        <f>B79*C79</f>
        <v>500</v>
      </c>
      <c r="G79" s="5">
        <f>B79*C79</f>
        <v>500</v>
      </c>
      <c r="H79" s="5"/>
      <c r="I79" s="5"/>
      <c r="J79" s="5">
        <f>B79*C79</f>
        <v>500</v>
      </c>
      <c r="K79" s="5"/>
      <c r="L79" s="5"/>
      <c r="M79" s="5"/>
      <c r="N79" s="5"/>
      <c r="O79" s="5"/>
      <c r="P79" s="5">
        <f>B79*C79</f>
        <v>500</v>
      </c>
      <c r="Q79" s="77">
        <v>190</v>
      </c>
      <c r="R79" s="119">
        <f t="shared" si="2"/>
        <v>475000</v>
      </c>
      <c r="S79" s="9">
        <v>45763</v>
      </c>
      <c r="T79" s="4" t="s">
        <v>11</v>
      </c>
      <c r="U79" s="7">
        <v>200000</v>
      </c>
      <c r="V79" s="7">
        <f t="shared" si="1"/>
        <v>1649796</v>
      </c>
    </row>
    <row r="80" spans="1:22" ht="16.5" thickBot="1" x14ac:dyDescent="0.3">
      <c r="A80" s="78"/>
      <c r="B80" s="179"/>
      <c r="C80" s="179"/>
      <c r="D80" s="26"/>
      <c r="E80" s="117"/>
      <c r="F80" s="1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79"/>
      <c r="R80" s="119">
        <f t="shared" si="2"/>
        <v>0</v>
      </c>
      <c r="S80" s="9">
        <v>45764</v>
      </c>
      <c r="T80" s="4" t="s">
        <v>11</v>
      </c>
      <c r="U80" s="7">
        <v>77000</v>
      </c>
      <c r="V80" s="7">
        <f>V79+R80-U80</f>
        <v>1572796</v>
      </c>
    </row>
    <row r="81" spans="1:22" ht="16.5" thickBot="1" x14ac:dyDescent="0.3">
      <c r="A81" s="109">
        <v>45772</v>
      </c>
      <c r="B81" s="110">
        <v>250</v>
      </c>
      <c r="C81" s="110">
        <v>10</v>
      </c>
      <c r="D81" s="111"/>
      <c r="E81" s="111">
        <v>1000</v>
      </c>
      <c r="F81" s="111"/>
      <c r="G81" s="111">
        <v>500</v>
      </c>
      <c r="H81" s="111"/>
      <c r="I81" s="111"/>
      <c r="J81" s="111">
        <v>1000</v>
      </c>
      <c r="K81" s="111"/>
      <c r="L81" s="111"/>
      <c r="M81" s="111"/>
      <c r="N81" s="111"/>
      <c r="O81" s="111"/>
      <c r="P81" s="111"/>
      <c r="Q81" s="113">
        <v>190</v>
      </c>
      <c r="R81" s="119">
        <f t="shared" si="2"/>
        <v>475000</v>
      </c>
      <c r="S81" s="9"/>
      <c r="T81" s="4"/>
      <c r="U81" s="7"/>
      <c r="V81" s="7">
        <f t="shared" si="1"/>
        <v>2047796</v>
      </c>
    </row>
    <row r="82" spans="1:22" s="206" customFormat="1" x14ac:dyDescent="0.25">
      <c r="A82" s="199"/>
      <c r="B82" s="200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2"/>
      <c r="R82" s="203">
        <f t="shared" si="2"/>
        <v>0</v>
      </c>
      <c r="S82" s="204">
        <v>45776</v>
      </c>
      <c r="T82" s="205" t="s">
        <v>11</v>
      </c>
      <c r="U82" s="203">
        <v>100000</v>
      </c>
      <c r="V82" s="203">
        <f t="shared" si="1"/>
        <v>1947796</v>
      </c>
    </row>
    <row r="83" spans="1:22" x14ac:dyDescent="0.25">
      <c r="A83" s="195" t="s">
        <v>36</v>
      </c>
      <c r="B83" s="207"/>
      <c r="C83" s="20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96"/>
      <c r="R83" s="196">
        <f t="shared" si="2"/>
        <v>0</v>
      </c>
      <c r="S83" s="197"/>
      <c r="T83" s="198"/>
      <c r="U83" s="196"/>
      <c r="V83" s="196">
        <f t="shared" si="1"/>
        <v>1947796</v>
      </c>
    </row>
    <row r="84" spans="1:22" x14ac:dyDescent="0.25">
      <c r="A84" s="4"/>
      <c r="B84" s="16"/>
      <c r="C84" s="1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7"/>
      <c r="R84" s="7">
        <f t="shared" si="2"/>
        <v>0</v>
      </c>
      <c r="S84" s="9" t="s">
        <v>55</v>
      </c>
      <c r="T84" s="4" t="s">
        <v>11</v>
      </c>
      <c r="U84" s="7">
        <v>300000</v>
      </c>
      <c r="V84" s="7">
        <f t="shared" si="1"/>
        <v>1647796</v>
      </c>
    </row>
    <row r="85" spans="1:22" x14ac:dyDescent="0.25">
      <c r="A85" s="4"/>
      <c r="B85" s="16"/>
      <c r="C85" s="1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7"/>
      <c r="R85" s="7">
        <f t="shared" si="2"/>
        <v>0</v>
      </c>
      <c r="S85" s="9" t="s">
        <v>56</v>
      </c>
      <c r="T85" s="4" t="s">
        <v>11</v>
      </c>
      <c r="U85" s="7">
        <v>115340</v>
      </c>
      <c r="V85" s="7">
        <f t="shared" si="1"/>
        <v>1532456</v>
      </c>
    </row>
    <row r="86" spans="1:22" x14ac:dyDescent="0.25">
      <c r="A86" s="4"/>
      <c r="B86" s="16"/>
      <c r="C86" s="1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7"/>
      <c r="R86" s="7">
        <f t="shared" si="2"/>
        <v>0</v>
      </c>
      <c r="S86" s="9">
        <v>45790</v>
      </c>
      <c r="T86" s="4" t="s">
        <v>11</v>
      </c>
      <c r="U86" s="7">
        <v>100000</v>
      </c>
      <c r="V86" s="7">
        <f t="shared" si="1"/>
        <v>1432456</v>
      </c>
    </row>
    <row r="87" spans="1:22" x14ac:dyDescent="0.25">
      <c r="A87" s="4" t="s">
        <v>57</v>
      </c>
      <c r="B87" s="16">
        <f>QUOTIENT(SUM(D87:P87),C87)</f>
        <v>250</v>
      </c>
      <c r="C87" s="16">
        <v>10</v>
      </c>
      <c r="D87" s="5"/>
      <c r="E87" s="5"/>
      <c r="F87" s="5"/>
      <c r="G87" s="5">
        <v>1000</v>
      </c>
      <c r="H87" s="5"/>
      <c r="I87" s="5"/>
      <c r="J87" s="5"/>
      <c r="K87" s="5"/>
      <c r="L87" s="5"/>
      <c r="M87" s="5">
        <v>1000</v>
      </c>
      <c r="N87" s="5"/>
      <c r="O87" s="5"/>
      <c r="P87" s="5">
        <v>500</v>
      </c>
      <c r="Q87" s="7">
        <v>190</v>
      </c>
      <c r="R87" s="7">
        <f t="shared" si="2"/>
        <v>475000</v>
      </c>
      <c r="S87" s="9"/>
      <c r="T87" s="4"/>
      <c r="U87" s="7"/>
      <c r="V87" s="7">
        <f t="shared" si="1"/>
        <v>1907456</v>
      </c>
    </row>
    <row r="88" spans="1:22" x14ac:dyDescent="0.25">
      <c r="A88" s="4"/>
      <c r="B88" s="16"/>
      <c r="C88" s="1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7"/>
      <c r="R88" s="7">
        <f t="shared" si="2"/>
        <v>0</v>
      </c>
      <c r="S88" s="9" t="s">
        <v>114</v>
      </c>
      <c r="T88" s="4" t="s">
        <v>11</v>
      </c>
      <c r="U88" s="7">
        <v>100000</v>
      </c>
      <c r="V88" s="7">
        <f t="shared" si="1"/>
        <v>1807456</v>
      </c>
    </row>
    <row r="89" spans="1:22" x14ac:dyDescent="0.25">
      <c r="A89" s="4" t="s">
        <v>116</v>
      </c>
      <c r="B89" s="16">
        <f>(D89+E89+F89)/10</f>
        <v>250</v>
      </c>
      <c r="C89" s="16">
        <v>10</v>
      </c>
      <c r="D89" s="5">
        <v>500</v>
      </c>
      <c r="E89" s="5">
        <v>1000</v>
      </c>
      <c r="F89" s="5">
        <v>1000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7">
        <v>190</v>
      </c>
      <c r="R89" s="7">
        <f t="shared" si="2"/>
        <v>475000</v>
      </c>
      <c r="S89" s="9" t="s">
        <v>116</v>
      </c>
      <c r="T89" s="4" t="s">
        <v>11</v>
      </c>
      <c r="U89" s="7">
        <v>98000</v>
      </c>
      <c r="V89" s="7">
        <f t="shared" si="1"/>
        <v>2184456</v>
      </c>
    </row>
    <row r="90" spans="1:22" x14ac:dyDescent="0.25">
      <c r="A90" s="4" t="s">
        <v>120</v>
      </c>
      <c r="B90" s="16">
        <f>(D90+E90+F90)/10</f>
        <v>150</v>
      </c>
      <c r="C90" s="16">
        <v>10</v>
      </c>
      <c r="D90" s="5">
        <v>1500</v>
      </c>
      <c r="E90" s="5"/>
      <c r="F90" s="5"/>
      <c r="G90" s="5"/>
      <c r="H90" s="5"/>
      <c r="I90" s="5"/>
      <c r="J90" s="5"/>
      <c r="K90" s="5">
        <v>1000</v>
      </c>
      <c r="L90" s="5"/>
      <c r="M90" s="5"/>
      <c r="N90" s="5"/>
      <c r="O90" s="5"/>
      <c r="P90" s="5"/>
      <c r="Q90" s="7">
        <v>190</v>
      </c>
      <c r="R90" s="7">
        <f t="shared" si="2"/>
        <v>475000</v>
      </c>
      <c r="S90" s="9"/>
      <c r="T90" s="4"/>
      <c r="U90" s="7"/>
      <c r="V90" s="7">
        <f t="shared" si="1"/>
        <v>2659456</v>
      </c>
    </row>
    <row r="91" spans="1:22" x14ac:dyDescent="0.25">
      <c r="A91" s="4"/>
      <c r="B91" s="16"/>
      <c r="C91" s="1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7"/>
      <c r="R91" s="7">
        <f t="shared" si="2"/>
        <v>0</v>
      </c>
      <c r="S91" s="9" t="s">
        <v>121</v>
      </c>
      <c r="T91" s="4" t="s">
        <v>11</v>
      </c>
      <c r="U91" s="7">
        <v>100000</v>
      </c>
      <c r="V91" s="7">
        <f t="shared" si="1"/>
        <v>2559456</v>
      </c>
    </row>
    <row r="92" spans="1:22" x14ac:dyDescent="0.25">
      <c r="A92" s="4" t="s">
        <v>123</v>
      </c>
      <c r="B92" s="16">
        <v>250</v>
      </c>
      <c r="C92" s="16">
        <v>10</v>
      </c>
      <c r="D92" s="5">
        <v>500</v>
      </c>
      <c r="E92" s="5">
        <v>500</v>
      </c>
      <c r="F92" s="5"/>
      <c r="G92" s="5"/>
      <c r="H92" s="5"/>
      <c r="I92" s="5"/>
      <c r="J92" s="5"/>
      <c r="K92" s="5"/>
      <c r="L92" s="5"/>
      <c r="M92" s="5"/>
      <c r="N92" s="5">
        <v>1000</v>
      </c>
      <c r="O92" s="5"/>
      <c r="P92" s="5">
        <v>500</v>
      </c>
      <c r="Q92" s="7">
        <v>190</v>
      </c>
      <c r="R92" s="7">
        <f t="shared" si="2"/>
        <v>475000</v>
      </c>
      <c r="S92" s="9" t="s">
        <v>118</v>
      </c>
      <c r="T92" s="4" t="s">
        <v>11</v>
      </c>
      <c r="U92" s="7">
        <v>400000</v>
      </c>
      <c r="V92" s="7">
        <f t="shared" si="1"/>
        <v>2634456</v>
      </c>
    </row>
    <row r="93" spans="1:22" x14ac:dyDescent="0.25">
      <c r="A93" s="4"/>
      <c r="B93" s="16"/>
      <c r="C93" s="1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7">
        <f t="shared" si="2"/>
        <v>0</v>
      </c>
      <c r="S93" s="9"/>
      <c r="T93" s="4"/>
      <c r="U93" s="7"/>
      <c r="V93" s="7">
        <f t="shared" si="1"/>
        <v>2634456</v>
      </c>
    </row>
    <row r="94" spans="1:22" x14ac:dyDescent="0.25">
      <c r="A94" s="4"/>
      <c r="B94" s="16"/>
      <c r="C94" s="1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7"/>
      <c r="R94" s="7">
        <f t="shared" si="2"/>
        <v>0</v>
      </c>
      <c r="S94" s="9"/>
      <c r="T94" s="4"/>
      <c r="U94" s="7"/>
      <c r="V94" s="7">
        <f t="shared" si="1"/>
        <v>2634456</v>
      </c>
    </row>
    <row r="95" spans="1:22" x14ac:dyDescent="0.25">
      <c r="A95" s="4"/>
      <c r="B95" s="16"/>
      <c r="C95" s="1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7"/>
      <c r="R95" s="7">
        <f t="shared" si="2"/>
        <v>0</v>
      </c>
      <c r="S95" s="9"/>
      <c r="T95" s="4"/>
      <c r="U95" s="7"/>
      <c r="V95" s="7">
        <f t="shared" si="1"/>
        <v>2634456</v>
      </c>
    </row>
    <row r="96" spans="1:22" x14ac:dyDescent="0.25">
      <c r="A96" s="4"/>
      <c r="B96" s="16"/>
      <c r="C96" s="1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7"/>
      <c r="R96" s="7">
        <f t="shared" si="2"/>
        <v>0</v>
      </c>
      <c r="S96" s="9"/>
      <c r="T96" s="4"/>
      <c r="U96" s="7"/>
      <c r="V96" s="7">
        <f t="shared" si="1"/>
        <v>2634456</v>
      </c>
    </row>
    <row r="97" spans="1:22" x14ac:dyDescent="0.25">
      <c r="A97" s="4"/>
      <c r="B97" s="16"/>
      <c r="C97" s="1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7"/>
      <c r="R97" s="7">
        <f t="shared" si="2"/>
        <v>0</v>
      </c>
      <c r="S97" s="4"/>
      <c r="T97" s="4"/>
      <c r="U97" s="7"/>
      <c r="V97" s="7">
        <f t="shared" si="1"/>
        <v>2634456</v>
      </c>
    </row>
    <row r="98" spans="1:22" x14ac:dyDescent="0.25">
      <c r="A98" s="4"/>
      <c r="B98" s="16"/>
      <c r="C98" s="1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7"/>
      <c r="R98" s="7">
        <f t="shared" si="2"/>
        <v>0</v>
      </c>
      <c r="S98" s="4"/>
      <c r="T98" s="4"/>
      <c r="U98" s="7"/>
      <c r="V98" s="7">
        <f t="shared" si="1"/>
        <v>2634456</v>
      </c>
    </row>
    <row r="99" spans="1:22" x14ac:dyDescent="0.25">
      <c r="A99" s="4"/>
      <c r="B99" s="16"/>
      <c r="C99" s="1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7"/>
      <c r="R99" s="7">
        <f t="shared" si="2"/>
        <v>0</v>
      </c>
      <c r="S99" s="4"/>
      <c r="T99" s="4"/>
      <c r="U99" s="7"/>
      <c r="V99" s="7">
        <f t="shared" si="1"/>
        <v>2634456</v>
      </c>
    </row>
    <row r="100" spans="1:22" x14ac:dyDescent="0.25">
      <c r="A100" s="4"/>
      <c r="B100" s="16"/>
      <c r="C100" s="1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7">
        <f t="shared" si="2"/>
        <v>0</v>
      </c>
      <c r="S100" s="4"/>
      <c r="T100" s="4"/>
      <c r="U100" s="7"/>
      <c r="V100" s="7">
        <f t="shared" si="1"/>
        <v>2634456</v>
      </c>
    </row>
    <row r="101" spans="1:22" x14ac:dyDescent="0.25">
      <c r="A101" s="4"/>
      <c r="B101" s="16"/>
      <c r="C101" s="1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>
        <f t="shared" si="2"/>
        <v>0</v>
      </c>
      <c r="S101" s="4"/>
      <c r="T101" s="4"/>
      <c r="U101" s="7"/>
      <c r="V101" s="7">
        <f t="shared" si="1"/>
        <v>2634456</v>
      </c>
    </row>
    <row r="102" spans="1:22" x14ac:dyDescent="0.25">
      <c r="A102" s="4"/>
      <c r="B102" s="16">
        <f>SUM(B3:B101)</f>
        <v>3844</v>
      </c>
      <c r="C102" s="16">
        <f>SUM(C3:C101)</f>
        <v>447</v>
      </c>
      <c r="D102" s="5">
        <f>SUM(D3:D101)</f>
        <v>9034</v>
      </c>
      <c r="E102" s="5">
        <f t="shared" ref="E102:O102" si="3">SUM(E3:E101)</f>
        <v>8974</v>
      </c>
      <c r="F102" s="5">
        <f t="shared" si="3"/>
        <v>2800</v>
      </c>
      <c r="G102" s="5">
        <f t="shared" si="3"/>
        <v>5737</v>
      </c>
      <c r="H102" s="5">
        <f t="shared" si="3"/>
        <v>2321</v>
      </c>
      <c r="I102" s="5">
        <f t="shared" si="3"/>
        <v>99</v>
      </c>
      <c r="J102" s="5">
        <f t="shared" si="3"/>
        <v>2992</v>
      </c>
      <c r="K102" s="5">
        <f t="shared" si="3"/>
        <v>2111</v>
      </c>
      <c r="L102" s="5">
        <f t="shared" si="3"/>
        <v>1184</v>
      </c>
      <c r="M102" s="5">
        <f t="shared" si="3"/>
        <v>1301</v>
      </c>
      <c r="N102" s="5">
        <f t="shared" si="3"/>
        <v>2109</v>
      </c>
      <c r="O102" s="5">
        <f t="shared" si="3"/>
        <v>203</v>
      </c>
      <c r="P102" s="5"/>
      <c r="Q102" s="7"/>
      <c r="R102" s="7">
        <f>SUM(R3:R101)</f>
        <v>7619778</v>
      </c>
      <c r="S102" s="4"/>
      <c r="T102" s="4"/>
      <c r="U102" s="7"/>
      <c r="V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9"/>
  <sheetViews>
    <sheetView workbookViewId="0">
      <pane ySplit="1" topLeftCell="A2" activePane="bottomLeft" state="frozen"/>
      <selection pane="bottomLeft" activeCell="I19" sqref="I19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0.7109375" style="1" customWidth="1"/>
    <col min="5" max="12" width="10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48" customWidth="1"/>
    <col min="19" max="16384" width="8.85546875" style="1"/>
  </cols>
  <sheetData>
    <row r="1" spans="1:18" s="15" customFormat="1" ht="42.75" x14ac:dyDescent="0.25">
      <c r="A1" s="41" t="s">
        <v>0</v>
      </c>
      <c r="B1" s="40" t="s">
        <v>24</v>
      </c>
      <c r="C1" s="40" t="s">
        <v>38</v>
      </c>
      <c r="D1" s="41" t="s">
        <v>58</v>
      </c>
      <c r="E1" s="41" t="s">
        <v>59</v>
      </c>
      <c r="F1" s="41" t="s">
        <v>60</v>
      </c>
      <c r="G1" s="41" t="s">
        <v>61</v>
      </c>
      <c r="H1" s="41" t="s">
        <v>62</v>
      </c>
      <c r="I1" s="41" t="s">
        <v>63</v>
      </c>
      <c r="J1" s="41" t="s">
        <v>64</v>
      </c>
      <c r="K1" s="41" t="s">
        <v>65</v>
      </c>
      <c r="L1" s="41" t="s">
        <v>66</v>
      </c>
      <c r="M1" s="42" t="s">
        <v>52</v>
      </c>
      <c r="N1" s="42" t="s">
        <v>7</v>
      </c>
      <c r="O1" s="41" t="s">
        <v>8</v>
      </c>
      <c r="P1" s="41" t="s">
        <v>9</v>
      </c>
      <c r="Q1" s="42" t="s">
        <v>7</v>
      </c>
      <c r="R1" s="54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45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45701</v>
      </c>
      <c r="P3" s="4" t="s">
        <v>11</v>
      </c>
      <c r="Q3" s="7">
        <v>115150</v>
      </c>
      <c r="R3" s="45">
        <f>R2+N3-Q3</f>
        <v>-115150</v>
      </c>
    </row>
    <row r="4" spans="1:18" x14ac:dyDescent="0.25">
      <c r="A4" s="9">
        <v>45715</v>
      </c>
      <c r="B4" s="5">
        <v>11</v>
      </c>
      <c r="C4" s="5">
        <v>7</v>
      </c>
      <c r="D4" s="5">
        <f>B4*C4</f>
        <v>77</v>
      </c>
      <c r="E4" s="5"/>
      <c r="F4" s="5"/>
      <c r="G4" s="5"/>
      <c r="H4" s="5"/>
      <c r="I4" s="5"/>
      <c r="J4" s="5"/>
      <c r="K4" s="5"/>
      <c r="L4" s="5"/>
      <c r="M4" s="7">
        <v>235</v>
      </c>
      <c r="N4" s="7">
        <f t="shared" ref="N4:N24" si="0">D4*M4+E4*M4+F4*M4+G4*M4+H4*M4+I4*M4+J4*M4+K4*M4+L4*M4</f>
        <v>18095</v>
      </c>
      <c r="O4" s="9"/>
      <c r="P4" s="4"/>
      <c r="Q4" s="7"/>
      <c r="R4" s="45">
        <f t="shared" ref="R4:R28" si="1">R3+N4-Q4</f>
        <v>-97055</v>
      </c>
    </row>
    <row r="5" spans="1:18" x14ac:dyDescent="0.25">
      <c r="A5" s="4"/>
      <c r="B5" s="5">
        <v>6</v>
      </c>
      <c r="C5" s="5">
        <v>7</v>
      </c>
      <c r="D5" s="5"/>
      <c r="E5" s="5"/>
      <c r="F5" s="5"/>
      <c r="G5" s="5"/>
      <c r="H5" s="5"/>
      <c r="I5" s="5"/>
      <c r="J5" s="5">
        <f>B5*C5</f>
        <v>42</v>
      </c>
      <c r="K5" s="5"/>
      <c r="L5" s="5"/>
      <c r="M5" s="7">
        <v>235</v>
      </c>
      <c r="N5" s="7">
        <f t="shared" si="0"/>
        <v>9870</v>
      </c>
      <c r="O5" s="4"/>
      <c r="P5" s="4"/>
      <c r="Q5" s="7"/>
      <c r="R5" s="45">
        <f t="shared" si="1"/>
        <v>-87185</v>
      </c>
    </row>
    <row r="6" spans="1:18" x14ac:dyDescent="0.25">
      <c r="A6" s="4"/>
      <c r="B6" s="5">
        <v>13</v>
      </c>
      <c r="C6" s="5">
        <v>7</v>
      </c>
      <c r="D6" s="5"/>
      <c r="E6" s="5">
        <f>B6*C6</f>
        <v>91</v>
      </c>
      <c r="F6" s="5"/>
      <c r="G6" s="5"/>
      <c r="H6" s="5"/>
      <c r="I6" s="5"/>
      <c r="J6" s="5"/>
      <c r="K6" s="5"/>
      <c r="L6" s="5"/>
      <c r="M6" s="7">
        <v>235</v>
      </c>
      <c r="N6" s="7">
        <f t="shared" si="0"/>
        <v>21385</v>
      </c>
      <c r="O6" s="4"/>
      <c r="P6" s="4"/>
      <c r="Q6" s="7"/>
      <c r="R6" s="45">
        <f t="shared" si="1"/>
        <v>-65800</v>
      </c>
    </row>
    <row r="7" spans="1:18" x14ac:dyDescent="0.25">
      <c r="A7" s="9"/>
      <c r="B7" s="5">
        <v>6</v>
      </c>
      <c r="C7" s="5">
        <v>7</v>
      </c>
      <c r="D7" s="5"/>
      <c r="E7" s="5"/>
      <c r="F7" s="5"/>
      <c r="G7" s="5"/>
      <c r="H7" s="5"/>
      <c r="I7" s="5"/>
      <c r="J7" s="5"/>
      <c r="K7" s="5">
        <f>B7*C7</f>
        <v>42</v>
      </c>
      <c r="L7" s="5"/>
      <c r="M7" s="7">
        <v>235</v>
      </c>
      <c r="N7" s="7">
        <f t="shared" si="0"/>
        <v>9870</v>
      </c>
      <c r="O7" s="4"/>
      <c r="P7" s="4"/>
      <c r="Q7" s="7"/>
      <c r="R7" s="45">
        <f t="shared" si="1"/>
        <v>-55930</v>
      </c>
    </row>
    <row r="8" spans="1:18" x14ac:dyDescent="0.25">
      <c r="A8" s="4"/>
      <c r="B8" s="5">
        <v>6</v>
      </c>
      <c r="C8" s="5">
        <v>7</v>
      </c>
      <c r="D8" s="5"/>
      <c r="E8" s="5"/>
      <c r="F8" s="5"/>
      <c r="G8" s="5"/>
      <c r="H8" s="5">
        <f>B8*C8</f>
        <v>42</v>
      </c>
      <c r="I8" s="5"/>
      <c r="J8" s="5"/>
      <c r="K8" s="5"/>
      <c r="L8" s="5"/>
      <c r="M8" s="7">
        <v>235</v>
      </c>
      <c r="N8" s="7">
        <f t="shared" si="0"/>
        <v>9870</v>
      </c>
      <c r="O8" s="4"/>
      <c r="P8" s="4"/>
      <c r="Q8" s="7"/>
      <c r="R8" s="45">
        <f t="shared" si="1"/>
        <v>-46060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>
        <f>B9*C9</f>
        <v>70</v>
      </c>
      <c r="H9" s="5"/>
      <c r="I9" s="5"/>
      <c r="J9" s="5"/>
      <c r="K9" s="5"/>
      <c r="L9" s="5"/>
      <c r="M9" s="7">
        <v>235</v>
      </c>
      <c r="N9" s="7">
        <f t="shared" si="0"/>
        <v>16450</v>
      </c>
      <c r="O9" s="9"/>
      <c r="P9" s="4"/>
      <c r="Q9" s="7"/>
      <c r="R9" s="45">
        <f t="shared" si="1"/>
        <v>-29610</v>
      </c>
    </row>
    <row r="10" spans="1:18" ht="16.5" thickBot="1" x14ac:dyDescent="0.3">
      <c r="A10" s="25"/>
      <c r="B10" s="26">
        <v>9</v>
      </c>
      <c r="C10" s="5">
        <v>7</v>
      </c>
      <c r="D10" s="26"/>
      <c r="E10" s="26"/>
      <c r="F10" s="26"/>
      <c r="G10" s="26"/>
      <c r="H10" s="26"/>
      <c r="I10" s="26"/>
      <c r="J10" s="26"/>
      <c r="K10" s="26"/>
      <c r="L10" s="26">
        <f>B10*C10</f>
        <v>63</v>
      </c>
      <c r="M10" s="7">
        <v>235</v>
      </c>
      <c r="N10" s="27">
        <f t="shared" si="0"/>
        <v>14805</v>
      </c>
      <c r="O10" s="28"/>
      <c r="P10" s="28"/>
      <c r="Q10" s="27"/>
      <c r="R10" s="46">
        <f t="shared" si="1"/>
        <v>-14805</v>
      </c>
    </row>
    <row r="11" spans="1:18" x14ac:dyDescent="0.25">
      <c r="A11" s="43"/>
      <c r="B11" s="23">
        <v>6</v>
      </c>
      <c r="C11" s="5">
        <v>7</v>
      </c>
      <c r="D11" s="23"/>
      <c r="E11" s="23"/>
      <c r="F11" s="23"/>
      <c r="G11" s="23"/>
      <c r="H11" s="23"/>
      <c r="I11" s="23">
        <f>B11*C11</f>
        <v>42</v>
      </c>
      <c r="J11" s="23"/>
      <c r="K11" s="23"/>
      <c r="L11" s="23"/>
      <c r="M11" s="7">
        <v>235</v>
      </c>
      <c r="N11" s="24">
        <f t="shared" si="0"/>
        <v>9870</v>
      </c>
      <c r="O11" s="29"/>
      <c r="P11" s="22"/>
      <c r="Q11" s="24"/>
      <c r="R11" s="47">
        <f t="shared" si="1"/>
        <v>-4935</v>
      </c>
    </row>
    <row r="12" spans="1:18" x14ac:dyDescent="0.25">
      <c r="A12" s="4"/>
      <c r="B12" s="5">
        <v>3</v>
      </c>
      <c r="C12" s="5">
        <v>7</v>
      </c>
      <c r="D12" s="5"/>
      <c r="E12" s="5"/>
      <c r="F12" s="5">
        <f>B12*C12</f>
        <v>21</v>
      </c>
      <c r="G12" s="5"/>
      <c r="H12" s="5"/>
      <c r="I12" s="5"/>
      <c r="J12" s="5"/>
      <c r="K12" s="5"/>
      <c r="L12" s="5"/>
      <c r="M12" s="7">
        <v>235</v>
      </c>
      <c r="N12" s="7">
        <f t="shared" si="0"/>
        <v>4935</v>
      </c>
      <c r="O12" s="9"/>
      <c r="P12" s="4"/>
      <c r="Q12" s="7"/>
      <c r="R12" s="45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45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/>
      <c r="P14" s="4"/>
      <c r="Q14" s="7"/>
      <c r="R14" s="45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45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45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45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45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45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45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45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45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45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45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45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45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45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45">
        <f t="shared" si="1"/>
        <v>0</v>
      </c>
    </row>
    <row r="29" spans="1:18" x14ac:dyDescent="0.25">
      <c r="A29" s="4"/>
      <c r="B29" s="5"/>
      <c r="C29" s="5"/>
      <c r="D29" s="5">
        <f>SUM(D3:D28)</f>
        <v>77</v>
      </c>
      <c r="E29" s="5">
        <f>SUM(E3:E28)</f>
        <v>91</v>
      </c>
      <c r="F29" s="5">
        <f t="shared" ref="F29:L29" si="2">SUM(F3:F28)</f>
        <v>21</v>
      </c>
      <c r="G29" s="5">
        <f t="shared" si="2"/>
        <v>70</v>
      </c>
      <c r="H29" s="5">
        <f t="shared" si="2"/>
        <v>42</v>
      </c>
      <c r="I29" s="5">
        <f t="shared" si="2"/>
        <v>42</v>
      </c>
      <c r="J29" s="5">
        <f t="shared" si="2"/>
        <v>42</v>
      </c>
      <c r="K29" s="5">
        <f t="shared" si="2"/>
        <v>42</v>
      </c>
      <c r="L29" s="5">
        <f t="shared" si="2"/>
        <v>63</v>
      </c>
      <c r="M29" s="7"/>
      <c r="N29" s="7">
        <f>SUM(N3:N28)</f>
        <v>115150</v>
      </c>
      <c r="O29" s="4"/>
      <c r="P29" s="4"/>
      <c r="Q29" s="7"/>
      <c r="R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1" topLeftCell="A2" activePane="bottomLeft" state="frozen"/>
      <selection activeCell="C1" sqref="C1"/>
      <selection pane="bottomLeft" activeCell="G18" sqref="G18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45624</v>
      </c>
      <c r="P3" s="4" t="s">
        <v>11</v>
      </c>
      <c r="Q3" s="7">
        <v>142800</v>
      </c>
      <c r="R3" s="7">
        <f>R2+N3-Q3</f>
        <v>-142800</v>
      </c>
    </row>
    <row r="4" spans="1:18" x14ac:dyDescent="0.25">
      <c r="A4" s="9">
        <v>45628</v>
      </c>
      <c r="B4" s="5">
        <v>20</v>
      </c>
      <c r="C4" s="5">
        <v>7</v>
      </c>
      <c r="D4" s="5">
        <f>B4*C4</f>
        <v>140</v>
      </c>
      <c r="E4" s="5"/>
      <c r="F4" s="5"/>
      <c r="G4" s="5"/>
      <c r="H4" s="5"/>
      <c r="I4" s="5"/>
      <c r="J4" s="5"/>
      <c r="K4" s="5"/>
      <c r="L4" s="5"/>
      <c r="M4" s="7">
        <v>255</v>
      </c>
      <c r="N4" s="7">
        <f t="shared" ref="N4:N24" si="0">D4*M4+E4*M4+F4*M4+G4*M4+H4*M4+I4*M4+J4*M4+K4*M4+L4*M4</f>
        <v>35700</v>
      </c>
      <c r="O4" s="9"/>
      <c r="P4" s="4"/>
      <c r="Q4" s="7"/>
      <c r="R4" s="7">
        <f t="shared" ref="R4:R28" si="1">R3+N4-Q4</f>
        <v>-107100</v>
      </c>
    </row>
    <row r="5" spans="1:18" x14ac:dyDescent="0.25">
      <c r="A5" s="4"/>
      <c r="B5" s="5">
        <v>20</v>
      </c>
      <c r="C5" s="5">
        <v>7</v>
      </c>
      <c r="D5" s="5"/>
      <c r="E5" s="5"/>
      <c r="F5" s="5"/>
      <c r="G5" s="5">
        <f>B5*C5</f>
        <v>140</v>
      </c>
      <c r="H5" s="5"/>
      <c r="I5" s="5"/>
      <c r="J5" s="5"/>
      <c r="K5" s="5"/>
      <c r="L5" s="5"/>
      <c r="M5" s="7">
        <v>255</v>
      </c>
      <c r="N5" s="7">
        <f t="shared" si="0"/>
        <v>35700</v>
      </c>
      <c r="O5" s="4"/>
      <c r="P5" s="4"/>
      <c r="Q5" s="7"/>
      <c r="R5" s="7">
        <f t="shared" si="1"/>
        <v>-71400</v>
      </c>
    </row>
    <row r="6" spans="1:18" x14ac:dyDescent="0.25">
      <c r="A6" s="4"/>
      <c r="B6" s="5">
        <v>10</v>
      </c>
      <c r="C6" s="5">
        <v>7</v>
      </c>
      <c r="D6" s="5"/>
      <c r="E6" s="5"/>
      <c r="F6" s="5"/>
      <c r="G6" s="5"/>
      <c r="H6" s="5"/>
      <c r="I6" s="5"/>
      <c r="J6" s="5">
        <f>B6*C6</f>
        <v>70</v>
      </c>
      <c r="K6" s="5"/>
      <c r="L6" s="5"/>
      <c r="M6" s="7">
        <v>255</v>
      </c>
      <c r="N6" s="7">
        <f t="shared" si="0"/>
        <v>17850</v>
      </c>
      <c r="O6" s="4"/>
      <c r="P6" s="4"/>
      <c r="Q6" s="7"/>
      <c r="R6" s="7">
        <f t="shared" si="1"/>
        <v>-53550</v>
      </c>
    </row>
    <row r="7" spans="1:18" x14ac:dyDescent="0.25">
      <c r="A7" s="9"/>
      <c r="B7" s="5">
        <v>10</v>
      </c>
      <c r="C7" s="5">
        <v>7</v>
      </c>
      <c r="D7" s="5"/>
      <c r="E7" s="5"/>
      <c r="F7" s="5">
        <f>B7*C7</f>
        <v>70</v>
      </c>
      <c r="G7" s="5"/>
      <c r="H7" s="5"/>
      <c r="I7" s="5"/>
      <c r="J7" s="5"/>
      <c r="K7" s="5"/>
      <c r="L7" s="5"/>
      <c r="M7" s="7">
        <v>255</v>
      </c>
      <c r="N7" s="7">
        <f t="shared" si="0"/>
        <v>17850</v>
      </c>
      <c r="O7" s="4"/>
      <c r="P7" s="4"/>
      <c r="Q7" s="7"/>
      <c r="R7" s="7">
        <f t="shared" si="1"/>
        <v>-35700</v>
      </c>
    </row>
    <row r="8" spans="1:18" x14ac:dyDescent="0.25">
      <c r="A8" s="4"/>
      <c r="B8" s="5">
        <v>10</v>
      </c>
      <c r="C8" s="5">
        <v>7</v>
      </c>
      <c r="D8" s="5"/>
      <c r="E8" s="5">
        <f>B8*C8</f>
        <v>70</v>
      </c>
      <c r="F8" s="5"/>
      <c r="G8" s="5"/>
      <c r="H8" s="5"/>
      <c r="I8" s="5"/>
      <c r="J8" s="5"/>
      <c r="K8" s="5"/>
      <c r="L8" s="5"/>
      <c r="M8" s="7">
        <v>255</v>
      </c>
      <c r="N8" s="7">
        <f t="shared" si="0"/>
        <v>17850</v>
      </c>
      <c r="O8" s="4"/>
      <c r="P8" s="4"/>
      <c r="Q8" s="7"/>
      <c r="R8" s="7">
        <f t="shared" si="1"/>
        <v>-17850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/>
      <c r="H9" s="5"/>
      <c r="I9" s="5">
        <f>B9*C9</f>
        <v>70</v>
      </c>
      <c r="J9" s="5"/>
      <c r="K9" s="5"/>
      <c r="L9" s="5"/>
      <c r="M9" s="7">
        <v>255</v>
      </c>
      <c r="N9" s="7">
        <f t="shared" si="0"/>
        <v>17850</v>
      </c>
      <c r="O9" s="9"/>
      <c r="P9" s="4"/>
      <c r="Q9" s="7"/>
      <c r="R9" s="7">
        <f t="shared" si="1"/>
        <v>0</v>
      </c>
    </row>
    <row r="10" spans="1:18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7">
        <f t="shared" si="0"/>
        <v>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140</v>
      </c>
      <c r="E29" s="5">
        <f t="shared" ref="E29:L29" si="2">SUM(E3:E28)</f>
        <v>70</v>
      </c>
      <c r="F29" s="5">
        <f t="shared" si="2"/>
        <v>70</v>
      </c>
      <c r="G29" s="5">
        <f t="shared" si="2"/>
        <v>140</v>
      </c>
      <c r="H29" s="5">
        <f t="shared" si="2"/>
        <v>0</v>
      </c>
      <c r="I29" s="5">
        <f t="shared" si="2"/>
        <v>70</v>
      </c>
      <c r="J29" s="5">
        <f t="shared" si="2"/>
        <v>70</v>
      </c>
      <c r="K29" s="5">
        <f t="shared" si="2"/>
        <v>0</v>
      </c>
      <c r="L29" s="5">
        <f t="shared" si="2"/>
        <v>0</v>
      </c>
      <c r="M29" s="7"/>
      <c r="N29" s="7">
        <f>SUM(N3:N28)</f>
        <v>142800</v>
      </c>
      <c r="O29" s="4"/>
      <c r="P29" s="4"/>
      <c r="Q29" s="7"/>
      <c r="R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1" topLeftCell="A2" activePane="bottomLeft" state="frozen"/>
      <selection pane="bottomLeft" activeCell="R11" sqref="R11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48</v>
      </c>
      <c r="F1" s="3" t="s">
        <v>41</v>
      </c>
      <c r="G1" s="3" t="s">
        <v>42</v>
      </c>
      <c r="H1" s="3" t="s">
        <v>67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>
        <v>45625</v>
      </c>
      <c r="B3" s="5">
        <v>100</v>
      </c>
      <c r="C3" s="5">
        <v>1</v>
      </c>
      <c r="D3" s="5"/>
      <c r="E3" s="5"/>
      <c r="F3" s="5"/>
      <c r="G3" s="5"/>
      <c r="H3" s="5"/>
      <c r="I3" s="5"/>
      <c r="J3" s="5">
        <f>B3*C3</f>
        <v>100</v>
      </c>
      <c r="K3" s="5"/>
      <c r="L3" s="5"/>
      <c r="M3" s="7">
        <v>385</v>
      </c>
      <c r="N3" s="7">
        <f>D3*M3+E3*M3+F3*M3+G3*M3+H3*M3+I3*M3+J3*M3+K3*M3+L3*M3</f>
        <v>38500</v>
      </c>
      <c r="O3" s="4"/>
      <c r="P3" s="4"/>
      <c r="Q3" s="7"/>
      <c r="R3" s="7">
        <f>R2+N3-Q3</f>
        <v>38500</v>
      </c>
    </row>
    <row r="4" spans="1:18" x14ac:dyDescent="0.25">
      <c r="A4" s="9"/>
      <c r="B4" s="5">
        <v>70</v>
      </c>
      <c r="C4" s="5">
        <v>1</v>
      </c>
      <c r="D4" s="5"/>
      <c r="E4" s="5"/>
      <c r="F4" s="5"/>
      <c r="G4" s="5"/>
      <c r="H4" s="5"/>
      <c r="I4" s="5"/>
      <c r="J4" s="5"/>
      <c r="K4" s="5"/>
      <c r="L4" s="5">
        <f>B4*C4</f>
        <v>70</v>
      </c>
      <c r="M4" s="7">
        <v>385</v>
      </c>
      <c r="N4" s="7">
        <f t="shared" ref="N4:N24" si="0">D4*M4+E4*M4+F4*M4+G4*M4+H4*M4+I4*M4+J4*M4+K4*M4+L4*M4</f>
        <v>26950</v>
      </c>
      <c r="O4" s="9"/>
      <c r="P4" s="4"/>
      <c r="Q4" s="7"/>
      <c r="R4" s="7">
        <f t="shared" ref="R4:R28" si="1">R3+N4-Q4</f>
        <v>65450</v>
      </c>
    </row>
    <row r="5" spans="1:18" x14ac:dyDescent="0.25">
      <c r="A5" s="4"/>
      <c r="B5" s="5">
        <v>50</v>
      </c>
      <c r="C5" s="5">
        <v>1</v>
      </c>
      <c r="D5" s="5"/>
      <c r="E5" s="5"/>
      <c r="F5" s="5"/>
      <c r="G5" s="5"/>
      <c r="H5" s="5"/>
      <c r="I5" s="5">
        <f>B5*C5</f>
        <v>50</v>
      </c>
      <c r="J5" s="5"/>
      <c r="K5" s="5"/>
      <c r="L5" s="5"/>
      <c r="M5" s="7">
        <v>385</v>
      </c>
      <c r="N5" s="7">
        <f t="shared" si="0"/>
        <v>19250</v>
      </c>
      <c r="O5" s="4"/>
      <c r="P5" s="4"/>
      <c r="Q5" s="7"/>
      <c r="R5" s="7">
        <f t="shared" si="1"/>
        <v>84700</v>
      </c>
    </row>
    <row r="6" spans="1:18" x14ac:dyDescent="0.25">
      <c r="A6" s="4"/>
      <c r="B6" s="5">
        <v>50</v>
      </c>
      <c r="C6" s="5">
        <v>1</v>
      </c>
      <c r="D6" s="5"/>
      <c r="E6" s="5"/>
      <c r="F6" s="5">
        <f>B6*C6</f>
        <v>50</v>
      </c>
      <c r="G6" s="5"/>
      <c r="H6" s="5"/>
      <c r="I6" s="5"/>
      <c r="J6" s="5"/>
      <c r="K6" s="5"/>
      <c r="L6" s="5"/>
      <c r="M6" s="7">
        <v>385</v>
      </c>
      <c r="N6" s="7">
        <f t="shared" si="0"/>
        <v>19250</v>
      </c>
      <c r="O6" s="4"/>
      <c r="P6" s="4"/>
      <c r="Q6" s="7"/>
      <c r="R6" s="7">
        <f t="shared" si="1"/>
        <v>103950</v>
      </c>
    </row>
    <row r="7" spans="1:18" x14ac:dyDescent="0.25">
      <c r="A7" s="9"/>
      <c r="B7" s="5">
        <v>200</v>
      </c>
      <c r="C7" s="5">
        <v>1</v>
      </c>
      <c r="D7" s="5"/>
      <c r="E7" s="5"/>
      <c r="F7" s="5"/>
      <c r="G7" s="5"/>
      <c r="H7" s="5">
        <f>B7*C7</f>
        <v>200</v>
      </c>
      <c r="I7" s="5"/>
      <c r="J7" s="5"/>
      <c r="K7" s="5"/>
      <c r="L7" s="5"/>
      <c r="M7" s="7">
        <v>380</v>
      </c>
      <c r="N7" s="7">
        <f t="shared" si="0"/>
        <v>76000</v>
      </c>
      <c r="O7" s="4"/>
      <c r="P7" s="4"/>
      <c r="Q7" s="7"/>
      <c r="R7" s="7">
        <f t="shared" si="1"/>
        <v>179950</v>
      </c>
    </row>
    <row r="8" spans="1:18" x14ac:dyDescent="0.25">
      <c r="A8" s="4"/>
      <c r="B8" s="5">
        <v>50</v>
      </c>
      <c r="C8" s="5">
        <v>1</v>
      </c>
      <c r="D8" s="5"/>
      <c r="E8" s="5"/>
      <c r="F8" s="5"/>
      <c r="G8" s="5">
        <f>B8*C8</f>
        <v>50</v>
      </c>
      <c r="H8" s="5"/>
      <c r="I8" s="5"/>
      <c r="J8" s="5"/>
      <c r="K8" s="5"/>
      <c r="L8" s="5"/>
      <c r="M8" s="7">
        <v>385</v>
      </c>
      <c r="N8" s="7">
        <f t="shared" si="0"/>
        <v>19250</v>
      </c>
      <c r="O8" s="4"/>
      <c r="P8" s="4"/>
      <c r="Q8" s="7"/>
      <c r="R8" s="7">
        <f t="shared" si="1"/>
        <v>199200</v>
      </c>
    </row>
    <row r="9" spans="1:18" x14ac:dyDescent="0.25">
      <c r="A9" s="4"/>
      <c r="B9" s="5">
        <v>50</v>
      </c>
      <c r="C9" s="5">
        <v>1</v>
      </c>
      <c r="D9" s="5"/>
      <c r="E9" s="5">
        <f>B9*C9</f>
        <v>50</v>
      </c>
      <c r="F9" s="5"/>
      <c r="G9" s="5"/>
      <c r="H9" s="5"/>
      <c r="I9" s="5"/>
      <c r="J9" s="5"/>
      <c r="K9" s="5"/>
      <c r="L9" s="5"/>
      <c r="M9" s="7">
        <v>385</v>
      </c>
      <c r="N9" s="7">
        <f t="shared" si="0"/>
        <v>19250</v>
      </c>
      <c r="O9" s="9"/>
      <c r="P9" s="4"/>
      <c r="Q9" s="7"/>
      <c r="R9" s="7">
        <f t="shared" si="1"/>
        <v>218450</v>
      </c>
    </row>
    <row r="10" spans="1:18" ht="16.5" thickBot="1" x14ac:dyDescent="0.3">
      <c r="A10" s="25"/>
      <c r="B10" s="26">
        <v>70</v>
      </c>
      <c r="C10" s="26">
        <v>1</v>
      </c>
      <c r="D10" s="26"/>
      <c r="E10" s="26"/>
      <c r="F10" s="26"/>
      <c r="G10" s="26"/>
      <c r="H10" s="26"/>
      <c r="I10" s="26"/>
      <c r="J10" s="26"/>
      <c r="K10" s="26">
        <f>B10*C10</f>
        <v>70</v>
      </c>
      <c r="L10" s="26"/>
      <c r="M10" s="27">
        <v>385</v>
      </c>
      <c r="N10" s="27">
        <f t="shared" si="0"/>
        <v>26950</v>
      </c>
      <c r="O10" s="28"/>
      <c r="P10" s="28"/>
      <c r="Q10" s="27"/>
      <c r="R10" s="27">
        <f t="shared" si="1"/>
        <v>245400</v>
      </c>
    </row>
    <row r="11" spans="1:18" x14ac:dyDescent="0.25">
      <c r="A11" s="30">
        <v>45667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>
        <f t="shared" si="0"/>
        <v>0</v>
      </c>
      <c r="O11" s="29">
        <v>45667</v>
      </c>
      <c r="P11" s="22" t="s">
        <v>11</v>
      </c>
      <c r="Q11" s="24">
        <v>45400</v>
      </c>
      <c r="R11" s="24">
        <f t="shared" si="1"/>
        <v>200000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9">
        <v>45677</v>
      </c>
      <c r="P12" s="4" t="s">
        <v>11</v>
      </c>
      <c r="Q12" s="7">
        <v>37000</v>
      </c>
      <c r="R12" s="7">
        <f t="shared" si="1"/>
        <v>163000</v>
      </c>
    </row>
    <row r="13" spans="1:18" s="34" customFormat="1" x14ac:dyDescent="0.25">
      <c r="A13" s="31" t="s">
        <v>54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>
        <f t="shared" si="0"/>
        <v>0</v>
      </c>
      <c r="O13" s="31"/>
      <c r="P13" s="31"/>
      <c r="Q13" s="33"/>
      <c r="R13" s="33">
        <f t="shared" si="1"/>
        <v>163000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>
        <v>45691</v>
      </c>
      <c r="P14" s="4" t="s">
        <v>11</v>
      </c>
      <c r="Q14" s="7">
        <v>63000</v>
      </c>
      <c r="R14" s="7">
        <f t="shared" si="1"/>
        <v>100000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9">
        <v>45712</v>
      </c>
      <c r="P15" s="4" t="s">
        <v>11</v>
      </c>
      <c r="Q15" s="7">
        <v>50000</v>
      </c>
      <c r="R15" s="7">
        <f t="shared" si="1"/>
        <v>50000</v>
      </c>
    </row>
    <row r="16" spans="1:18" x14ac:dyDescent="0.25">
      <c r="A16" s="31" t="s">
        <v>68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>
        <f t="shared" si="0"/>
        <v>0</v>
      </c>
      <c r="O16" s="55">
        <v>45719</v>
      </c>
      <c r="P16" s="4" t="s">
        <v>11</v>
      </c>
      <c r="Q16" s="7">
        <v>50000</v>
      </c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0</v>
      </c>
      <c r="E29" s="5">
        <f>SUM(E3:E28)</f>
        <v>50</v>
      </c>
      <c r="F29" s="5">
        <f t="shared" ref="F29:L29" si="2">SUM(F3:F28)</f>
        <v>50</v>
      </c>
      <c r="G29" s="5">
        <f t="shared" si="2"/>
        <v>50</v>
      </c>
      <c r="H29" s="5">
        <f t="shared" si="2"/>
        <v>200</v>
      </c>
      <c r="I29" s="5">
        <f t="shared" si="2"/>
        <v>50</v>
      </c>
      <c r="J29" s="5">
        <f t="shared" si="2"/>
        <v>100</v>
      </c>
      <c r="K29" s="5">
        <f t="shared" si="2"/>
        <v>70</v>
      </c>
      <c r="L29" s="5">
        <f t="shared" si="2"/>
        <v>70</v>
      </c>
      <c r="M29" s="7"/>
      <c r="N29" s="7">
        <f>SUM(N3:N28)</f>
        <v>245400</v>
      </c>
      <c r="O29" s="4"/>
      <c r="P29" s="4"/>
      <c r="Q29" s="7"/>
      <c r="R29" s="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1" width="13.28515625" style="1" customWidth="1"/>
    <col min="12" max="12" width="10.28515625" style="8" customWidth="1"/>
    <col min="13" max="13" width="13.140625" style="8" customWidth="1"/>
    <col min="14" max="15" width="8.85546875" style="1"/>
    <col min="16" max="16" width="12.7109375" style="8" bestFit="1" customWidth="1"/>
    <col min="17" max="17" width="14.28515625" style="8" customWidth="1"/>
    <col min="18" max="16384" width="8.85546875" style="1"/>
  </cols>
  <sheetData>
    <row r="1" spans="1:17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48</v>
      </c>
      <c r="J1" s="3" t="s">
        <v>45</v>
      </c>
      <c r="K1" s="3" t="s">
        <v>69</v>
      </c>
      <c r="L1" s="6" t="s">
        <v>52</v>
      </c>
      <c r="M1" s="6" t="s">
        <v>7</v>
      </c>
      <c r="N1" s="3" t="s">
        <v>8</v>
      </c>
      <c r="O1" s="3" t="s">
        <v>9</v>
      </c>
      <c r="P1" s="6" t="s">
        <v>7</v>
      </c>
      <c r="Q1" s="6" t="s">
        <v>10</v>
      </c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7"/>
      <c r="N2" s="4"/>
      <c r="O2" s="4"/>
      <c r="P2" s="7"/>
      <c r="Q2" s="7">
        <v>0</v>
      </c>
    </row>
    <row r="3" spans="1:17" x14ac:dyDescent="0.25">
      <c r="A3" s="9">
        <v>45607</v>
      </c>
      <c r="B3" s="5">
        <v>34</v>
      </c>
      <c r="C3" s="5">
        <v>9</v>
      </c>
      <c r="D3" s="5"/>
      <c r="E3" s="5">
        <f>B3*C3</f>
        <v>306</v>
      </c>
      <c r="F3" s="5"/>
      <c r="G3" s="5"/>
      <c r="H3" s="5"/>
      <c r="I3" s="5"/>
      <c r="J3" s="5"/>
      <c r="K3" s="5"/>
      <c r="L3" s="7">
        <v>203</v>
      </c>
      <c r="M3" s="7">
        <f>D3*L3+E3*L3+F3*L3+G3*L3+H3*L3+I3*L3+J3*L3+K3*L3</f>
        <v>62118</v>
      </c>
      <c r="N3" s="4"/>
      <c r="O3" s="4"/>
      <c r="P3" s="7"/>
      <c r="Q3" s="7">
        <f>Q2+M3-P3</f>
        <v>62118</v>
      </c>
    </row>
    <row r="4" spans="1:17" x14ac:dyDescent="0.25">
      <c r="A4" s="9"/>
      <c r="B4" s="5">
        <v>7</v>
      </c>
      <c r="C4" s="5">
        <v>9</v>
      </c>
      <c r="D4" s="5"/>
      <c r="E4" s="5"/>
      <c r="F4" s="5"/>
      <c r="G4" s="5"/>
      <c r="H4" s="5">
        <f>B4*C4</f>
        <v>63</v>
      </c>
      <c r="I4" s="5"/>
      <c r="J4" s="5"/>
      <c r="K4" s="5"/>
      <c r="L4" s="7">
        <v>203</v>
      </c>
      <c r="M4" s="7">
        <f t="shared" ref="M4:M23" si="0">D4*L4+E4*L4+F4*L4+G4*L4+H4*L4+I4*L4+J4*L4+K4*L4</f>
        <v>12789</v>
      </c>
      <c r="N4" s="9"/>
      <c r="O4" s="4"/>
      <c r="P4" s="7"/>
      <c r="Q4" s="7">
        <f t="shared" ref="Q4:Q23" si="1">Q3+M4-P4</f>
        <v>74907</v>
      </c>
    </row>
    <row r="5" spans="1:17" x14ac:dyDescent="0.25">
      <c r="A5" s="4"/>
      <c r="B5" s="5">
        <v>10</v>
      </c>
      <c r="C5" s="5">
        <v>9</v>
      </c>
      <c r="D5" s="5"/>
      <c r="E5" s="5"/>
      <c r="F5" s="5"/>
      <c r="G5" s="5"/>
      <c r="H5" s="5"/>
      <c r="I5" s="5"/>
      <c r="J5" s="5">
        <f>B5*C5</f>
        <v>90</v>
      </c>
      <c r="K5" s="5"/>
      <c r="L5" s="7">
        <v>203</v>
      </c>
      <c r="M5" s="7">
        <f t="shared" si="0"/>
        <v>18270</v>
      </c>
      <c r="N5" s="4"/>
      <c r="O5" s="4"/>
      <c r="P5" s="7"/>
      <c r="Q5" s="7">
        <f t="shared" si="1"/>
        <v>93177</v>
      </c>
    </row>
    <row r="6" spans="1:17" x14ac:dyDescent="0.25">
      <c r="A6" s="4"/>
      <c r="B6" s="5">
        <v>20</v>
      </c>
      <c r="C6" s="5">
        <v>9</v>
      </c>
      <c r="D6" s="5"/>
      <c r="E6" s="5"/>
      <c r="F6" s="5">
        <f>B6*C6</f>
        <v>180</v>
      </c>
      <c r="G6" s="5"/>
      <c r="H6" s="5"/>
      <c r="I6" s="5"/>
      <c r="J6" s="5"/>
      <c r="K6" s="5"/>
      <c r="L6" s="7">
        <v>203</v>
      </c>
      <c r="M6" s="7">
        <f t="shared" si="0"/>
        <v>36540</v>
      </c>
      <c r="N6" s="4"/>
      <c r="O6" s="4"/>
      <c r="P6" s="7"/>
      <c r="Q6" s="7">
        <f t="shared" si="1"/>
        <v>129717</v>
      </c>
    </row>
    <row r="7" spans="1:17" x14ac:dyDescent="0.25">
      <c r="A7" s="9"/>
      <c r="B7" s="5">
        <v>10</v>
      </c>
      <c r="C7" s="5">
        <v>9</v>
      </c>
      <c r="D7" s="5"/>
      <c r="E7" s="5"/>
      <c r="F7" s="5"/>
      <c r="G7" s="5">
        <f>B7*C7</f>
        <v>90</v>
      </c>
      <c r="H7" s="5"/>
      <c r="I7" s="5"/>
      <c r="J7" s="5"/>
      <c r="K7" s="5"/>
      <c r="L7" s="7">
        <v>203</v>
      </c>
      <c r="M7" s="7">
        <f t="shared" si="0"/>
        <v>18270</v>
      </c>
      <c r="N7" s="4"/>
      <c r="O7" s="4"/>
      <c r="P7" s="7"/>
      <c r="Q7" s="7">
        <f t="shared" si="1"/>
        <v>147987</v>
      </c>
    </row>
    <row r="8" spans="1:17" x14ac:dyDescent="0.25">
      <c r="A8" s="4"/>
      <c r="B8" s="5">
        <v>20</v>
      </c>
      <c r="C8" s="5">
        <v>9</v>
      </c>
      <c r="D8" s="5"/>
      <c r="E8" s="5"/>
      <c r="F8" s="5"/>
      <c r="G8" s="5"/>
      <c r="H8" s="5"/>
      <c r="I8" s="5"/>
      <c r="J8" s="5"/>
      <c r="K8" s="5">
        <f>B8*C8</f>
        <v>180</v>
      </c>
      <c r="L8" s="7">
        <v>203</v>
      </c>
      <c r="M8" s="7">
        <f t="shared" si="0"/>
        <v>36540</v>
      </c>
      <c r="N8" s="4"/>
      <c r="O8" s="4"/>
      <c r="P8" s="7"/>
      <c r="Q8" s="7">
        <f t="shared" si="1"/>
        <v>184527</v>
      </c>
    </row>
    <row r="9" spans="1:17" x14ac:dyDescent="0.25">
      <c r="A9" s="4"/>
      <c r="B9" s="5">
        <v>10</v>
      </c>
      <c r="C9" s="5">
        <v>9</v>
      </c>
      <c r="D9" s="5"/>
      <c r="E9" s="5"/>
      <c r="F9" s="5"/>
      <c r="G9" s="5"/>
      <c r="H9" s="5"/>
      <c r="I9" s="5">
        <f>B9*C9</f>
        <v>90</v>
      </c>
      <c r="J9" s="5"/>
      <c r="K9" s="5"/>
      <c r="L9" s="7">
        <v>203</v>
      </c>
      <c r="M9" s="7">
        <f t="shared" si="0"/>
        <v>18270</v>
      </c>
      <c r="N9" s="9"/>
      <c r="O9" s="4"/>
      <c r="P9" s="7"/>
      <c r="Q9" s="7">
        <f t="shared" si="1"/>
        <v>202797</v>
      </c>
    </row>
    <row r="10" spans="1:17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7">
        <f t="shared" si="0"/>
        <v>0</v>
      </c>
      <c r="N10" s="9">
        <v>45629</v>
      </c>
      <c r="O10" s="4" t="s">
        <v>11</v>
      </c>
      <c r="P10" s="7">
        <v>202797</v>
      </c>
      <c r="Q10" s="7">
        <f t="shared" si="1"/>
        <v>0</v>
      </c>
    </row>
    <row r="11" spans="1:17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>
        <f t="shared" si="0"/>
        <v>0</v>
      </c>
      <c r="N11" s="4"/>
      <c r="O11" s="4"/>
      <c r="P11" s="7"/>
      <c r="Q11" s="7">
        <f t="shared" si="1"/>
        <v>0</v>
      </c>
    </row>
    <row r="12" spans="1:17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7"/>
      <c r="M12" s="7">
        <f t="shared" si="0"/>
        <v>0</v>
      </c>
      <c r="N12" s="4"/>
      <c r="O12" s="4"/>
      <c r="P12" s="7"/>
      <c r="Q12" s="7">
        <f t="shared" si="1"/>
        <v>0</v>
      </c>
    </row>
    <row r="13" spans="1:17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>
        <f t="shared" si="0"/>
        <v>0</v>
      </c>
      <c r="N13" s="4"/>
      <c r="O13" s="4"/>
      <c r="P13" s="7"/>
      <c r="Q13" s="7">
        <f t="shared" si="1"/>
        <v>0</v>
      </c>
    </row>
    <row r="14" spans="1:17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7"/>
      <c r="M14" s="7">
        <f t="shared" si="0"/>
        <v>0</v>
      </c>
      <c r="N14" s="4"/>
      <c r="O14" s="4"/>
      <c r="P14" s="7"/>
      <c r="Q14" s="7">
        <f t="shared" si="1"/>
        <v>0</v>
      </c>
    </row>
    <row r="15" spans="1:17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>
        <f t="shared" si="0"/>
        <v>0</v>
      </c>
      <c r="N15" s="9"/>
      <c r="O15" s="4"/>
      <c r="P15" s="7"/>
      <c r="Q15" s="7">
        <f t="shared" si="1"/>
        <v>0</v>
      </c>
    </row>
    <row r="16" spans="1:17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7"/>
      <c r="M16" s="7">
        <f t="shared" si="0"/>
        <v>0</v>
      </c>
      <c r="N16" s="4"/>
      <c r="O16" s="4"/>
      <c r="P16" s="7"/>
      <c r="Q16" s="7">
        <f t="shared" si="1"/>
        <v>0</v>
      </c>
    </row>
    <row r="17" spans="1:17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7">
        <f t="shared" si="0"/>
        <v>0</v>
      </c>
      <c r="N17" s="4"/>
      <c r="O17" s="4"/>
      <c r="P17" s="7"/>
      <c r="Q17" s="7">
        <f t="shared" si="1"/>
        <v>0</v>
      </c>
    </row>
    <row r="18" spans="1:17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7">
        <f t="shared" si="0"/>
        <v>0</v>
      </c>
      <c r="N18" s="4"/>
      <c r="O18" s="4"/>
      <c r="P18" s="7"/>
      <c r="Q18" s="7">
        <f t="shared" si="1"/>
        <v>0</v>
      </c>
    </row>
    <row r="19" spans="1:1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>
        <f t="shared" si="0"/>
        <v>0</v>
      </c>
      <c r="N19" s="4"/>
      <c r="O19" s="4"/>
      <c r="P19" s="7"/>
      <c r="Q19" s="7">
        <f t="shared" si="1"/>
        <v>0</v>
      </c>
    </row>
    <row r="20" spans="1:1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7"/>
      <c r="M20" s="7">
        <f t="shared" si="0"/>
        <v>0</v>
      </c>
      <c r="N20" s="4"/>
      <c r="O20" s="4"/>
      <c r="P20" s="7"/>
      <c r="Q20" s="7">
        <f t="shared" si="1"/>
        <v>0</v>
      </c>
    </row>
    <row r="21" spans="1:1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7"/>
      <c r="M21" s="7">
        <f t="shared" si="0"/>
        <v>0</v>
      </c>
      <c r="N21" s="4"/>
      <c r="O21" s="4"/>
      <c r="P21" s="7"/>
      <c r="Q21" s="7">
        <f t="shared" si="1"/>
        <v>0</v>
      </c>
    </row>
    <row r="22" spans="1:1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7"/>
      <c r="M22" s="7">
        <f t="shared" si="0"/>
        <v>0</v>
      </c>
      <c r="N22" s="4"/>
      <c r="O22" s="4"/>
      <c r="P22" s="7"/>
      <c r="Q22" s="7">
        <f t="shared" si="1"/>
        <v>0</v>
      </c>
    </row>
    <row r="23" spans="1:17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7"/>
      <c r="M23" s="7">
        <f t="shared" si="0"/>
        <v>0</v>
      </c>
      <c r="N23" s="4"/>
      <c r="O23" s="4"/>
      <c r="P23" s="7"/>
      <c r="Q23" s="7">
        <f t="shared" si="1"/>
        <v>0</v>
      </c>
    </row>
    <row r="24" spans="1:17" x14ac:dyDescent="0.25">
      <c r="A24" s="4"/>
      <c r="B24" s="5"/>
      <c r="C24" s="5"/>
      <c r="D24" s="5">
        <f>SUM(D3:D23)</f>
        <v>0</v>
      </c>
      <c r="E24" s="5">
        <f>SUM(E3:E23)</f>
        <v>306</v>
      </c>
      <c r="F24" s="5">
        <f t="shared" ref="F24:K24" si="2">SUM(F3:F23)</f>
        <v>180</v>
      </c>
      <c r="G24" s="5">
        <f t="shared" si="2"/>
        <v>90</v>
      </c>
      <c r="H24" s="5">
        <f t="shared" si="2"/>
        <v>63</v>
      </c>
      <c r="I24" s="5">
        <f t="shared" si="2"/>
        <v>90</v>
      </c>
      <c r="J24" s="5">
        <f t="shared" si="2"/>
        <v>90</v>
      </c>
      <c r="K24" s="5">
        <f t="shared" si="2"/>
        <v>180</v>
      </c>
      <c r="L24" s="7"/>
      <c r="M24" s="7">
        <f>SUM(M3:M23)</f>
        <v>202797</v>
      </c>
      <c r="N24" s="4"/>
      <c r="O24" s="4"/>
      <c r="P24" s="7"/>
      <c r="Q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6"/>
  <sheetViews>
    <sheetView workbookViewId="0">
      <pane ySplit="1" topLeftCell="A2" activePane="bottomLeft" state="frozen"/>
      <selection pane="bottomLeft" activeCell="N6" sqref="N6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hidden="1" customWidth="1"/>
    <col min="7" max="7" width="15.5703125" style="1" hidden="1" customWidth="1"/>
    <col min="8" max="8" width="14" style="1" hidden="1" customWidth="1"/>
    <col min="9" max="9" width="13.28515625" style="1" hidden="1" customWidth="1"/>
    <col min="10" max="10" width="10.28515625" style="8" customWidth="1"/>
    <col min="11" max="11" width="12.7109375" style="8" bestFit="1" customWidth="1"/>
    <col min="12" max="12" width="8.85546875" style="1"/>
    <col min="13" max="13" width="16.28515625" style="1" customWidth="1"/>
    <col min="14" max="14" width="12.7109375" style="8" bestFit="1" customWidth="1"/>
    <col min="15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56" t="s">
        <v>0</v>
      </c>
      <c r="B1" s="57" t="s">
        <v>10</v>
      </c>
      <c r="C1" s="57" t="s">
        <v>24</v>
      </c>
      <c r="D1" s="58" t="s">
        <v>70</v>
      </c>
      <c r="E1" s="56" t="s">
        <v>28</v>
      </c>
      <c r="F1" s="56"/>
      <c r="G1" s="56"/>
      <c r="H1" s="56"/>
      <c r="I1" s="56"/>
      <c r="J1" s="59" t="s">
        <v>6</v>
      </c>
      <c r="K1" s="59" t="s">
        <v>7</v>
      </c>
      <c r="L1" s="56" t="s">
        <v>8</v>
      </c>
      <c r="M1" s="56" t="s">
        <v>9</v>
      </c>
      <c r="N1" s="59" t="s">
        <v>7</v>
      </c>
      <c r="O1" s="59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45728</v>
      </c>
      <c r="B3" s="5"/>
      <c r="C3" s="5">
        <v>80</v>
      </c>
      <c r="D3" s="5">
        <v>18</v>
      </c>
      <c r="E3" s="5">
        <f>C3*D3</f>
        <v>1440</v>
      </c>
      <c r="F3" s="5"/>
      <c r="G3" s="5"/>
      <c r="H3" s="5"/>
      <c r="I3" s="5"/>
      <c r="J3" s="7">
        <v>82</v>
      </c>
      <c r="K3" s="7">
        <f t="shared" ref="K3:K56" si="0">E3*J3+F3*J3+G3*J3+H3*J3+I3*J3</f>
        <v>118080</v>
      </c>
      <c r="L3" s="9"/>
      <c r="M3" s="4"/>
      <c r="N3" s="7"/>
      <c r="O3" s="7">
        <f>O2+K3-N3</f>
        <v>118080</v>
      </c>
    </row>
    <row r="4" spans="1:16" x14ac:dyDescent="0.25">
      <c r="A4" s="44"/>
      <c r="B4" s="13"/>
      <c r="C4" s="13"/>
      <c r="D4" s="13"/>
      <c r="E4" s="13"/>
      <c r="F4" s="13"/>
      <c r="G4" s="13"/>
      <c r="H4" s="13"/>
      <c r="I4" s="13"/>
      <c r="J4" s="14"/>
      <c r="K4" s="14">
        <f t="shared" si="0"/>
        <v>0</v>
      </c>
      <c r="L4" s="44"/>
      <c r="M4" s="12"/>
      <c r="N4" s="14"/>
      <c r="O4" s="14">
        <f t="shared" ref="O4:O55" si="1">O3+K4-N4</f>
        <v>118080</v>
      </c>
    </row>
    <row r="5" spans="1:16" x14ac:dyDescent="0.25">
      <c r="A5" s="4"/>
      <c r="B5" s="5"/>
      <c r="C5" s="5"/>
      <c r="D5" s="5"/>
      <c r="E5" s="5"/>
      <c r="F5" s="5"/>
      <c r="G5" s="5"/>
      <c r="H5" s="5"/>
      <c r="I5" s="5"/>
      <c r="J5" s="7"/>
      <c r="K5" s="7">
        <f t="shared" si="0"/>
        <v>0</v>
      </c>
      <c r="L5" s="9">
        <v>45765</v>
      </c>
      <c r="M5" s="4" t="s">
        <v>34</v>
      </c>
      <c r="N5" s="7">
        <v>113160</v>
      </c>
      <c r="O5" s="7">
        <f t="shared" si="1"/>
        <v>4920</v>
      </c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7"/>
      <c r="K6" s="7">
        <f t="shared" si="0"/>
        <v>0</v>
      </c>
      <c r="L6" s="4"/>
      <c r="M6" s="4" t="s">
        <v>71</v>
      </c>
      <c r="N6" s="7">
        <v>4920</v>
      </c>
      <c r="O6" s="7">
        <f t="shared" si="1"/>
        <v>0</v>
      </c>
    </row>
    <row r="7" spans="1:16" x14ac:dyDescent="0.25">
      <c r="A7" s="4"/>
      <c r="B7" s="5"/>
      <c r="C7" s="5"/>
      <c r="D7" s="5"/>
      <c r="E7" s="5"/>
      <c r="F7" s="5"/>
      <c r="G7" s="5"/>
      <c r="H7" s="5"/>
      <c r="I7" s="5"/>
      <c r="J7" s="7"/>
      <c r="K7" s="7">
        <f t="shared" si="0"/>
        <v>0</v>
      </c>
      <c r="L7" s="4"/>
      <c r="M7" s="4"/>
      <c r="N7" s="7"/>
      <c r="O7" s="7">
        <f t="shared" si="1"/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7"/>
      <c r="K8" s="7">
        <f t="shared" si="0"/>
        <v>0</v>
      </c>
      <c r="L8" s="4"/>
      <c r="M8" s="4"/>
      <c r="N8" s="7"/>
      <c r="O8" s="7">
        <f t="shared" si="1"/>
        <v>0</v>
      </c>
    </row>
    <row r="9" spans="1:16" x14ac:dyDescent="0.25">
      <c r="A9" s="4"/>
      <c r="B9" s="5"/>
      <c r="C9" s="5"/>
      <c r="D9" s="5"/>
      <c r="E9" s="5"/>
      <c r="F9" s="5"/>
      <c r="G9" s="5"/>
      <c r="H9" s="5"/>
      <c r="I9" s="5"/>
      <c r="J9" s="7"/>
      <c r="K9" s="7">
        <f t="shared" si="0"/>
        <v>0</v>
      </c>
      <c r="L9" s="4"/>
      <c r="M9" s="4"/>
      <c r="N9" s="7"/>
      <c r="O9" s="7">
        <f t="shared" si="1"/>
        <v>0</v>
      </c>
    </row>
    <row r="10" spans="1:16" x14ac:dyDescent="0.25">
      <c r="A10" s="4"/>
      <c r="B10" s="5"/>
      <c r="C10" s="5"/>
      <c r="D10" s="5"/>
      <c r="E10" s="5"/>
      <c r="F10" s="5"/>
      <c r="G10" s="5"/>
      <c r="H10" s="5"/>
      <c r="I10" s="5"/>
      <c r="J10" s="7"/>
      <c r="K10" s="7">
        <f t="shared" si="0"/>
        <v>0</v>
      </c>
      <c r="L10" s="4"/>
      <c r="M10" s="4"/>
      <c r="N10" s="7"/>
      <c r="O10" s="7">
        <f t="shared" si="1"/>
        <v>0</v>
      </c>
    </row>
    <row r="11" spans="1:16" x14ac:dyDescent="0.25">
      <c r="A11" s="4"/>
      <c r="B11" s="5"/>
      <c r="C11" s="5"/>
      <c r="D11" s="5"/>
      <c r="E11" s="5"/>
      <c r="F11" s="5"/>
      <c r="G11" s="5"/>
      <c r="H11" s="5"/>
      <c r="I11" s="5"/>
      <c r="J11" s="7"/>
      <c r="K11" s="7">
        <f t="shared" si="0"/>
        <v>0</v>
      </c>
      <c r="L11" s="4"/>
      <c r="M11" s="4"/>
      <c r="N11" s="7"/>
      <c r="O11" s="7">
        <f t="shared" si="1"/>
        <v>0</v>
      </c>
    </row>
    <row r="12" spans="1:16" x14ac:dyDescent="0.25">
      <c r="A12" s="9"/>
      <c r="B12" s="5"/>
      <c r="C12" s="5"/>
      <c r="D12" s="5"/>
      <c r="E12" s="5"/>
      <c r="F12" s="5"/>
      <c r="G12" s="5"/>
      <c r="H12" s="5"/>
      <c r="I12" s="5"/>
      <c r="J12" s="7"/>
      <c r="K12" s="7">
        <f t="shared" si="0"/>
        <v>0</v>
      </c>
      <c r="L12" s="4"/>
      <c r="M12" s="4"/>
      <c r="N12" s="7"/>
      <c r="O12" s="7">
        <f t="shared" si="1"/>
        <v>0</v>
      </c>
    </row>
    <row r="13" spans="1:16" x14ac:dyDescent="0.25">
      <c r="A13" s="4"/>
      <c r="B13" s="5"/>
      <c r="C13" s="5"/>
      <c r="D13" s="5"/>
      <c r="E13" s="5"/>
      <c r="F13" s="5"/>
      <c r="G13" s="5"/>
      <c r="H13" s="5"/>
      <c r="I13" s="5"/>
      <c r="J13" s="7"/>
      <c r="K13" s="7">
        <f t="shared" si="0"/>
        <v>0</v>
      </c>
      <c r="L13" s="4"/>
      <c r="M13" s="4"/>
      <c r="N13" s="7"/>
      <c r="O13" s="7">
        <f t="shared" si="1"/>
        <v>0</v>
      </c>
    </row>
    <row r="14" spans="1:16" x14ac:dyDescent="0.25">
      <c r="A14" s="4"/>
      <c r="B14" s="5"/>
      <c r="C14" s="5"/>
      <c r="D14" s="5"/>
      <c r="E14" s="5"/>
      <c r="F14" s="5"/>
      <c r="G14" s="5"/>
      <c r="H14" s="5"/>
      <c r="I14" s="5"/>
      <c r="J14" s="7"/>
      <c r="K14" s="7">
        <f t="shared" si="0"/>
        <v>0</v>
      </c>
      <c r="L14" s="4"/>
      <c r="M14" s="4"/>
      <c r="N14" s="7"/>
      <c r="O14" s="7">
        <f t="shared" si="1"/>
        <v>0</v>
      </c>
    </row>
    <row r="15" spans="1:16" x14ac:dyDescent="0.25">
      <c r="A15" s="50"/>
      <c r="B15" s="49"/>
      <c r="C15" s="49"/>
      <c r="D15" s="49"/>
      <c r="E15" s="5"/>
      <c r="F15" s="5"/>
      <c r="G15" s="5"/>
      <c r="H15" s="5"/>
      <c r="I15" s="5"/>
      <c r="J15" s="7"/>
      <c r="K15" s="7">
        <f t="shared" si="0"/>
        <v>0</v>
      </c>
      <c r="L15" s="4"/>
      <c r="M15" s="4"/>
      <c r="N15" s="7"/>
      <c r="O15" s="7">
        <f t="shared" si="1"/>
        <v>0</v>
      </c>
    </row>
    <row r="16" spans="1:16" x14ac:dyDescent="0.25">
      <c r="A16" s="9"/>
      <c r="B16" s="5"/>
      <c r="C16" s="5"/>
      <c r="D16" s="5"/>
      <c r="E16" s="5"/>
      <c r="F16" s="5"/>
      <c r="G16" s="5"/>
      <c r="H16" s="5"/>
      <c r="I16" s="5"/>
      <c r="J16" s="7"/>
      <c r="K16" s="7">
        <f t="shared" si="0"/>
        <v>0</v>
      </c>
      <c r="L16" s="4"/>
      <c r="M16" s="4"/>
      <c r="N16" s="7"/>
      <c r="O16" s="7">
        <f t="shared" si="1"/>
        <v>0</v>
      </c>
    </row>
    <row r="17" spans="1:15" x14ac:dyDescent="0.25">
      <c r="A17" s="4"/>
      <c r="B17" s="5"/>
      <c r="C17" s="5"/>
      <c r="D17" s="5"/>
      <c r="E17" s="5"/>
      <c r="F17" s="5"/>
      <c r="G17" s="5"/>
      <c r="H17" s="5"/>
      <c r="I17" s="5"/>
      <c r="J17" s="7"/>
      <c r="K17" s="7">
        <f t="shared" si="0"/>
        <v>0</v>
      </c>
      <c r="L17" s="4"/>
      <c r="M17" s="4"/>
      <c r="N17" s="7"/>
      <c r="O17" s="7">
        <f t="shared" si="1"/>
        <v>0</v>
      </c>
    </row>
    <row r="18" spans="1:15" x14ac:dyDescent="0.25">
      <c r="A18" s="4"/>
      <c r="B18" s="5"/>
      <c r="C18" s="5"/>
      <c r="D18" s="5"/>
      <c r="E18" s="5"/>
      <c r="F18" s="5"/>
      <c r="G18" s="5"/>
      <c r="H18" s="5"/>
      <c r="I18" s="5"/>
      <c r="J18" s="7"/>
      <c r="K18" s="7">
        <f t="shared" si="0"/>
        <v>0</v>
      </c>
      <c r="L18" s="4"/>
      <c r="M18" s="4"/>
      <c r="N18" s="7"/>
      <c r="O18" s="7">
        <f t="shared" si="1"/>
        <v>0</v>
      </c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7"/>
      <c r="K19" s="7">
        <f t="shared" si="0"/>
        <v>0</v>
      </c>
      <c r="L19" s="4"/>
      <c r="M19" s="4"/>
      <c r="N19" s="7"/>
      <c r="O19" s="7">
        <f t="shared" si="1"/>
        <v>0</v>
      </c>
    </row>
    <row r="20" spans="1:15" x14ac:dyDescent="0.25">
      <c r="A20" s="9"/>
      <c r="B20" s="5"/>
      <c r="C20" s="5"/>
      <c r="D20" s="5"/>
      <c r="E20" s="5"/>
      <c r="F20" s="5"/>
      <c r="G20" s="5"/>
      <c r="H20" s="5"/>
      <c r="I20" s="5"/>
      <c r="J20" s="7"/>
      <c r="K20" s="7">
        <f t="shared" si="0"/>
        <v>0</v>
      </c>
      <c r="L20" s="4"/>
      <c r="M20" s="4"/>
      <c r="N20" s="7"/>
      <c r="O20" s="7">
        <f t="shared" si="1"/>
        <v>0</v>
      </c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53"/>
      <c r="K21" s="7">
        <f t="shared" si="0"/>
        <v>0</v>
      </c>
      <c r="L21" s="4"/>
      <c r="M21" s="4"/>
      <c r="N21" s="7"/>
      <c r="O21" s="7">
        <f t="shared" si="1"/>
        <v>0</v>
      </c>
    </row>
    <row r="22" spans="1:15" x14ac:dyDescent="0.25">
      <c r="A22" s="4"/>
      <c r="B22" s="5"/>
      <c r="C22" s="5"/>
      <c r="D22" s="5"/>
      <c r="E22" s="5"/>
      <c r="F22" s="5"/>
      <c r="G22" s="5"/>
      <c r="H22" s="5"/>
      <c r="I22" s="5"/>
      <c r="J22" s="7"/>
      <c r="K22" s="7">
        <f t="shared" si="0"/>
        <v>0</v>
      </c>
      <c r="L22" s="4"/>
      <c r="M22" s="4"/>
      <c r="N22" s="7"/>
      <c r="O22" s="7">
        <f t="shared" si="1"/>
        <v>0</v>
      </c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7"/>
      <c r="K23" s="7">
        <f t="shared" si="0"/>
        <v>0</v>
      </c>
      <c r="L23" s="4"/>
      <c r="M23" s="4"/>
      <c r="N23" s="7"/>
      <c r="O23" s="7">
        <f t="shared" si="1"/>
        <v>0</v>
      </c>
    </row>
    <row r="24" spans="1:15" x14ac:dyDescent="0.25">
      <c r="A24" s="4"/>
      <c r="B24" s="5"/>
      <c r="C24" s="5"/>
      <c r="D24" s="5"/>
      <c r="E24" s="5"/>
      <c r="F24" s="5"/>
      <c r="G24" s="5"/>
      <c r="H24" s="5"/>
      <c r="I24" s="5"/>
      <c r="J24" s="7"/>
      <c r="K24" s="7">
        <f t="shared" si="0"/>
        <v>0</v>
      </c>
      <c r="L24" s="4"/>
      <c r="M24" s="4"/>
      <c r="N24" s="7"/>
      <c r="O24" s="7">
        <f t="shared" si="1"/>
        <v>0</v>
      </c>
    </row>
    <row r="25" spans="1:15" x14ac:dyDescent="0.25">
      <c r="A25" s="9"/>
      <c r="B25" s="5"/>
      <c r="C25" s="5"/>
      <c r="D25" s="5"/>
      <c r="E25" s="5"/>
      <c r="F25" s="5"/>
      <c r="G25" s="5"/>
      <c r="H25" s="5"/>
      <c r="I25" s="5"/>
      <c r="J25" s="7"/>
      <c r="K25" s="7">
        <f t="shared" si="0"/>
        <v>0</v>
      </c>
      <c r="L25" s="4"/>
      <c r="M25" s="4"/>
      <c r="N25" s="7"/>
      <c r="O25" s="7">
        <f t="shared" si="1"/>
        <v>0</v>
      </c>
    </row>
    <row r="26" spans="1:15" x14ac:dyDescent="0.25">
      <c r="A26" s="4"/>
      <c r="B26" s="5"/>
      <c r="C26" s="5"/>
      <c r="D26" s="5"/>
      <c r="E26" s="5"/>
      <c r="F26" s="5"/>
      <c r="G26" s="5"/>
      <c r="H26" s="5"/>
      <c r="I26" s="5"/>
      <c r="J26" s="7"/>
      <c r="K26" s="7">
        <f t="shared" si="0"/>
        <v>0</v>
      </c>
      <c r="L26" s="4"/>
      <c r="M26" s="4"/>
      <c r="N26" s="7"/>
      <c r="O26" s="7">
        <f t="shared" si="1"/>
        <v>0</v>
      </c>
    </row>
    <row r="27" spans="1:15" x14ac:dyDescent="0.25">
      <c r="A27" s="9"/>
      <c r="B27" s="5"/>
      <c r="C27" s="5"/>
      <c r="D27" s="5"/>
      <c r="E27" s="5"/>
      <c r="F27" s="5"/>
      <c r="G27" s="5"/>
      <c r="H27" s="5"/>
      <c r="I27" s="5"/>
      <c r="J27" s="53"/>
      <c r="K27" s="7">
        <f t="shared" si="0"/>
        <v>0</v>
      </c>
      <c r="L27" s="4"/>
      <c r="M27" s="4"/>
      <c r="N27" s="7"/>
      <c r="O27" s="7">
        <f t="shared" si="1"/>
        <v>0</v>
      </c>
    </row>
    <row r="28" spans="1:15" x14ac:dyDescent="0.25">
      <c r="A28" s="4"/>
      <c r="B28" s="5"/>
      <c r="C28" s="5"/>
      <c r="D28" s="5"/>
      <c r="E28" s="5"/>
      <c r="F28" s="5"/>
      <c r="G28" s="5"/>
      <c r="H28" s="5"/>
      <c r="I28" s="5"/>
      <c r="J28" s="7"/>
      <c r="K28" s="7">
        <f t="shared" si="0"/>
        <v>0</v>
      </c>
      <c r="L28" s="4"/>
      <c r="M28" s="4"/>
      <c r="N28" s="7"/>
      <c r="O28" s="7">
        <f t="shared" si="1"/>
        <v>0</v>
      </c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7"/>
      <c r="K29" s="7">
        <f t="shared" si="0"/>
        <v>0</v>
      </c>
      <c r="L29" s="4"/>
      <c r="M29" s="4"/>
      <c r="N29" s="7"/>
      <c r="O29" s="7">
        <f t="shared" si="1"/>
        <v>0</v>
      </c>
    </row>
    <row r="30" spans="1:15" x14ac:dyDescent="0.25">
      <c r="A30" s="4"/>
      <c r="B30" s="5"/>
      <c r="C30" s="5"/>
      <c r="D30" s="5"/>
      <c r="E30" s="5"/>
      <c r="F30" s="5"/>
      <c r="G30" s="5"/>
      <c r="H30" s="5"/>
      <c r="I30" s="5"/>
      <c r="J30" s="7"/>
      <c r="K30" s="7">
        <f t="shared" si="0"/>
        <v>0</v>
      </c>
      <c r="L30" s="4"/>
      <c r="M30" s="4"/>
      <c r="N30" s="7"/>
      <c r="O30" s="7">
        <f t="shared" si="1"/>
        <v>0</v>
      </c>
    </row>
    <row r="31" spans="1:15" x14ac:dyDescent="0.25">
      <c r="A31" s="4"/>
      <c r="B31" s="5"/>
      <c r="C31" s="5"/>
      <c r="D31" s="5"/>
      <c r="E31" s="5"/>
      <c r="F31" s="5"/>
      <c r="G31" s="5"/>
      <c r="H31" s="5"/>
      <c r="I31" s="5"/>
      <c r="J31" s="7"/>
      <c r="K31" s="7">
        <f t="shared" si="0"/>
        <v>0</v>
      </c>
      <c r="L31" s="4"/>
      <c r="M31" s="4"/>
      <c r="N31" s="7"/>
      <c r="O31" s="7">
        <f t="shared" si="1"/>
        <v>0</v>
      </c>
    </row>
    <row r="32" spans="1:15" x14ac:dyDescent="0.25">
      <c r="A32" s="4"/>
      <c r="B32" s="5"/>
      <c r="C32" s="5"/>
      <c r="D32" s="5"/>
      <c r="E32" s="5"/>
      <c r="F32" s="5"/>
      <c r="G32" s="5"/>
      <c r="H32" s="5"/>
      <c r="I32" s="5"/>
      <c r="J32" s="7"/>
      <c r="K32" s="7">
        <f t="shared" si="0"/>
        <v>0</v>
      </c>
      <c r="L32" s="4"/>
      <c r="M32" s="4"/>
      <c r="N32" s="7"/>
      <c r="O32" s="7">
        <f t="shared" si="1"/>
        <v>0</v>
      </c>
    </row>
    <row r="33" spans="1:15" x14ac:dyDescent="0.25">
      <c r="A33" s="4"/>
      <c r="B33" s="5"/>
      <c r="C33" s="5"/>
      <c r="D33" s="5"/>
      <c r="E33" s="5"/>
      <c r="F33" s="5"/>
      <c r="G33" s="5"/>
      <c r="H33" s="5"/>
      <c r="I33" s="5"/>
      <c r="J33" s="7"/>
      <c r="K33" s="7">
        <f t="shared" si="0"/>
        <v>0</v>
      </c>
      <c r="L33" s="4"/>
      <c r="M33" s="4"/>
      <c r="N33" s="7"/>
      <c r="O33" s="7">
        <f t="shared" si="1"/>
        <v>0</v>
      </c>
    </row>
    <row r="34" spans="1:15" x14ac:dyDescent="0.25">
      <c r="A34" s="9"/>
      <c r="B34" s="5"/>
      <c r="C34" s="5"/>
      <c r="D34" s="5"/>
      <c r="E34" s="5"/>
      <c r="F34" s="5"/>
      <c r="G34" s="5"/>
      <c r="H34" s="5"/>
      <c r="I34" s="5"/>
      <c r="J34" s="7"/>
      <c r="K34" s="7">
        <f t="shared" si="0"/>
        <v>0</v>
      </c>
      <c r="L34" s="4"/>
      <c r="M34" s="4"/>
      <c r="N34" s="7"/>
      <c r="O34" s="7">
        <f t="shared" si="1"/>
        <v>0</v>
      </c>
    </row>
    <row r="35" spans="1:15" x14ac:dyDescent="0.25">
      <c r="A35" s="4"/>
      <c r="B35" s="5"/>
      <c r="C35" s="5"/>
      <c r="D35" s="5"/>
      <c r="E35" s="5"/>
      <c r="F35" s="5"/>
      <c r="G35" s="5"/>
      <c r="H35" s="5"/>
      <c r="I35" s="5"/>
      <c r="J35" s="7"/>
      <c r="K35" s="7">
        <f t="shared" si="0"/>
        <v>0</v>
      </c>
      <c r="L35" s="4"/>
      <c r="M35" s="4"/>
      <c r="N35" s="7"/>
      <c r="O35" s="7">
        <f t="shared" si="1"/>
        <v>0</v>
      </c>
    </row>
    <row r="36" spans="1:15" x14ac:dyDescent="0.25">
      <c r="A36" s="4"/>
      <c r="B36" s="5"/>
      <c r="C36" s="5"/>
      <c r="D36" s="5"/>
      <c r="E36" s="5"/>
      <c r="F36" s="5"/>
      <c r="G36" s="5"/>
      <c r="H36" s="5"/>
      <c r="I36" s="5"/>
      <c r="J36" s="7"/>
      <c r="K36" s="7">
        <f t="shared" si="0"/>
        <v>0</v>
      </c>
      <c r="L36" s="4"/>
      <c r="M36" s="4"/>
      <c r="N36" s="7"/>
      <c r="O36" s="7">
        <f t="shared" si="1"/>
        <v>0</v>
      </c>
    </row>
    <row r="37" spans="1:15" x14ac:dyDescent="0.25">
      <c r="A37" s="4"/>
      <c r="B37" s="5"/>
      <c r="C37" s="5"/>
      <c r="D37" s="5"/>
      <c r="E37" s="5"/>
      <c r="F37" s="5"/>
      <c r="G37" s="5"/>
      <c r="H37" s="5"/>
      <c r="I37" s="5"/>
      <c r="J37" s="7"/>
      <c r="K37" s="7">
        <f t="shared" si="0"/>
        <v>0</v>
      </c>
      <c r="L37" s="4"/>
      <c r="M37" s="4"/>
      <c r="N37" s="7"/>
      <c r="O37" s="7">
        <f t="shared" si="1"/>
        <v>0</v>
      </c>
    </row>
    <row r="38" spans="1:15" x14ac:dyDescent="0.25">
      <c r="A38" s="9"/>
      <c r="B38" s="5"/>
      <c r="C38" s="5"/>
      <c r="D38" s="5"/>
      <c r="E38" s="5"/>
      <c r="F38" s="5"/>
      <c r="G38" s="5"/>
      <c r="H38" s="5"/>
      <c r="I38" s="5"/>
      <c r="J38" s="7"/>
      <c r="K38" s="7">
        <f t="shared" si="0"/>
        <v>0</v>
      </c>
      <c r="L38" s="4"/>
      <c r="M38" s="4"/>
      <c r="N38" s="7"/>
      <c r="O38" s="7">
        <f t="shared" si="1"/>
        <v>0</v>
      </c>
    </row>
    <row r="39" spans="1:15" x14ac:dyDescent="0.25">
      <c r="A39" s="4"/>
      <c r="B39" s="5"/>
      <c r="C39" s="5"/>
      <c r="D39" s="5"/>
      <c r="E39" s="5"/>
      <c r="F39" s="5"/>
      <c r="G39" s="5"/>
      <c r="H39" s="5"/>
      <c r="I39" s="5"/>
      <c r="J39" s="7"/>
      <c r="K39" s="7">
        <f t="shared" si="0"/>
        <v>0</v>
      </c>
      <c r="L39" s="4"/>
      <c r="M39" s="4"/>
      <c r="N39" s="7"/>
      <c r="O39" s="7">
        <f t="shared" si="1"/>
        <v>0</v>
      </c>
    </row>
    <row r="40" spans="1:15" x14ac:dyDescent="0.25">
      <c r="A40" s="4"/>
      <c r="B40" s="5"/>
      <c r="C40" s="5"/>
      <c r="D40" s="5"/>
      <c r="E40" s="5"/>
      <c r="F40" s="5"/>
      <c r="G40" s="5"/>
      <c r="H40" s="5"/>
      <c r="I40" s="5"/>
      <c r="J40" s="7"/>
      <c r="K40" s="7">
        <f t="shared" si="0"/>
        <v>0</v>
      </c>
      <c r="L40" s="4"/>
      <c r="M40" s="4"/>
      <c r="N40" s="7"/>
      <c r="O40" s="7">
        <f t="shared" si="1"/>
        <v>0</v>
      </c>
    </row>
    <row r="41" spans="1:15" x14ac:dyDescent="0.25">
      <c r="A41" s="4"/>
      <c r="B41" s="5"/>
      <c r="C41" s="5"/>
      <c r="D41" s="5"/>
      <c r="E41" s="5"/>
      <c r="F41" s="5"/>
      <c r="G41" s="5"/>
      <c r="H41" s="5"/>
      <c r="I41" s="5"/>
      <c r="J41" s="7"/>
      <c r="K41" s="7">
        <f t="shared" si="0"/>
        <v>0</v>
      </c>
      <c r="L41" s="4"/>
      <c r="M41" s="4"/>
      <c r="N41" s="7"/>
      <c r="O41" s="7">
        <f t="shared" si="1"/>
        <v>0</v>
      </c>
    </row>
    <row r="42" spans="1:15" x14ac:dyDescent="0.25">
      <c r="A42" s="4"/>
      <c r="B42" s="5"/>
      <c r="C42" s="5"/>
      <c r="D42" s="5"/>
      <c r="E42" s="5"/>
      <c r="F42" s="5"/>
      <c r="G42" s="5"/>
      <c r="H42" s="5"/>
      <c r="I42" s="5"/>
      <c r="J42" s="7"/>
      <c r="K42" s="7">
        <f t="shared" si="0"/>
        <v>0</v>
      </c>
      <c r="L42" s="4"/>
      <c r="M42" s="4"/>
      <c r="N42" s="7"/>
      <c r="O42" s="7">
        <f t="shared" si="1"/>
        <v>0</v>
      </c>
    </row>
    <row r="43" spans="1:15" x14ac:dyDescent="0.25">
      <c r="A43" s="4"/>
      <c r="B43" s="5"/>
      <c r="C43" s="5"/>
      <c r="D43" s="5"/>
      <c r="E43" s="5"/>
      <c r="F43" s="5"/>
      <c r="G43" s="5"/>
      <c r="H43" s="5"/>
      <c r="I43" s="5"/>
      <c r="J43" s="7"/>
      <c r="K43" s="7">
        <f t="shared" si="0"/>
        <v>0</v>
      </c>
      <c r="L43" s="4"/>
      <c r="M43" s="4"/>
      <c r="N43" s="7"/>
      <c r="O43" s="7">
        <f t="shared" si="1"/>
        <v>0</v>
      </c>
    </row>
    <row r="44" spans="1:15" x14ac:dyDescent="0.25">
      <c r="A44" s="4"/>
      <c r="B44" s="5"/>
      <c r="C44" s="5"/>
      <c r="D44" s="5"/>
      <c r="E44" s="5"/>
      <c r="F44" s="5"/>
      <c r="G44" s="5"/>
      <c r="H44" s="5"/>
      <c r="I44" s="5"/>
      <c r="J44" s="7"/>
      <c r="K44" s="7">
        <f t="shared" si="0"/>
        <v>0</v>
      </c>
      <c r="L44" s="4"/>
      <c r="M44" s="4"/>
      <c r="N44" s="7"/>
      <c r="O44" s="7">
        <f t="shared" si="1"/>
        <v>0</v>
      </c>
    </row>
    <row r="45" spans="1:15" x14ac:dyDescent="0.25">
      <c r="A45" s="4"/>
      <c r="B45" s="5"/>
      <c r="C45" s="5"/>
      <c r="D45" s="5"/>
      <c r="E45" s="5"/>
      <c r="F45" s="5"/>
      <c r="G45" s="5"/>
      <c r="H45" s="5"/>
      <c r="I45" s="5"/>
      <c r="J45" s="7"/>
      <c r="K45" s="7">
        <f t="shared" si="0"/>
        <v>0</v>
      </c>
      <c r="L45" s="4"/>
      <c r="M45" s="4"/>
      <c r="N45" s="7"/>
      <c r="O45" s="7">
        <f t="shared" si="1"/>
        <v>0</v>
      </c>
    </row>
    <row r="46" spans="1:15" x14ac:dyDescent="0.25">
      <c r="A46" s="4"/>
      <c r="B46" s="5"/>
      <c r="C46" s="5"/>
      <c r="D46" s="5"/>
      <c r="E46" s="5"/>
      <c r="F46" s="5"/>
      <c r="G46" s="5"/>
      <c r="H46" s="5"/>
      <c r="I46" s="5"/>
      <c r="J46" s="7"/>
      <c r="K46" s="7">
        <f t="shared" si="0"/>
        <v>0</v>
      </c>
      <c r="L46" s="4"/>
      <c r="M46" s="4"/>
      <c r="N46" s="7"/>
      <c r="O46" s="7">
        <f t="shared" si="1"/>
        <v>0</v>
      </c>
    </row>
    <row r="47" spans="1:15" x14ac:dyDescent="0.25">
      <c r="A47" s="4"/>
      <c r="B47" s="5"/>
      <c r="C47" s="5"/>
      <c r="D47" s="5"/>
      <c r="E47" s="5"/>
      <c r="F47" s="5"/>
      <c r="G47" s="5"/>
      <c r="H47" s="5"/>
      <c r="I47" s="5"/>
      <c r="J47" s="7"/>
      <c r="K47" s="7">
        <f t="shared" si="0"/>
        <v>0</v>
      </c>
      <c r="L47" s="4"/>
      <c r="M47" s="4"/>
      <c r="N47" s="7"/>
      <c r="O47" s="7">
        <f t="shared" si="1"/>
        <v>0</v>
      </c>
    </row>
    <row r="48" spans="1:15" x14ac:dyDescent="0.25">
      <c r="A48" s="4"/>
      <c r="B48" s="5"/>
      <c r="C48" s="5"/>
      <c r="D48" s="5"/>
      <c r="E48" s="5"/>
      <c r="F48" s="5"/>
      <c r="G48" s="5"/>
      <c r="H48" s="5"/>
      <c r="I48" s="5"/>
      <c r="J48" s="7"/>
      <c r="K48" s="7">
        <f t="shared" si="0"/>
        <v>0</v>
      </c>
      <c r="L48" s="4"/>
      <c r="M48" s="4"/>
      <c r="N48" s="7"/>
      <c r="O48" s="7">
        <f t="shared" si="1"/>
        <v>0</v>
      </c>
    </row>
    <row r="49" spans="1:15" x14ac:dyDescent="0.25">
      <c r="A49" s="9"/>
      <c r="B49" s="5"/>
      <c r="C49" s="5"/>
      <c r="D49" s="5"/>
      <c r="E49" s="5"/>
      <c r="F49" s="5"/>
      <c r="G49" s="5"/>
      <c r="H49" s="5"/>
      <c r="I49" s="5"/>
      <c r="J49" s="7"/>
      <c r="K49" s="7">
        <f t="shared" si="0"/>
        <v>0</v>
      </c>
      <c r="L49" s="4"/>
      <c r="M49" s="4"/>
      <c r="N49" s="7"/>
      <c r="O49" s="7">
        <f t="shared" si="1"/>
        <v>0</v>
      </c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7"/>
      <c r="K50" s="7">
        <f t="shared" si="0"/>
        <v>0</v>
      </c>
      <c r="L50" s="4"/>
      <c r="M50" s="4"/>
      <c r="N50" s="7"/>
      <c r="O50" s="7">
        <f t="shared" si="1"/>
        <v>0</v>
      </c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7"/>
      <c r="K51" s="7">
        <f t="shared" si="0"/>
        <v>0</v>
      </c>
      <c r="L51" s="4"/>
      <c r="M51" s="4"/>
      <c r="N51" s="7"/>
      <c r="O51" s="7">
        <f t="shared" si="1"/>
        <v>0</v>
      </c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7"/>
      <c r="K52" s="7">
        <f t="shared" si="0"/>
        <v>0</v>
      </c>
      <c r="L52" s="4"/>
      <c r="M52" s="4"/>
      <c r="N52" s="7"/>
      <c r="O52" s="7">
        <f t="shared" si="1"/>
        <v>0</v>
      </c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7"/>
      <c r="K53" s="7">
        <f t="shared" si="0"/>
        <v>0</v>
      </c>
      <c r="L53" s="4"/>
      <c r="M53" s="4"/>
      <c r="N53" s="7"/>
      <c r="O53" s="7">
        <f t="shared" si="1"/>
        <v>0</v>
      </c>
    </row>
    <row r="54" spans="1:15" x14ac:dyDescent="0.25">
      <c r="A54" s="4"/>
      <c r="C54" s="5"/>
      <c r="D54" s="5"/>
      <c r="E54" s="5"/>
      <c r="F54" s="5"/>
      <c r="G54" s="5"/>
      <c r="H54" s="5"/>
      <c r="I54" s="5"/>
      <c r="J54" s="7"/>
      <c r="K54" s="7">
        <f t="shared" si="0"/>
        <v>0</v>
      </c>
      <c r="L54" s="4"/>
      <c r="M54" s="4"/>
      <c r="N54" s="7"/>
      <c r="O54" s="7">
        <f t="shared" si="1"/>
        <v>0</v>
      </c>
    </row>
    <row r="55" spans="1:15" x14ac:dyDescent="0.25">
      <c r="A55" s="4"/>
      <c r="B55" s="5"/>
      <c r="C55" s="5"/>
      <c r="D55" s="5"/>
      <c r="E55" s="5"/>
      <c r="F55" s="5"/>
      <c r="G55" s="5"/>
      <c r="H55" s="5"/>
      <c r="I55" s="5"/>
      <c r="J55" s="7"/>
      <c r="K55" s="7">
        <f t="shared" si="0"/>
        <v>0</v>
      </c>
      <c r="L55" s="4"/>
      <c r="M55" s="4"/>
      <c r="N55" s="7"/>
      <c r="O55" s="7">
        <f t="shared" si="1"/>
        <v>0</v>
      </c>
    </row>
    <row r="56" spans="1:15" x14ac:dyDescent="0.25">
      <c r="A56" s="4"/>
      <c r="B56" s="5">
        <f>SUM(B3:B55)</f>
        <v>0</v>
      </c>
      <c r="C56" s="5"/>
      <c r="D56" s="5"/>
      <c r="E56" s="5">
        <f>SUM(E3:E55)</f>
        <v>1440</v>
      </c>
      <c r="F56" s="5">
        <f>SUM(F3:F55)</f>
        <v>0</v>
      </c>
      <c r="G56" s="5">
        <f>SUM(G3:G55)</f>
        <v>0</v>
      </c>
      <c r="H56" s="5">
        <f>SUM(H3:H55)</f>
        <v>0</v>
      </c>
      <c r="I56" s="5">
        <f>SUM(I3:I55)</f>
        <v>0</v>
      </c>
      <c r="J56" s="7"/>
      <c r="K56" s="7">
        <f t="shared" si="0"/>
        <v>0</v>
      </c>
      <c r="L56" s="4"/>
      <c r="M56" s="4"/>
      <c r="N56" s="7"/>
      <c r="O56" s="7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8"/>
  <sheetViews>
    <sheetView workbookViewId="0">
      <pane ySplit="1" topLeftCell="A59" activePane="bottomLeft" state="frozen"/>
      <selection pane="bottomLeft" activeCell="G88" sqref="G88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customWidth="1"/>
    <col min="7" max="7" width="15.5703125" style="1" customWidth="1"/>
    <col min="8" max="8" width="14" style="1" customWidth="1"/>
    <col min="9" max="9" width="13.28515625" style="1" customWidth="1"/>
    <col min="10" max="10" width="10.28515625" style="8" customWidth="1"/>
    <col min="11" max="11" width="12.7109375" style="8" bestFit="1" customWidth="1"/>
    <col min="12" max="13" width="8.85546875" style="1"/>
    <col min="14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60" t="s">
        <v>0</v>
      </c>
      <c r="B1" s="61" t="s">
        <v>10</v>
      </c>
      <c r="C1" s="61" t="s">
        <v>24</v>
      </c>
      <c r="D1" s="62" t="s">
        <v>72</v>
      </c>
      <c r="E1" s="60" t="s">
        <v>73</v>
      </c>
      <c r="F1" s="60" t="s">
        <v>74</v>
      </c>
      <c r="G1" s="60" t="s">
        <v>75</v>
      </c>
      <c r="H1" s="60" t="s">
        <v>76</v>
      </c>
      <c r="I1" s="60"/>
      <c r="J1" s="63" t="s">
        <v>6</v>
      </c>
      <c r="K1" s="63" t="s">
        <v>7</v>
      </c>
      <c r="L1" s="60" t="s">
        <v>8</v>
      </c>
      <c r="M1" s="60" t="s">
        <v>9</v>
      </c>
      <c r="N1" s="63" t="s">
        <v>7</v>
      </c>
      <c r="O1" s="63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45693</v>
      </c>
      <c r="B3" s="5">
        <v>1152</v>
      </c>
      <c r="C3" s="5">
        <v>288</v>
      </c>
      <c r="D3" s="5">
        <v>12</v>
      </c>
      <c r="E3" s="5">
        <f>C3*D3</f>
        <v>3456</v>
      </c>
      <c r="F3" s="5">
        <f>C3*D3</f>
        <v>3456</v>
      </c>
      <c r="G3" s="5">
        <f>C3*D3</f>
        <v>3456</v>
      </c>
      <c r="H3" s="5">
        <f>C3*D3</f>
        <v>3456</v>
      </c>
      <c r="I3" s="5"/>
      <c r="J3" s="7">
        <v>32.5</v>
      </c>
      <c r="K3" s="7">
        <f t="shared" ref="K3:K88" si="0">E3*J3+F3*J3+G3*J3+H3*J3+I3*J3</f>
        <v>449280</v>
      </c>
      <c r="L3" s="9"/>
      <c r="M3" s="4"/>
      <c r="N3" s="7"/>
      <c r="O3" s="7">
        <f>O2+K3-N3</f>
        <v>449280</v>
      </c>
    </row>
    <row r="4" spans="1:16" x14ac:dyDescent="0.25">
      <c r="A4" s="9">
        <v>45695</v>
      </c>
      <c r="B4" s="5">
        <v>253</v>
      </c>
      <c r="C4" s="5">
        <v>253</v>
      </c>
      <c r="D4" s="5">
        <v>12</v>
      </c>
      <c r="E4" s="5">
        <f>C4*D4</f>
        <v>3036</v>
      </c>
      <c r="F4" s="5"/>
      <c r="G4" s="5"/>
      <c r="H4" s="5"/>
      <c r="I4" s="5"/>
      <c r="J4" s="7">
        <v>32.5</v>
      </c>
      <c r="K4" s="7">
        <f t="shared" si="0"/>
        <v>98670</v>
      </c>
      <c r="L4" s="9"/>
      <c r="M4" s="4"/>
      <c r="N4" s="7"/>
      <c r="O4" s="7">
        <f t="shared" ref="O4:O87" si="1">O3+K4-N4</f>
        <v>547950</v>
      </c>
    </row>
    <row r="5" spans="1:16" x14ac:dyDescent="0.25">
      <c r="A5" s="4"/>
      <c r="B5" s="5">
        <v>182</v>
      </c>
      <c r="C5" s="5">
        <v>182</v>
      </c>
      <c r="D5" s="5">
        <v>12</v>
      </c>
      <c r="E5" s="5"/>
      <c r="F5" s="5">
        <f>C5*D5</f>
        <v>2184</v>
      </c>
      <c r="G5" s="5"/>
      <c r="H5" s="5"/>
      <c r="I5" s="5"/>
      <c r="J5" s="7">
        <v>32.5</v>
      </c>
      <c r="K5" s="7">
        <f t="shared" si="0"/>
        <v>70980</v>
      </c>
      <c r="L5" s="4"/>
      <c r="M5" s="4"/>
      <c r="N5" s="7"/>
      <c r="O5" s="7">
        <f t="shared" si="1"/>
        <v>618930</v>
      </c>
    </row>
    <row r="6" spans="1:16" x14ac:dyDescent="0.25">
      <c r="A6" s="4"/>
      <c r="B6" s="5">
        <v>221</v>
      </c>
      <c r="C6" s="5">
        <v>221</v>
      </c>
      <c r="D6" s="5">
        <v>12</v>
      </c>
      <c r="E6" s="5"/>
      <c r="F6" s="5"/>
      <c r="G6" s="5">
        <f>C6*D6</f>
        <v>2652</v>
      </c>
      <c r="H6" s="5"/>
      <c r="I6" s="5"/>
      <c r="J6" s="7">
        <v>32.5</v>
      </c>
      <c r="K6" s="7">
        <f t="shared" si="0"/>
        <v>86190</v>
      </c>
      <c r="L6" s="4"/>
      <c r="M6" s="4"/>
      <c r="N6" s="7"/>
      <c r="O6" s="7">
        <f t="shared" si="1"/>
        <v>705120</v>
      </c>
    </row>
    <row r="7" spans="1:16" x14ac:dyDescent="0.25">
      <c r="A7" s="4"/>
      <c r="B7" s="5">
        <v>180</v>
      </c>
      <c r="C7" s="5">
        <v>180</v>
      </c>
      <c r="D7" s="5">
        <v>12</v>
      </c>
      <c r="E7" s="5"/>
      <c r="F7" s="5"/>
      <c r="G7" s="5"/>
      <c r="H7" s="5">
        <f>C7*D7</f>
        <v>2160</v>
      </c>
      <c r="I7" s="5"/>
      <c r="J7" s="7">
        <v>32.5</v>
      </c>
      <c r="K7" s="7">
        <f t="shared" si="0"/>
        <v>70200</v>
      </c>
      <c r="L7" s="4"/>
      <c r="M7" s="4"/>
      <c r="N7" s="7"/>
      <c r="O7" s="7">
        <f t="shared" si="1"/>
        <v>775320</v>
      </c>
    </row>
    <row r="8" spans="1:16" x14ac:dyDescent="0.25">
      <c r="A8" s="9">
        <v>45699</v>
      </c>
      <c r="B8" s="5">
        <v>28</v>
      </c>
      <c r="C8" s="5">
        <v>28</v>
      </c>
      <c r="D8" s="5">
        <v>12</v>
      </c>
      <c r="E8" s="5">
        <f>C8*D8</f>
        <v>336</v>
      </c>
      <c r="F8" s="5"/>
      <c r="G8" s="5"/>
      <c r="H8" s="5"/>
      <c r="I8" s="5"/>
      <c r="J8" s="7">
        <v>32.5</v>
      </c>
      <c r="K8" s="7">
        <f t="shared" si="0"/>
        <v>10920</v>
      </c>
      <c r="L8" s="4"/>
      <c r="M8" s="4"/>
      <c r="N8" s="7"/>
      <c r="O8" s="7">
        <f t="shared" si="1"/>
        <v>786240</v>
      </c>
    </row>
    <row r="9" spans="1:16" x14ac:dyDescent="0.25">
      <c r="A9" s="4"/>
      <c r="B9" s="5">
        <v>128</v>
      </c>
      <c r="C9" s="5">
        <v>128</v>
      </c>
      <c r="D9" s="5">
        <v>12</v>
      </c>
      <c r="E9" s="5"/>
      <c r="F9" s="5">
        <f>C9*D9</f>
        <v>1536</v>
      </c>
      <c r="G9" s="5"/>
      <c r="H9" s="5"/>
      <c r="I9" s="5"/>
      <c r="J9" s="7">
        <v>32.5</v>
      </c>
      <c r="K9" s="7">
        <f t="shared" si="0"/>
        <v>49920</v>
      </c>
      <c r="L9" s="4"/>
      <c r="M9" s="4"/>
      <c r="N9" s="7"/>
      <c r="O9" s="7">
        <f t="shared" si="1"/>
        <v>836160</v>
      </c>
    </row>
    <row r="10" spans="1:16" x14ac:dyDescent="0.25">
      <c r="A10" s="4"/>
      <c r="B10" s="5">
        <v>60</v>
      </c>
      <c r="C10" s="5">
        <v>60</v>
      </c>
      <c r="D10" s="5">
        <v>12</v>
      </c>
      <c r="E10" s="5"/>
      <c r="F10" s="5"/>
      <c r="G10" s="5">
        <f>C10*D10</f>
        <v>720</v>
      </c>
      <c r="H10" s="5"/>
      <c r="I10" s="5"/>
      <c r="J10" s="7">
        <v>32.5</v>
      </c>
      <c r="K10" s="7">
        <f t="shared" si="0"/>
        <v>23400</v>
      </c>
      <c r="L10" s="4"/>
      <c r="M10" s="4"/>
      <c r="N10" s="7"/>
      <c r="O10" s="7">
        <f t="shared" si="1"/>
        <v>859560</v>
      </c>
    </row>
    <row r="11" spans="1:16" x14ac:dyDescent="0.25">
      <c r="A11" s="4"/>
      <c r="B11" s="5">
        <v>28</v>
      </c>
      <c r="C11" s="5">
        <v>28</v>
      </c>
      <c r="D11" s="5">
        <v>12</v>
      </c>
      <c r="E11" s="5"/>
      <c r="F11" s="5"/>
      <c r="G11" s="5"/>
      <c r="H11" s="5">
        <f>C11*D11</f>
        <v>336</v>
      </c>
      <c r="I11" s="5"/>
      <c r="J11" s="7">
        <v>32.5</v>
      </c>
      <c r="K11" s="7">
        <f t="shared" si="0"/>
        <v>10920</v>
      </c>
      <c r="L11" s="4"/>
      <c r="M11" s="4"/>
      <c r="N11" s="7"/>
      <c r="O11" s="7">
        <f t="shared" si="1"/>
        <v>870480</v>
      </c>
    </row>
    <row r="12" spans="1:16" x14ac:dyDescent="0.25">
      <c r="A12" s="9">
        <v>45701</v>
      </c>
      <c r="B12" s="5">
        <v>133</v>
      </c>
      <c r="C12" s="5">
        <v>133</v>
      </c>
      <c r="D12" s="5">
        <v>12</v>
      </c>
      <c r="E12" s="5">
        <f>C12*D12</f>
        <v>1596</v>
      </c>
      <c r="F12" s="5"/>
      <c r="G12" s="5"/>
      <c r="H12" s="5"/>
      <c r="I12" s="5"/>
      <c r="J12" s="7">
        <v>32.5</v>
      </c>
      <c r="K12" s="7">
        <f t="shared" si="0"/>
        <v>51870</v>
      </c>
      <c r="L12" s="4"/>
      <c r="M12" s="4"/>
      <c r="N12" s="7"/>
      <c r="O12" s="7">
        <f t="shared" si="1"/>
        <v>922350</v>
      </c>
    </row>
    <row r="13" spans="1:16" x14ac:dyDescent="0.25">
      <c r="A13" s="4"/>
      <c r="B13" s="5">
        <v>183</v>
      </c>
      <c r="C13" s="5">
        <v>183</v>
      </c>
      <c r="D13" s="5">
        <v>12</v>
      </c>
      <c r="E13" s="5"/>
      <c r="F13" s="5">
        <f>C13*D13</f>
        <v>2196</v>
      </c>
      <c r="G13" s="5"/>
      <c r="H13" s="5"/>
      <c r="I13" s="5"/>
      <c r="J13" s="7">
        <v>32.5</v>
      </c>
      <c r="K13" s="7">
        <f t="shared" si="0"/>
        <v>71370</v>
      </c>
      <c r="L13" s="4"/>
      <c r="M13" s="4"/>
      <c r="N13" s="7"/>
      <c r="O13" s="7">
        <f t="shared" si="1"/>
        <v>993720</v>
      </c>
    </row>
    <row r="14" spans="1:16" x14ac:dyDescent="0.25">
      <c r="A14" s="4"/>
      <c r="B14" s="5">
        <v>286</v>
      </c>
      <c r="C14" s="5">
        <v>286</v>
      </c>
      <c r="D14" s="5">
        <v>12</v>
      </c>
      <c r="E14" s="5"/>
      <c r="F14" s="5"/>
      <c r="G14" s="5">
        <f>C14*D14</f>
        <v>3432</v>
      </c>
      <c r="H14" s="5"/>
      <c r="I14" s="5"/>
      <c r="J14" s="7">
        <v>32.5</v>
      </c>
      <c r="K14" s="7">
        <f t="shared" si="0"/>
        <v>111540</v>
      </c>
      <c r="L14" s="4"/>
      <c r="M14" s="4"/>
      <c r="N14" s="7"/>
      <c r="O14" s="7">
        <f t="shared" si="1"/>
        <v>1105260</v>
      </c>
    </row>
    <row r="15" spans="1:16" x14ac:dyDescent="0.25">
      <c r="A15" s="50"/>
      <c r="B15" s="49">
        <v>176</v>
      </c>
      <c r="C15" s="49">
        <v>176</v>
      </c>
      <c r="D15" s="49">
        <v>12</v>
      </c>
      <c r="E15" s="5"/>
      <c r="F15" s="5"/>
      <c r="G15" s="5"/>
      <c r="H15" s="5">
        <f>C15*D15</f>
        <v>2112</v>
      </c>
      <c r="I15" s="5"/>
      <c r="J15" s="7">
        <v>32.5</v>
      </c>
      <c r="K15" s="7">
        <f t="shared" si="0"/>
        <v>68640</v>
      </c>
      <c r="L15" s="4"/>
      <c r="M15" s="4"/>
      <c r="N15" s="7"/>
      <c r="O15" s="7">
        <f t="shared" si="1"/>
        <v>1173900</v>
      </c>
    </row>
    <row r="16" spans="1:16" x14ac:dyDescent="0.25">
      <c r="A16" s="9">
        <v>45706</v>
      </c>
      <c r="B16" s="5">
        <v>144</v>
      </c>
      <c r="C16" s="5">
        <v>144</v>
      </c>
      <c r="D16" s="5">
        <v>12</v>
      </c>
      <c r="E16" s="5">
        <f>C16*D16</f>
        <v>1728</v>
      </c>
      <c r="F16" s="5"/>
      <c r="G16" s="5"/>
      <c r="H16" s="5"/>
      <c r="I16" s="5"/>
      <c r="J16" s="7">
        <v>32.5</v>
      </c>
      <c r="K16" s="7">
        <f t="shared" si="0"/>
        <v>56160</v>
      </c>
      <c r="L16" s="4"/>
      <c r="M16" s="4"/>
      <c r="N16" s="7"/>
      <c r="O16" s="7">
        <f t="shared" si="1"/>
        <v>1230060</v>
      </c>
    </row>
    <row r="17" spans="1:16" x14ac:dyDescent="0.25">
      <c r="A17" s="4"/>
      <c r="B17" s="5">
        <v>432</v>
      </c>
      <c r="C17" s="5">
        <v>432</v>
      </c>
      <c r="D17" s="5">
        <v>12</v>
      </c>
      <c r="E17" s="5"/>
      <c r="F17" s="5">
        <f>C17*D17</f>
        <v>5184</v>
      </c>
      <c r="G17" s="5"/>
      <c r="H17" s="5"/>
      <c r="I17" s="5"/>
      <c r="J17" s="7">
        <v>32.5</v>
      </c>
      <c r="K17" s="7">
        <f t="shared" si="0"/>
        <v>168480</v>
      </c>
      <c r="L17" s="4"/>
      <c r="M17" s="4"/>
      <c r="N17" s="7"/>
      <c r="O17" s="7">
        <f t="shared" si="1"/>
        <v>1398540</v>
      </c>
    </row>
    <row r="18" spans="1:16" x14ac:dyDescent="0.25">
      <c r="A18" s="4"/>
      <c r="B18" s="5">
        <v>216</v>
      </c>
      <c r="C18" s="5">
        <v>216</v>
      </c>
      <c r="D18" s="5">
        <v>12</v>
      </c>
      <c r="E18" s="5"/>
      <c r="F18" s="5"/>
      <c r="G18" s="5">
        <f>C18*D18</f>
        <v>2592</v>
      </c>
      <c r="H18" s="5"/>
      <c r="I18" s="5"/>
      <c r="J18" s="7">
        <v>32.5</v>
      </c>
      <c r="K18" s="7">
        <f t="shared" si="0"/>
        <v>84240</v>
      </c>
      <c r="L18" s="4"/>
      <c r="M18" s="4"/>
      <c r="N18" s="7"/>
      <c r="O18" s="7">
        <f t="shared" si="1"/>
        <v>1482780</v>
      </c>
    </row>
    <row r="19" spans="1:16" x14ac:dyDescent="0.25">
      <c r="A19" s="4"/>
      <c r="B19" s="5">
        <v>72</v>
      </c>
      <c r="C19" s="5">
        <v>72</v>
      </c>
      <c r="D19" s="5">
        <v>12</v>
      </c>
      <c r="E19" s="5"/>
      <c r="F19" s="5"/>
      <c r="G19" s="5"/>
      <c r="H19" s="5">
        <f>C19*D19</f>
        <v>864</v>
      </c>
      <c r="I19" s="5"/>
      <c r="J19" s="7">
        <v>32.5</v>
      </c>
      <c r="K19" s="7">
        <f t="shared" si="0"/>
        <v>28080</v>
      </c>
      <c r="L19" s="4"/>
      <c r="M19" s="4"/>
      <c r="N19" s="7"/>
      <c r="O19" s="7">
        <f t="shared" si="1"/>
        <v>1510860</v>
      </c>
    </row>
    <row r="20" spans="1:16" x14ac:dyDescent="0.25">
      <c r="A20" s="9">
        <v>45709</v>
      </c>
      <c r="B20" s="5">
        <v>288</v>
      </c>
      <c r="C20" s="5">
        <v>72</v>
      </c>
      <c r="D20" s="5">
        <v>12</v>
      </c>
      <c r="E20" s="5">
        <f>C20*D20</f>
        <v>864</v>
      </c>
      <c r="F20" s="5">
        <f>C20*D20</f>
        <v>864</v>
      </c>
      <c r="G20" s="5">
        <f>C20*D20</f>
        <v>864</v>
      </c>
      <c r="H20" s="5">
        <f>C20*D20</f>
        <v>864</v>
      </c>
      <c r="I20" s="5"/>
      <c r="J20" s="7">
        <v>32.5</v>
      </c>
      <c r="K20" s="7">
        <f t="shared" si="0"/>
        <v>112320</v>
      </c>
      <c r="L20" s="4"/>
      <c r="M20" s="4"/>
      <c r="N20" s="7"/>
      <c r="O20" s="7">
        <f t="shared" si="1"/>
        <v>1623180</v>
      </c>
      <c r="P20" s="52" t="s">
        <v>77</v>
      </c>
    </row>
    <row r="21" spans="1:16" x14ac:dyDescent="0.25">
      <c r="A21" s="4"/>
      <c r="B21" s="5">
        <v>144</v>
      </c>
      <c r="C21" s="5">
        <v>72</v>
      </c>
      <c r="D21" s="5">
        <v>12</v>
      </c>
      <c r="E21" s="5"/>
      <c r="F21" s="5">
        <f>C21*D21</f>
        <v>864</v>
      </c>
      <c r="G21" s="5">
        <f>C21*D21</f>
        <v>864</v>
      </c>
      <c r="H21" s="5"/>
      <c r="I21" s="5"/>
      <c r="J21" s="53">
        <v>34</v>
      </c>
      <c r="K21" s="7">
        <f t="shared" si="0"/>
        <v>58752</v>
      </c>
      <c r="L21" s="4"/>
      <c r="M21" s="4"/>
      <c r="N21" s="7"/>
      <c r="O21" s="7">
        <f t="shared" si="1"/>
        <v>1681932</v>
      </c>
      <c r="P21" s="52" t="s">
        <v>78</v>
      </c>
    </row>
    <row r="22" spans="1:16" x14ac:dyDescent="0.25">
      <c r="A22" s="4"/>
      <c r="B22" s="5">
        <v>288</v>
      </c>
      <c r="C22" s="5">
        <v>144</v>
      </c>
      <c r="D22" s="5">
        <v>12</v>
      </c>
      <c r="E22" s="5"/>
      <c r="F22" s="5">
        <f>C22*D22</f>
        <v>1728</v>
      </c>
      <c r="G22" s="5">
        <f>C22*D22</f>
        <v>1728</v>
      </c>
      <c r="H22" s="5"/>
      <c r="I22" s="5"/>
      <c r="J22" s="7">
        <v>32.5</v>
      </c>
      <c r="K22" s="7">
        <f t="shared" si="0"/>
        <v>112320</v>
      </c>
      <c r="L22" s="4"/>
      <c r="M22" s="4"/>
      <c r="N22" s="7"/>
      <c r="O22" s="7">
        <f t="shared" si="1"/>
        <v>1794252</v>
      </c>
      <c r="P22" s="52" t="s">
        <v>79</v>
      </c>
    </row>
    <row r="23" spans="1:16" x14ac:dyDescent="0.25">
      <c r="A23" s="4"/>
      <c r="B23" s="5">
        <v>288</v>
      </c>
      <c r="C23" s="5">
        <v>144</v>
      </c>
      <c r="D23" s="5">
        <v>12</v>
      </c>
      <c r="E23" s="5">
        <f>C23*D23</f>
        <v>1728</v>
      </c>
      <c r="F23" s="5">
        <f>C23*D23</f>
        <v>1728</v>
      </c>
      <c r="G23" s="5"/>
      <c r="H23" s="5"/>
      <c r="I23" s="5"/>
      <c r="J23" s="7">
        <v>32.5</v>
      </c>
      <c r="K23" s="7">
        <f t="shared" si="0"/>
        <v>112320</v>
      </c>
      <c r="L23" s="4"/>
      <c r="M23" s="4"/>
      <c r="N23" s="7"/>
      <c r="O23" s="7">
        <f t="shared" si="1"/>
        <v>1906572</v>
      </c>
      <c r="P23" s="52" t="s">
        <v>80</v>
      </c>
    </row>
    <row r="24" spans="1:16" x14ac:dyDescent="0.25">
      <c r="A24" s="4"/>
      <c r="B24" s="5">
        <v>288</v>
      </c>
      <c r="C24" s="5">
        <v>72</v>
      </c>
      <c r="D24" s="5">
        <v>12</v>
      </c>
      <c r="E24" s="5">
        <f>C24*D24</f>
        <v>864</v>
      </c>
      <c r="F24" s="5">
        <f>C24*D24</f>
        <v>864</v>
      </c>
      <c r="G24" s="5">
        <f>C24*D24</f>
        <v>864</v>
      </c>
      <c r="H24" s="5">
        <f>C24*D24</f>
        <v>864</v>
      </c>
      <c r="I24" s="5"/>
      <c r="J24" s="7">
        <v>32.5</v>
      </c>
      <c r="K24" s="7">
        <f t="shared" si="0"/>
        <v>112320</v>
      </c>
      <c r="L24" s="4"/>
      <c r="M24" s="4"/>
      <c r="N24" s="7"/>
      <c r="O24" s="7">
        <f t="shared" si="1"/>
        <v>2018892</v>
      </c>
    </row>
    <row r="25" spans="1:16" x14ac:dyDescent="0.25">
      <c r="A25" s="9">
        <v>45714</v>
      </c>
      <c r="B25" s="5">
        <v>648</v>
      </c>
      <c r="C25" s="5">
        <v>216</v>
      </c>
      <c r="D25" s="5">
        <v>12</v>
      </c>
      <c r="E25" s="5">
        <f>C25*D25</f>
        <v>2592</v>
      </c>
      <c r="F25" s="5"/>
      <c r="G25" s="5">
        <f>C25*D25</f>
        <v>2592</v>
      </c>
      <c r="H25" s="5">
        <f>C25*D25</f>
        <v>2592</v>
      </c>
      <c r="I25" s="5"/>
      <c r="J25" s="7">
        <v>32.5</v>
      </c>
      <c r="K25" s="7">
        <f t="shared" si="0"/>
        <v>252720</v>
      </c>
      <c r="L25" s="4"/>
      <c r="M25" s="4"/>
      <c r="N25" s="7"/>
      <c r="O25" s="7">
        <f t="shared" si="1"/>
        <v>2271612</v>
      </c>
    </row>
    <row r="26" spans="1:16" x14ac:dyDescent="0.25">
      <c r="A26" s="4"/>
      <c r="B26" s="5">
        <v>288</v>
      </c>
      <c r="C26" s="5"/>
      <c r="D26" s="5">
        <v>12</v>
      </c>
      <c r="E26" s="5"/>
      <c r="F26" s="5">
        <f>B26*D26</f>
        <v>3456</v>
      </c>
      <c r="G26" s="5"/>
      <c r="H26" s="5"/>
      <c r="I26" s="5"/>
      <c r="J26" s="7">
        <v>32.5</v>
      </c>
      <c r="K26" s="7">
        <f t="shared" si="0"/>
        <v>112320</v>
      </c>
      <c r="L26" s="4"/>
      <c r="M26" s="4"/>
      <c r="N26" s="7"/>
      <c r="O26" s="7">
        <f t="shared" si="1"/>
        <v>2383932</v>
      </c>
    </row>
    <row r="27" spans="1:16" x14ac:dyDescent="0.25">
      <c r="A27" s="9">
        <v>45715</v>
      </c>
      <c r="B27" s="5">
        <v>288</v>
      </c>
      <c r="C27" s="5">
        <v>72</v>
      </c>
      <c r="D27" s="5">
        <v>12</v>
      </c>
      <c r="E27" s="5">
        <f>C27*D27</f>
        <v>864</v>
      </c>
      <c r="F27" s="5">
        <f>C27*D27</f>
        <v>864</v>
      </c>
      <c r="G27" s="5">
        <f>C27*D27</f>
        <v>864</v>
      </c>
      <c r="H27" s="5">
        <f>C27*D27</f>
        <v>864</v>
      </c>
      <c r="I27" s="5"/>
      <c r="J27" s="53">
        <v>34</v>
      </c>
      <c r="K27" s="7">
        <f t="shared" si="0"/>
        <v>117504</v>
      </c>
      <c r="L27" s="4"/>
      <c r="M27" s="4"/>
      <c r="N27" s="7"/>
      <c r="O27" s="7">
        <f t="shared" si="1"/>
        <v>2501436</v>
      </c>
    </row>
    <row r="28" spans="1:16" x14ac:dyDescent="0.25">
      <c r="A28" s="4"/>
      <c r="B28" s="5">
        <v>288</v>
      </c>
      <c r="C28" s="5">
        <v>144</v>
      </c>
      <c r="D28" s="5">
        <v>12</v>
      </c>
      <c r="E28" s="5"/>
      <c r="F28" s="5">
        <f>C28*D28</f>
        <v>1728</v>
      </c>
      <c r="G28" s="5">
        <f>C28*D28</f>
        <v>1728</v>
      </c>
      <c r="H28" s="5"/>
      <c r="I28" s="5"/>
      <c r="J28" s="7">
        <v>32.5</v>
      </c>
      <c r="K28" s="7">
        <f t="shared" si="0"/>
        <v>112320</v>
      </c>
      <c r="L28" s="4"/>
      <c r="M28" s="4"/>
      <c r="N28" s="7"/>
      <c r="O28" s="7">
        <f t="shared" si="1"/>
        <v>2613756</v>
      </c>
    </row>
    <row r="29" spans="1:16" x14ac:dyDescent="0.25">
      <c r="A29" s="4"/>
      <c r="B29" s="5">
        <v>288</v>
      </c>
      <c r="C29" s="5">
        <v>144</v>
      </c>
      <c r="D29" s="5">
        <v>12</v>
      </c>
      <c r="E29" s="5">
        <f>C29*D29</f>
        <v>1728</v>
      </c>
      <c r="F29" s="5"/>
      <c r="G29" s="5"/>
      <c r="H29" s="5">
        <f>C29*D29</f>
        <v>1728</v>
      </c>
      <c r="I29" s="5"/>
      <c r="J29" s="7">
        <v>32.5</v>
      </c>
      <c r="K29" s="7">
        <f t="shared" si="0"/>
        <v>112320</v>
      </c>
      <c r="L29" s="4"/>
      <c r="M29" s="4"/>
      <c r="N29" s="7"/>
      <c r="O29" s="7">
        <f t="shared" si="1"/>
        <v>2726076</v>
      </c>
    </row>
    <row r="30" spans="1:16" x14ac:dyDescent="0.25">
      <c r="A30" s="4"/>
      <c r="B30" s="5">
        <v>144</v>
      </c>
      <c r="C30" s="5">
        <v>72</v>
      </c>
      <c r="D30" s="5">
        <v>12</v>
      </c>
      <c r="E30" s="5">
        <f>C30*D30</f>
        <v>864</v>
      </c>
      <c r="F30" s="5">
        <f>C30*D30</f>
        <v>864</v>
      </c>
      <c r="G30" s="5"/>
      <c r="H30" s="5"/>
      <c r="I30" s="5"/>
      <c r="J30" s="7">
        <v>32.5</v>
      </c>
      <c r="K30" s="7">
        <f t="shared" si="0"/>
        <v>56160</v>
      </c>
      <c r="L30" s="4"/>
      <c r="M30" s="4"/>
      <c r="N30" s="7"/>
      <c r="O30" s="7">
        <f t="shared" si="1"/>
        <v>2782236</v>
      </c>
    </row>
    <row r="31" spans="1:16" x14ac:dyDescent="0.25">
      <c r="A31" s="4"/>
      <c r="B31" s="5">
        <v>144</v>
      </c>
      <c r="C31" s="5"/>
      <c r="D31" s="5">
        <v>12</v>
      </c>
      <c r="E31" s="5"/>
      <c r="F31" s="5"/>
      <c r="G31" s="5"/>
      <c r="H31" s="5">
        <f>B31*D31</f>
        <v>1728</v>
      </c>
      <c r="I31" s="5"/>
      <c r="J31" s="7">
        <v>32.5</v>
      </c>
      <c r="K31" s="7">
        <f t="shared" si="0"/>
        <v>56160</v>
      </c>
      <c r="L31" s="4"/>
      <c r="M31" s="4"/>
      <c r="N31" s="7"/>
      <c r="O31" s="7">
        <f t="shared" si="1"/>
        <v>2838396</v>
      </c>
    </row>
    <row r="32" spans="1:16" x14ac:dyDescent="0.25">
      <c r="A32" s="4"/>
      <c r="B32" s="5">
        <v>432</v>
      </c>
      <c r="C32" s="5">
        <v>144</v>
      </c>
      <c r="D32" s="5">
        <v>12</v>
      </c>
      <c r="E32" s="5">
        <f>C32*D32</f>
        <v>1728</v>
      </c>
      <c r="F32" s="5"/>
      <c r="G32" s="5">
        <f>C32*D32</f>
        <v>1728</v>
      </c>
      <c r="H32" s="5">
        <f>C32*D32</f>
        <v>1728</v>
      </c>
      <c r="I32" s="5"/>
      <c r="J32" s="7">
        <v>32.5</v>
      </c>
      <c r="K32" s="7">
        <f t="shared" si="0"/>
        <v>168480</v>
      </c>
      <c r="L32" s="4"/>
      <c r="M32" s="4"/>
      <c r="N32" s="7"/>
      <c r="O32" s="7">
        <f t="shared" si="1"/>
        <v>3006876</v>
      </c>
    </row>
    <row r="33" spans="1:15" ht="16.5" thickBot="1" x14ac:dyDescent="0.3">
      <c r="A33" s="50"/>
      <c r="B33" s="49">
        <v>216</v>
      </c>
      <c r="C33" s="49"/>
      <c r="D33" s="49">
        <v>12</v>
      </c>
      <c r="E33" s="49"/>
      <c r="F33" s="49">
        <f>B33*D33</f>
        <v>2592</v>
      </c>
      <c r="G33" s="49"/>
      <c r="H33" s="49"/>
      <c r="I33" s="49"/>
      <c r="J33" s="108">
        <v>32.5</v>
      </c>
      <c r="K33" s="108">
        <f t="shared" si="0"/>
        <v>84240</v>
      </c>
      <c r="L33" s="4"/>
      <c r="M33" s="4"/>
      <c r="N33" s="7"/>
      <c r="O33" s="7">
        <f t="shared" si="1"/>
        <v>3091116</v>
      </c>
    </row>
    <row r="34" spans="1:15" x14ac:dyDescent="0.25">
      <c r="A34" s="131">
        <v>45720</v>
      </c>
      <c r="B34" s="152">
        <v>0</v>
      </c>
      <c r="C34" s="132"/>
      <c r="D34" s="132">
        <v>12</v>
      </c>
      <c r="E34" s="132">
        <f>B34*D34</f>
        <v>0</v>
      </c>
      <c r="F34" s="132"/>
      <c r="G34" s="132"/>
      <c r="H34" s="132"/>
      <c r="I34" s="132"/>
      <c r="J34" s="136">
        <v>32.5</v>
      </c>
      <c r="K34" s="139">
        <f t="shared" si="0"/>
        <v>0</v>
      </c>
      <c r="L34" s="68"/>
      <c r="M34" s="4"/>
      <c r="N34" s="7"/>
      <c r="O34" s="7">
        <f t="shared" si="1"/>
        <v>3091116</v>
      </c>
    </row>
    <row r="35" spans="1:15" x14ac:dyDescent="0.25">
      <c r="A35" s="133"/>
      <c r="B35" s="153">
        <v>0</v>
      </c>
      <c r="C35" s="130"/>
      <c r="D35" s="130">
        <v>12</v>
      </c>
      <c r="E35" s="130"/>
      <c r="F35" s="130">
        <f>B35*D35</f>
        <v>0</v>
      </c>
      <c r="G35" s="130"/>
      <c r="H35" s="130"/>
      <c r="I35" s="130"/>
      <c r="J35" s="137">
        <v>32.5</v>
      </c>
      <c r="K35" s="140">
        <f t="shared" si="0"/>
        <v>0</v>
      </c>
      <c r="L35" s="68"/>
      <c r="M35" s="4"/>
      <c r="N35" s="7"/>
      <c r="O35" s="7">
        <f t="shared" si="1"/>
        <v>3091116</v>
      </c>
    </row>
    <row r="36" spans="1:15" x14ac:dyDescent="0.25">
      <c r="A36" s="133"/>
      <c r="B36" s="130">
        <v>216</v>
      </c>
      <c r="C36" s="130"/>
      <c r="D36" s="130">
        <v>12</v>
      </c>
      <c r="E36" s="130"/>
      <c r="F36" s="130"/>
      <c r="G36" s="130">
        <f>B36*D36</f>
        <v>2592</v>
      </c>
      <c r="H36" s="130"/>
      <c r="I36" s="130"/>
      <c r="J36" s="137">
        <v>32.5</v>
      </c>
      <c r="K36" s="140">
        <f t="shared" si="0"/>
        <v>84240</v>
      </c>
      <c r="L36" s="68"/>
      <c r="M36" s="4"/>
      <c r="N36" s="7"/>
      <c r="O36" s="7">
        <f t="shared" si="1"/>
        <v>3175356</v>
      </c>
    </row>
    <row r="37" spans="1:15" x14ac:dyDescent="0.25">
      <c r="A37" s="133"/>
      <c r="B37" s="130">
        <v>144</v>
      </c>
      <c r="C37" s="130"/>
      <c r="D37" s="130">
        <v>12</v>
      </c>
      <c r="E37" s="130"/>
      <c r="F37" s="130"/>
      <c r="G37" s="130"/>
      <c r="H37" s="130">
        <f>B37*D37</f>
        <v>1728</v>
      </c>
      <c r="I37" s="130"/>
      <c r="J37" s="137">
        <v>32.5</v>
      </c>
      <c r="K37" s="140">
        <f t="shared" si="0"/>
        <v>56160</v>
      </c>
      <c r="L37" s="68"/>
      <c r="M37" s="4"/>
      <c r="N37" s="7"/>
      <c r="O37" s="7">
        <f t="shared" si="1"/>
        <v>3231516</v>
      </c>
    </row>
    <row r="38" spans="1:15" x14ac:dyDescent="0.25">
      <c r="A38" s="133"/>
      <c r="B38" s="130">
        <v>216</v>
      </c>
      <c r="C38" s="130"/>
      <c r="D38" s="130">
        <v>12</v>
      </c>
      <c r="E38" s="130"/>
      <c r="F38" s="130"/>
      <c r="G38" s="130">
        <f>B38*D38</f>
        <v>2592</v>
      </c>
      <c r="H38" s="130"/>
      <c r="I38" s="130"/>
      <c r="J38" s="137">
        <v>32.5</v>
      </c>
      <c r="K38" s="140">
        <f t="shared" si="0"/>
        <v>84240</v>
      </c>
      <c r="L38" s="68"/>
      <c r="M38" s="4"/>
      <c r="N38" s="7"/>
      <c r="O38" s="7">
        <f t="shared" si="1"/>
        <v>3315756</v>
      </c>
    </row>
    <row r="39" spans="1:15" x14ac:dyDescent="0.25">
      <c r="A39" s="133"/>
      <c r="B39" s="130">
        <v>216</v>
      </c>
      <c r="C39" s="130"/>
      <c r="D39" s="130">
        <v>12</v>
      </c>
      <c r="E39" s="130"/>
      <c r="F39" s="130"/>
      <c r="G39" s="130"/>
      <c r="H39" s="130">
        <f>B39*D39</f>
        <v>2592</v>
      </c>
      <c r="I39" s="130"/>
      <c r="J39" s="137">
        <v>32.5</v>
      </c>
      <c r="K39" s="140">
        <f t="shared" si="0"/>
        <v>84240</v>
      </c>
      <c r="L39" s="68"/>
      <c r="M39" s="4"/>
      <c r="N39" s="7"/>
      <c r="O39" s="7">
        <f t="shared" si="1"/>
        <v>3399996</v>
      </c>
    </row>
    <row r="40" spans="1:15" ht="16.5" thickBot="1" x14ac:dyDescent="0.3">
      <c r="A40" s="133"/>
      <c r="B40" s="130">
        <v>216</v>
      </c>
      <c r="C40" s="130"/>
      <c r="D40" s="130">
        <v>12</v>
      </c>
      <c r="E40" s="130">
        <f>B40*D40</f>
        <v>2592</v>
      </c>
      <c r="F40" s="130"/>
      <c r="G40" s="130"/>
      <c r="H40" s="130"/>
      <c r="I40" s="130"/>
      <c r="J40" s="137">
        <v>32.5</v>
      </c>
      <c r="K40" s="141">
        <f t="shared" si="0"/>
        <v>84240</v>
      </c>
      <c r="L40" s="68"/>
      <c r="M40" s="4"/>
      <c r="N40" s="7"/>
      <c r="O40" s="7">
        <f t="shared" si="1"/>
        <v>3484236</v>
      </c>
    </row>
    <row r="41" spans="1:15" x14ac:dyDescent="0.25">
      <c r="A41" s="76">
        <v>45721</v>
      </c>
      <c r="B41" s="5">
        <v>216</v>
      </c>
      <c r="C41" s="130">
        <v>216</v>
      </c>
      <c r="D41" s="5">
        <v>12</v>
      </c>
      <c r="E41" s="5">
        <f>C41*D41</f>
        <v>2592</v>
      </c>
      <c r="F41" s="5"/>
      <c r="G41" s="5"/>
      <c r="H41" s="5"/>
      <c r="I41" s="5"/>
      <c r="J41" s="142">
        <v>32.5</v>
      </c>
      <c r="K41" s="69">
        <f t="shared" si="0"/>
        <v>84240</v>
      </c>
      <c r="L41" s="68"/>
      <c r="M41" s="4"/>
      <c r="N41" s="7"/>
      <c r="O41" s="7">
        <f t="shared" si="1"/>
        <v>3568476</v>
      </c>
    </row>
    <row r="42" spans="1:15" x14ac:dyDescent="0.25">
      <c r="A42" s="114"/>
      <c r="B42" s="130">
        <v>0</v>
      </c>
      <c r="C42" s="130">
        <v>0</v>
      </c>
      <c r="D42" s="116">
        <v>12</v>
      </c>
      <c r="E42" s="124"/>
      <c r="F42" s="5">
        <f>C42*D42</f>
        <v>0</v>
      </c>
      <c r="G42" s="5"/>
      <c r="H42" s="5"/>
      <c r="I42" s="125"/>
      <c r="J42" s="143">
        <v>32.5</v>
      </c>
      <c r="K42" s="144">
        <f t="shared" si="0"/>
        <v>0</v>
      </c>
      <c r="L42" s="68"/>
      <c r="M42" s="4"/>
      <c r="N42" s="7"/>
      <c r="O42" s="7">
        <f t="shared" si="1"/>
        <v>3568476</v>
      </c>
    </row>
    <row r="43" spans="1:15" x14ac:dyDescent="0.25">
      <c r="A43" s="114"/>
      <c r="B43" s="5">
        <v>216</v>
      </c>
      <c r="C43" s="5">
        <v>216</v>
      </c>
      <c r="D43" s="116">
        <v>12</v>
      </c>
      <c r="E43" s="124"/>
      <c r="F43" s="5"/>
      <c r="G43" s="5">
        <f>C43*D43</f>
        <v>2592</v>
      </c>
      <c r="H43" s="5"/>
      <c r="I43" s="125"/>
      <c r="J43" s="143">
        <v>32.5</v>
      </c>
      <c r="K43" s="144">
        <f t="shared" si="0"/>
        <v>84240</v>
      </c>
      <c r="L43" s="68"/>
      <c r="M43" s="4"/>
      <c r="N43" s="7"/>
      <c r="O43" s="7">
        <f t="shared" si="1"/>
        <v>3652716</v>
      </c>
    </row>
    <row r="44" spans="1:15" ht="16.5" thickBot="1" x14ac:dyDescent="0.3">
      <c r="A44" s="114"/>
      <c r="B44" s="5">
        <v>216</v>
      </c>
      <c r="C44" s="130">
        <v>216</v>
      </c>
      <c r="D44" s="116">
        <v>12</v>
      </c>
      <c r="E44" s="124"/>
      <c r="F44" s="5"/>
      <c r="G44" s="5"/>
      <c r="H44" s="5">
        <f>C44*D44</f>
        <v>2592</v>
      </c>
      <c r="I44" s="125"/>
      <c r="J44" s="143">
        <v>32.5</v>
      </c>
      <c r="K44" s="70">
        <f t="shared" si="0"/>
        <v>84240</v>
      </c>
      <c r="L44" s="68"/>
      <c r="M44" s="4"/>
      <c r="N44" s="7"/>
      <c r="O44" s="7">
        <f t="shared" si="1"/>
        <v>3736956</v>
      </c>
    </row>
    <row r="45" spans="1:15" x14ac:dyDescent="0.25">
      <c r="A45" s="76">
        <v>45723</v>
      </c>
      <c r="B45" s="5">
        <v>144</v>
      </c>
      <c r="C45" s="5"/>
      <c r="D45" s="116">
        <v>12</v>
      </c>
      <c r="E45" s="124"/>
      <c r="F45" s="5">
        <f>B45*D45</f>
        <v>1728</v>
      </c>
      <c r="G45" s="5"/>
      <c r="H45" s="5"/>
      <c r="I45" s="125"/>
      <c r="J45" s="143">
        <v>32.5</v>
      </c>
      <c r="K45" s="69">
        <f t="shared" si="0"/>
        <v>56160</v>
      </c>
      <c r="L45" s="68"/>
      <c r="M45" s="4"/>
      <c r="N45" s="7"/>
      <c r="O45" s="7">
        <f t="shared" si="1"/>
        <v>3793116</v>
      </c>
    </row>
    <row r="46" spans="1:15" x14ac:dyDescent="0.25">
      <c r="A46" s="114"/>
      <c r="B46" s="5">
        <v>144</v>
      </c>
      <c r="C46" s="5"/>
      <c r="D46" s="116">
        <v>12</v>
      </c>
      <c r="E46" s="124"/>
      <c r="F46" s="5"/>
      <c r="G46" s="5">
        <f>B46*D46</f>
        <v>1728</v>
      </c>
      <c r="H46" s="5"/>
      <c r="I46" s="125"/>
      <c r="J46" s="143">
        <v>32.5</v>
      </c>
      <c r="K46" s="144">
        <f t="shared" si="0"/>
        <v>56160</v>
      </c>
      <c r="L46" s="68"/>
      <c r="M46" s="4"/>
      <c r="N46" s="7"/>
      <c r="O46" s="7">
        <f t="shared" si="1"/>
        <v>3849276</v>
      </c>
    </row>
    <row r="47" spans="1:15" x14ac:dyDescent="0.25">
      <c r="A47" s="114"/>
      <c r="B47" s="5">
        <v>144</v>
      </c>
      <c r="C47" s="5"/>
      <c r="D47" s="116">
        <v>12</v>
      </c>
      <c r="E47" s="124">
        <f>B47*D47</f>
        <v>1728</v>
      </c>
      <c r="F47" s="5"/>
      <c r="G47" s="5"/>
      <c r="H47" s="5"/>
      <c r="I47" s="125"/>
      <c r="J47" s="143">
        <v>32.5</v>
      </c>
      <c r="K47" s="144">
        <f t="shared" si="0"/>
        <v>56160</v>
      </c>
      <c r="L47" s="68"/>
      <c r="M47" s="4"/>
      <c r="N47" s="7"/>
      <c r="O47" s="7">
        <f t="shared" si="1"/>
        <v>3905436</v>
      </c>
    </row>
    <row r="48" spans="1:15" x14ac:dyDescent="0.25">
      <c r="A48" s="114"/>
      <c r="B48" s="5">
        <v>144</v>
      </c>
      <c r="C48" s="5"/>
      <c r="D48" s="116">
        <v>12</v>
      </c>
      <c r="E48" s="124"/>
      <c r="F48" s="5"/>
      <c r="G48" s="5"/>
      <c r="H48" s="5">
        <f>B48*D48</f>
        <v>1728</v>
      </c>
      <c r="I48" s="125"/>
      <c r="J48" s="143">
        <v>32.5</v>
      </c>
      <c r="K48" s="144">
        <f t="shared" si="0"/>
        <v>56160</v>
      </c>
      <c r="L48" s="68"/>
      <c r="M48" s="4"/>
      <c r="N48" s="7"/>
      <c r="O48" s="7">
        <f t="shared" si="1"/>
        <v>3961596</v>
      </c>
    </row>
    <row r="49" spans="1:15" x14ac:dyDescent="0.25">
      <c r="A49" s="114"/>
      <c r="B49" s="5">
        <v>72</v>
      </c>
      <c r="C49" s="5"/>
      <c r="D49" s="116">
        <v>12</v>
      </c>
      <c r="E49" s="124"/>
      <c r="F49" s="5">
        <f>B49*D49</f>
        <v>864</v>
      </c>
      <c r="G49" s="5"/>
      <c r="H49" s="5"/>
      <c r="I49" s="125"/>
      <c r="J49" s="145">
        <v>34</v>
      </c>
      <c r="K49" s="144">
        <f t="shared" si="0"/>
        <v>29376</v>
      </c>
      <c r="L49" s="68"/>
      <c r="M49" s="4"/>
      <c r="N49" s="7"/>
      <c r="O49" s="7">
        <f t="shared" si="1"/>
        <v>3990972</v>
      </c>
    </row>
    <row r="50" spans="1:15" x14ac:dyDescent="0.25">
      <c r="A50" s="114"/>
      <c r="B50" s="5">
        <v>72</v>
      </c>
      <c r="C50" s="5"/>
      <c r="D50" s="116">
        <v>12</v>
      </c>
      <c r="E50" s="124">
        <f>B50*D50</f>
        <v>864</v>
      </c>
      <c r="F50" s="5"/>
      <c r="G50" s="5"/>
      <c r="H50" s="5"/>
      <c r="I50" s="125"/>
      <c r="J50" s="146">
        <v>34</v>
      </c>
      <c r="K50" s="144">
        <f t="shared" si="0"/>
        <v>29376</v>
      </c>
      <c r="L50" s="68"/>
      <c r="M50" s="4"/>
      <c r="N50" s="7"/>
      <c r="O50" s="7">
        <f t="shared" si="1"/>
        <v>4020348</v>
      </c>
    </row>
    <row r="51" spans="1:15" x14ac:dyDescent="0.25">
      <c r="A51" s="114"/>
      <c r="B51" s="5">
        <v>72</v>
      </c>
      <c r="C51" s="5"/>
      <c r="D51" s="116">
        <v>12</v>
      </c>
      <c r="E51" s="124"/>
      <c r="F51" s="5"/>
      <c r="G51" s="5"/>
      <c r="H51" s="5">
        <f>B51*D51</f>
        <v>864</v>
      </c>
      <c r="I51" s="125"/>
      <c r="J51" s="146">
        <v>34</v>
      </c>
      <c r="K51" s="144">
        <f t="shared" si="0"/>
        <v>29376</v>
      </c>
      <c r="L51" s="68"/>
      <c r="M51" s="4"/>
      <c r="N51" s="7"/>
      <c r="O51" s="7">
        <f t="shared" si="1"/>
        <v>4049724</v>
      </c>
    </row>
    <row r="52" spans="1:15" x14ac:dyDescent="0.25">
      <c r="A52" s="114"/>
      <c r="B52" s="5">
        <v>72</v>
      </c>
      <c r="C52" s="5"/>
      <c r="D52" s="116">
        <v>12</v>
      </c>
      <c r="E52" s="124"/>
      <c r="F52" s="5"/>
      <c r="G52" s="5">
        <f>B52*D52</f>
        <v>864</v>
      </c>
      <c r="H52" s="5"/>
      <c r="I52" s="125"/>
      <c r="J52" s="146">
        <v>34</v>
      </c>
      <c r="K52" s="144">
        <f t="shared" si="0"/>
        <v>29376</v>
      </c>
      <c r="L52" s="68"/>
      <c r="M52" s="4"/>
      <c r="N52" s="7"/>
      <c r="O52" s="7">
        <f t="shared" si="1"/>
        <v>4079100</v>
      </c>
    </row>
    <row r="53" spans="1:15" x14ac:dyDescent="0.25">
      <c r="A53" s="114"/>
      <c r="B53" s="5">
        <v>288</v>
      </c>
      <c r="C53" s="5"/>
      <c r="D53" s="116">
        <v>12</v>
      </c>
      <c r="E53" s="124"/>
      <c r="F53" s="5">
        <f>B53*D53</f>
        <v>3456</v>
      </c>
      <c r="G53" s="5"/>
      <c r="H53" s="5"/>
      <c r="I53" s="125"/>
      <c r="J53" s="143">
        <v>32.5</v>
      </c>
      <c r="K53" s="144">
        <f t="shared" si="0"/>
        <v>112320</v>
      </c>
      <c r="L53" s="68"/>
      <c r="M53" s="4"/>
      <c r="N53" s="7"/>
      <c r="O53" s="7">
        <f t="shared" si="1"/>
        <v>4191420</v>
      </c>
    </row>
    <row r="54" spans="1:15" x14ac:dyDescent="0.25">
      <c r="A54" s="114"/>
      <c r="B54" s="5">
        <v>144</v>
      </c>
      <c r="C54" s="5"/>
      <c r="D54" s="116">
        <v>12</v>
      </c>
      <c r="E54" s="124"/>
      <c r="F54" s="5"/>
      <c r="G54" s="5"/>
      <c r="H54" s="5">
        <f>B54*D54</f>
        <v>1728</v>
      </c>
      <c r="I54" s="125"/>
      <c r="J54" s="143">
        <v>32.5</v>
      </c>
      <c r="K54" s="144">
        <f t="shared" si="0"/>
        <v>56160</v>
      </c>
      <c r="L54" s="68"/>
      <c r="M54" s="4"/>
      <c r="N54" s="7"/>
      <c r="O54" s="7">
        <f t="shared" si="1"/>
        <v>4247580</v>
      </c>
    </row>
    <row r="55" spans="1:15" ht="16.5" thickBot="1" x14ac:dyDescent="0.3">
      <c r="A55" s="78"/>
      <c r="B55" s="26">
        <v>144</v>
      </c>
      <c r="C55" s="26"/>
      <c r="D55" s="117">
        <v>12</v>
      </c>
      <c r="E55" s="126"/>
      <c r="F55" s="26"/>
      <c r="G55" s="26">
        <f>B55*D55</f>
        <v>1728</v>
      </c>
      <c r="H55" s="26"/>
      <c r="I55" s="127"/>
      <c r="J55" s="147">
        <v>32.5</v>
      </c>
      <c r="K55" s="70">
        <f t="shared" si="0"/>
        <v>56160</v>
      </c>
      <c r="L55" s="68"/>
      <c r="M55" s="4"/>
      <c r="N55" s="7"/>
      <c r="O55" s="7">
        <f t="shared" si="1"/>
        <v>4303740</v>
      </c>
    </row>
    <row r="56" spans="1:15" ht="16.5" thickBot="1" x14ac:dyDescent="0.3">
      <c r="A56" s="72">
        <v>45727</v>
      </c>
      <c r="B56" s="74">
        <v>1152</v>
      </c>
      <c r="C56" s="74">
        <v>288</v>
      </c>
      <c r="D56" s="123">
        <v>12</v>
      </c>
      <c r="E56" s="122">
        <f>C56*D56</f>
        <v>3456</v>
      </c>
      <c r="F56" s="74">
        <f>C56*D56</f>
        <v>3456</v>
      </c>
      <c r="G56" s="74">
        <f>C56*D56</f>
        <v>3456</v>
      </c>
      <c r="H56" s="74">
        <f>C56*D56</f>
        <v>3456</v>
      </c>
      <c r="I56" s="123"/>
      <c r="J56" s="148">
        <v>32.5</v>
      </c>
      <c r="K56" s="149">
        <f t="shared" si="0"/>
        <v>449280</v>
      </c>
      <c r="L56" s="68"/>
      <c r="M56" s="4"/>
      <c r="N56" s="7"/>
      <c r="O56" s="7">
        <f t="shared" si="1"/>
        <v>4753020</v>
      </c>
    </row>
    <row r="57" spans="1:15" x14ac:dyDescent="0.25">
      <c r="A57" s="76"/>
      <c r="B57" s="5"/>
      <c r="C57" s="5"/>
      <c r="D57" s="125"/>
      <c r="E57" s="124"/>
      <c r="F57" s="5"/>
      <c r="G57" s="5"/>
      <c r="H57" s="5"/>
      <c r="I57" s="125"/>
      <c r="J57" s="129"/>
      <c r="K57" s="138">
        <f t="shared" si="0"/>
        <v>0</v>
      </c>
      <c r="L57" s="67">
        <v>45729</v>
      </c>
      <c r="M57" s="4" t="s">
        <v>11</v>
      </c>
      <c r="N57" s="7">
        <v>449280</v>
      </c>
      <c r="O57" s="7">
        <f t="shared" si="1"/>
        <v>4303740</v>
      </c>
    </row>
    <row r="58" spans="1:15" x14ac:dyDescent="0.25">
      <c r="A58" s="76">
        <v>45730</v>
      </c>
      <c r="B58" s="5">
        <v>576</v>
      </c>
      <c r="C58" s="5">
        <v>288</v>
      </c>
      <c r="D58" s="125">
        <v>12</v>
      </c>
      <c r="E58" s="124"/>
      <c r="F58" s="5">
        <f>C58*D58</f>
        <v>3456</v>
      </c>
      <c r="G58" s="5">
        <f>C58*D58</f>
        <v>3456</v>
      </c>
      <c r="H58" s="5"/>
      <c r="I58" s="125"/>
      <c r="J58" s="129">
        <v>32.5</v>
      </c>
      <c r="K58" s="77">
        <f t="shared" si="0"/>
        <v>224640</v>
      </c>
      <c r="L58" s="68"/>
      <c r="M58" s="4"/>
      <c r="N58" s="7"/>
      <c r="O58" s="7">
        <f t="shared" si="1"/>
        <v>4528380</v>
      </c>
    </row>
    <row r="59" spans="1:15" x14ac:dyDescent="0.25">
      <c r="A59" s="76"/>
      <c r="B59" s="5">
        <v>576</v>
      </c>
      <c r="C59" s="5">
        <v>288</v>
      </c>
      <c r="D59" s="125">
        <v>12</v>
      </c>
      <c r="E59" s="124">
        <f>C59*D59</f>
        <v>3456</v>
      </c>
      <c r="F59" s="5"/>
      <c r="G59" s="5">
        <f>C59*D59</f>
        <v>3456</v>
      </c>
      <c r="H59" s="5"/>
      <c r="I59" s="125"/>
      <c r="J59" s="129">
        <v>32.5</v>
      </c>
      <c r="K59" s="77">
        <f t="shared" si="0"/>
        <v>224640</v>
      </c>
      <c r="L59" s="68"/>
      <c r="M59" s="4"/>
      <c r="N59" s="7"/>
      <c r="O59" s="7">
        <f t="shared" si="1"/>
        <v>4753020</v>
      </c>
    </row>
    <row r="60" spans="1:15" x14ac:dyDescent="0.25">
      <c r="A60" s="76"/>
      <c r="B60" s="134">
        <v>0</v>
      </c>
      <c r="C60" s="134">
        <v>0</v>
      </c>
      <c r="D60" s="125">
        <v>12</v>
      </c>
      <c r="E60" s="124">
        <f>C60*D60</f>
        <v>0</v>
      </c>
      <c r="F60" s="5"/>
      <c r="G60" s="5"/>
      <c r="H60" s="5"/>
      <c r="I60" s="125"/>
      <c r="J60" s="129">
        <v>32.5</v>
      </c>
      <c r="K60" s="77">
        <f t="shared" si="0"/>
        <v>0</v>
      </c>
      <c r="L60" s="68"/>
      <c r="M60" s="4"/>
      <c r="N60" s="7"/>
      <c r="O60" s="7">
        <f t="shared" si="1"/>
        <v>4753020</v>
      </c>
    </row>
    <row r="61" spans="1:15" ht="16.5" thickBot="1" x14ac:dyDescent="0.3">
      <c r="A61" s="128"/>
      <c r="B61" s="26">
        <v>1152</v>
      </c>
      <c r="C61" s="26">
        <v>288</v>
      </c>
      <c r="D61" s="127">
        <v>12</v>
      </c>
      <c r="E61" s="126">
        <f>C61*D61</f>
        <v>3456</v>
      </c>
      <c r="F61" s="26">
        <f>C61*D61</f>
        <v>3456</v>
      </c>
      <c r="G61" s="26">
        <f>C61*D61</f>
        <v>3456</v>
      </c>
      <c r="H61" s="26">
        <f>C61*D61</f>
        <v>3456</v>
      </c>
      <c r="I61" s="127"/>
      <c r="J61" s="150">
        <v>35</v>
      </c>
      <c r="K61" s="79">
        <f t="shared" si="0"/>
        <v>483840</v>
      </c>
      <c r="L61" s="68"/>
      <c r="M61" s="4"/>
      <c r="N61" s="7"/>
      <c r="O61" s="7">
        <f t="shared" si="1"/>
        <v>5236860</v>
      </c>
    </row>
    <row r="62" spans="1:15" x14ac:dyDescent="0.25">
      <c r="A62" s="72">
        <v>45735</v>
      </c>
      <c r="B62" s="74">
        <v>576</v>
      </c>
      <c r="C62" s="74">
        <v>288</v>
      </c>
      <c r="D62" s="115">
        <v>12</v>
      </c>
      <c r="E62" s="122"/>
      <c r="F62" s="74">
        <f>C62*D62</f>
        <v>3456</v>
      </c>
      <c r="G62" s="74"/>
      <c r="H62" s="74">
        <f>C62*D62</f>
        <v>3456</v>
      </c>
      <c r="I62" s="123"/>
      <c r="J62" s="118">
        <v>32.5</v>
      </c>
      <c r="K62" s="75">
        <f t="shared" si="0"/>
        <v>224640</v>
      </c>
      <c r="L62" s="68"/>
      <c r="M62" s="4"/>
      <c r="N62" s="7"/>
      <c r="O62" s="7">
        <f t="shared" si="1"/>
        <v>5461500</v>
      </c>
    </row>
    <row r="63" spans="1:15" x14ac:dyDescent="0.25">
      <c r="A63" s="76"/>
      <c r="B63" s="5">
        <v>1152</v>
      </c>
      <c r="C63" s="5">
        <v>576</v>
      </c>
      <c r="D63" s="116">
        <v>12</v>
      </c>
      <c r="E63" s="124">
        <f>C63*D63</f>
        <v>6912</v>
      </c>
      <c r="F63" s="5"/>
      <c r="G63" s="5">
        <f>C63*D63</f>
        <v>6912</v>
      </c>
      <c r="H63" s="5"/>
      <c r="I63" s="125"/>
      <c r="J63" s="119">
        <v>32.5</v>
      </c>
      <c r="K63" s="77">
        <f t="shared" si="0"/>
        <v>449280</v>
      </c>
      <c r="L63" s="68"/>
      <c r="M63" s="4"/>
      <c r="N63" s="7"/>
      <c r="O63" s="7">
        <f t="shared" si="1"/>
        <v>5910780</v>
      </c>
    </row>
    <row r="64" spans="1:15" x14ac:dyDescent="0.25">
      <c r="A64" s="76"/>
      <c r="B64" s="5"/>
      <c r="C64" s="5"/>
      <c r="D64" s="116"/>
      <c r="E64" s="124"/>
      <c r="F64" s="5"/>
      <c r="G64" s="5"/>
      <c r="H64" s="5"/>
      <c r="I64" s="125"/>
      <c r="J64" s="119"/>
      <c r="K64" s="77">
        <f t="shared" si="0"/>
        <v>0</v>
      </c>
      <c r="L64" s="67">
        <v>45736</v>
      </c>
      <c r="M64" s="4" t="s">
        <v>11</v>
      </c>
      <c r="N64" s="7">
        <v>420907.5</v>
      </c>
      <c r="O64" s="7">
        <f t="shared" si="1"/>
        <v>5489872.5</v>
      </c>
    </row>
    <row r="65" spans="1:15" x14ac:dyDescent="0.25">
      <c r="A65" s="76">
        <v>45737</v>
      </c>
      <c r="B65" s="5">
        <v>576</v>
      </c>
      <c r="C65" s="5">
        <v>288</v>
      </c>
      <c r="D65" s="116">
        <v>12</v>
      </c>
      <c r="E65" s="124"/>
      <c r="F65" s="5">
        <f>C65*D65</f>
        <v>3456</v>
      </c>
      <c r="G65" s="5">
        <f>C65*D65</f>
        <v>3456</v>
      </c>
      <c r="H65" s="5"/>
      <c r="I65" s="125"/>
      <c r="J65" s="119">
        <v>32.5</v>
      </c>
      <c r="K65" s="77">
        <f t="shared" si="0"/>
        <v>224640</v>
      </c>
      <c r="L65" s="68"/>
      <c r="M65" s="4"/>
      <c r="N65" s="7"/>
      <c r="O65" s="7">
        <f t="shared" si="1"/>
        <v>5714512.5</v>
      </c>
    </row>
    <row r="66" spans="1:15" x14ac:dyDescent="0.25">
      <c r="A66" s="76"/>
      <c r="B66" s="5">
        <v>288</v>
      </c>
      <c r="C66" s="5">
        <v>288</v>
      </c>
      <c r="D66" s="116">
        <v>12</v>
      </c>
      <c r="E66" s="124"/>
      <c r="F66" s="5"/>
      <c r="G66" s="5"/>
      <c r="H66" s="5">
        <f>C66*D66</f>
        <v>3456</v>
      </c>
      <c r="I66" s="125"/>
      <c r="J66" s="119">
        <v>32.5</v>
      </c>
      <c r="K66" s="77">
        <f t="shared" si="0"/>
        <v>112320</v>
      </c>
      <c r="L66" s="68"/>
      <c r="M66" s="4"/>
      <c r="N66" s="7"/>
      <c r="O66" s="7">
        <f t="shared" si="1"/>
        <v>5826832.5</v>
      </c>
    </row>
    <row r="67" spans="1:15" x14ac:dyDescent="0.25">
      <c r="A67" s="76"/>
      <c r="B67" s="5">
        <v>576</v>
      </c>
      <c r="C67" s="5">
        <v>288</v>
      </c>
      <c r="D67" s="116">
        <v>12</v>
      </c>
      <c r="E67" s="124">
        <f>C67*D67</f>
        <v>3456</v>
      </c>
      <c r="F67" s="5">
        <f>C67*D67</f>
        <v>3456</v>
      </c>
      <c r="G67" s="5"/>
      <c r="H67" s="5"/>
      <c r="I67" s="125"/>
      <c r="J67" s="120">
        <v>34</v>
      </c>
      <c r="K67" s="77">
        <f t="shared" si="0"/>
        <v>235008</v>
      </c>
      <c r="L67" s="68"/>
      <c r="M67" s="4"/>
      <c r="N67" s="7"/>
      <c r="O67" s="7">
        <f t="shared" si="1"/>
        <v>6061840.5</v>
      </c>
    </row>
    <row r="68" spans="1:15" x14ac:dyDescent="0.25">
      <c r="A68" s="76"/>
      <c r="B68" s="5">
        <v>288</v>
      </c>
      <c r="C68" s="5">
        <v>288</v>
      </c>
      <c r="D68" s="116">
        <v>12</v>
      </c>
      <c r="E68" s="124"/>
      <c r="F68" s="5"/>
      <c r="G68" s="5"/>
      <c r="H68" s="5">
        <f>C68*D68</f>
        <v>3456</v>
      </c>
      <c r="I68" s="125"/>
      <c r="J68" s="135">
        <v>32.5</v>
      </c>
      <c r="K68" s="77">
        <f t="shared" si="0"/>
        <v>112320</v>
      </c>
      <c r="L68" s="68"/>
      <c r="M68" s="4"/>
      <c r="N68" s="7"/>
      <c r="O68" s="7">
        <f t="shared" si="1"/>
        <v>6174160.5</v>
      </c>
    </row>
    <row r="69" spans="1:15" ht="16.5" thickBot="1" x14ac:dyDescent="0.3">
      <c r="A69" s="128"/>
      <c r="B69" s="26">
        <v>576</v>
      </c>
      <c r="C69" s="26">
        <v>288</v>
      </c>
      <c r="D69" s="117">
        <v>12</v>
      </c>
      <c r="E69" s="126">
        <f>C69*D69</f>
        <v>3456</v>
      </c>
      <c r="F69" s="26">
        <f>C69*D69</f>
        <v>3456</v>
      </c>
      <c r="G69" s="26"/>
      <c r="H69" s="26"/>
      <c r="I69" s="127"/>
      <c r="J69" s="121">
        <v>32.5</v>
      </c>
      <c r="K69" s="79">
        <f t="shared" si="0"/>
        <v>224640</v>
      </c>
      <c r="L69" s="68"/>
      <c r="M69" s="4"/>
      <c r="N69" s="7"/>
      <c r="O69" s="7">
        <f t="shared" si="1"/>
        <v>6398800.5</v>
      </c>
    </row>
    <row r="70" spans="1:15" x14ac:dyDescent="0.25">
      <c r="A70" s="29"/>
      <c r="B70" s="23"/>
      <c r="C70" s="23"/>
      <c r="D70" s="23"/>
      <c r="E70" s="23"/>
      <c r="F70" s="23"/>
      <c r="G70" s="23"/>
      <c r="H70" s="23"/>
      <c r="I70" s="23"/>
      <c r="J70" s="24"/>
      <c r="K70" s="24">
        <f t="shared" si="0"/>
        <v>0</v>
      </c>
      <c r="L70" s="9">
        <v>45743</v>
      </c>
      <c r="M70" s="4" t="s">
        <v>11</v>
      </c>
      <c r="N70" s="7">
        <v>518700</v>
      </c>
      <c r="O70" s="7">
        <f t="shared" si="1"/>
        <v>5880100.5</v>
      </c>
    </row>
    <row r="71" spans="1:15" x14ac:dyDescent="0.25">
      <c r="A71" s="44" t="s">
        <v>35</v>
      </c>
      <c r="B71" s="13"/>
      <c r="C71" s="13"/>
      <c r="D71" s="13"/>
      <c r="E71" s="13"/>
      <c r="F71" s="13"/>
      <c r="G71" s="13"/>
      <c r="H71" s="13"/>
      <c r="I71" s="13"/>
      <c r="J71" s="14"/>
      <c r="K71" s="14">
        <f t="shared" si="0"/>
        <v>0</v>
      </c>
      <c r="L71" s="12"/>
      <c r="M71" s="12"/>
      <c r="N71" s="14"/>
      <c r="O71" s="14">
        <f t="shared" si="1"/>
        <v>5880100.5</v>
      </c>
    </row>
    <row r="72" spans="1:15" x14ac:dyDescent="0.25">
      <c r="A72" s="4"/>
      <c r="B72" s="5"/>
      <c r="C72" s="5"/>
      <c r="D72" s="5"/>
      <c r="E72" s="5"/>
      <c r="F72" s="5"/>
      <c r="G72" s="5"/>
      <c r="H72" s="5"/>
      <c r="I72" s="5"/>
      <c r="J72" s="7"/>
      <c r="K72" s="7">
        <f t="shared" si="0"/>
        <v>0</v>
      </c>
      <c r="L72" s="9">
        <v>45748</v>
      </c>
      <c r="M72" s="4" t="s">
        <v>11</v>
      </c>
      <c r="N72" s="7">
        <v>112320</v>
      </c>
      <c r="O72" s="7">
        <f t="shared" si="1"/>
        <v>5767780.5</v>
      </c>
    </row>
    <row r="73" spans="1:15" x14ac:dyDescent="0.25">
      <c r="A73" s="4"/>
      <c r="B73" s="5"/>
      <c r="C73" s="5"/>
      <c r="D73" s="5"/>
      <c r="E73" s="5"/>
      <c r="F73" s="5"/>
      <c r="G73" s="5"/>
      <c r="H73" s="5"/>
      <c r="I73" s="5"/>
      <c r="J73" s="7"/>
      <c r="K73" s="7">
        <f t="shared" si="0"/>
        <v>0</v>
      </c>
      <c r="L73" s="9">
        <v>45750</v>
      </c>
      <c r="M73" s="4" t="s">
        <v>11</v>
      </c>
      <c r="N73" s="7">
        <v>873072</v>
      </c>
      <c r="O73" s="7">
        <f t="shared" si="1"/>
        <v>4894708.5</v>
      </c>
    </row>
    <row r="74" spans="1:15" x14ac:dyDescent="0.25">
      <c r="A74" s="4"/>
      <c r="B74" s="5"/>
      <c r="C74" s="5"/>
      <c r="D74" s="5"/>
      <c r="E74" s="5"/>
      <c r="F74" s="5"/>
      <c r="G74" s="5"/>
      <c r="H74" s="5"/>
      <c r="I74" s="5"/>
      <c r="J74" s="7"/>
      <c r="K74" s="7">
        <f t="shared" si="0"/>
        <v>0</v>
      </c>
      <c r="L74" s="9">
        <v>45757</v>
      </c>
      <c r="M74" s="4" t="s">
        <v>11</v>
      </c>
      <c r="N74" s="7">
        <v>1044144</v>
      </c>
      <c r="O74" s="7">
        <f t="shared" si="1"/>
        <v>3850564.5</v>
      </c>
    </row>
    <row r="75" spans="1:15" x14ac:dyDescent="0.25">
      <c r="A75" s="4"/>
      <c r="B75" s="5"/>
      <c r="C75" s="5"/>
      <c r="D75" s="5"/>
      <c r="E75" s="5"/>
      <c r="F75" s="5"/>
      <c r="G75" s="5"/>
      <c r="H75" s="5"/>
      <c r="I75" s="5"/>
      <c r="J75" s="7"/>
      <c r="K75" s="7">
        <f t="shared" si="0"/>
        <v>0</v>
      </c>
      <c r="L75" s="9">
        <v>45764</v>
      </c>
      <c r="M75" s="4" t="s">
        <v>11</v>
      </c>
      <c r="N75" s="7">
        <v>1016064</v>
      </c>
      <c r="O75" s="7">
        <f t="shared" si="1"/>
        <v>2834500.5</v>
      </c>
    </row>
    <row r="76" spans="1:15" x14ac:dyDescent="0.25">
      <c r="A76" s="4"/>
      <c r="B76" s="5"/>
      <c r="C76" s="5"/>
      <c r="D76" s="5"/>
      <c r="E76" s="5"/>
      <c r="F76" s="5"/>
      <c r="G76" s="5"/>
      <c r="H76" s="5"/>
      <c r="I76" s="5"/>
      <c r="J76" s="7"/>
      <c r="K76" s="7">
        <f t="shared" si="0"/>
        <v>0</v>
      </c>
      <c r="L76" s="9">
        <v>45775</v>
      </c>
      <c r="M76" s="4" t="s">
        <v>11</v>
      </c>
      <c r="N76" s="7">
        <v>1123200</v>
      </c>
      <c r="O76" s="7">
        <f t="shared" si="1"/>
        <v>1711300.5</v>
      </c>
    </row>
    <row r="77" spans="1:15" x14ac:dyDescent="0.25">
      <c r="A77" s="4"/>
      <c r="B77" s="5"/>
      <c r="C77" s="5"/>
      <c r="D77" s="5"/>
      <c r="E77" s="5"/>
      <c r="F77" s="5"/>
      <c r="G77" s="5"/>
      <c r="H77" s="5"/>
      <c r="I77" s="5"/>
      <c r="J77" s="7"/>
      <c r="K77" s="7">
        <f t="shared" si="0"/>
        <v>0</v>
      </c>
      <c r="L77" s="9"/>
      <c r="M77" s="4"/>
      <c r="N77" s="7">
        <v>483840</v>
      </c>
      <c r="O77" s="7">
        <f t="shared" si="1"/>
        <v>1227460.5</v>
      </c>
    </row>
    <row r="78" spans="1:15" x14ac:dyDescent="0.25">
      <c r="A78" s="44" t="s">
        <v>36</v>
      </c>
      <c r="B78" s="130"/>
      <c r="C78" s="130"/>
      <c r="D78" s="130"/>
      <c r="E78" s="130"/>
      <c r="F78" s="130"/>
      <c r="G78" s="130"/>
      <c r="H78" s="130"/>
      <c r="I78" s="130"/>
      <c r="J78" s="65"/>
      <c r="K78" s="65">
        <f t="shared" si="0"/>
        <v>0</v>
      </c>
      <c r="L78" s="64"/>
      <c r="M78" s="66"/>
      <c r="N78" s="65"/>
      <c r="O78" s="65">
        <f t="shared" si="1"/>
        <v>1227460.5</v>
      </c>
    </row>
    <row r="79" spans="1:15" x14ac:dyDescent="0.25">
      <c r="A79" s="4"/>
      <c r="B79" s="5"/>
      <c r="C79" s="5"/>
      <c r="D79" s="5"/>
      <c r="E79" s="5"/>
      <c r="F79" s="5"/>
      <c r="G79" s="5"/>
      <c r="H79" s="5"/>
      <c r="I79" s="5"/>
      <c r="J79" s="7"/>
      <c r="K79" s="7">
        <f t="shared" si="0"/>
        <v>0</v>
      </c>
      <c r="L79" s="9" t="s">
        <v>81</v>
      </c>
      <c r="M79" s="4" t="s">
        <v>11</v>
      </c>
      <c r="N79" s="209">
        <v>908928</v>
      </c>
      <c r="O79" s="7">
        <f t="shared" si="1"/>
        <v>318532.5</v>
      </c>
    </row>
    <row r="80" spans="1:15" x14ac:dyDescent="0.25">
      <c r="A80" s="4"/>
      <c r="B80" s="5"/>
      <c r="C80" s="5"/>
      <c r="D80" s="5"/>
      <c r="E80" s="5"/>
      <c r="F80" s="5"/>
      <c r="G80" s="5"/>
      <c r="H80" s="5"/>
      <c r="I80" s="5"/>
      <c r="J80" s="7"/>
      <c r="K80" s="7">
        <f t="shared" si="0"/>
        <v>0</v>
      </c>
      <c r="L80" s="9"/>
      <c r="M80" s="4"/>
      <c r="N80" s="7"/>
      <c r="O80" s="7">
        <f t="shared" si="1"/>
        <v>318532.5</v>
      </c>
    </row>
    <row r="81" spans="1:15" x14ac:dyDescent="0.25">
      <c r="A81" s="4"/>
      <c r="B81" s="5"/>
      <c r="C81" s="5"/>
      <c r="D81" s="5"/>
      <c r="E81" s="5"/>
      <c r="F81" s="5"/>
      <c r="G81" s="5"/>
      <c r="H81" s="5"/>
      <c r="I81" s="5"/>
      <c r="J81" s="7"/>
      <c r="K81" s="7">
        <f t="shared" si="0"/>
        <v>0</v>
      </c>
      <c r="L81" s="9"/>
      <c r="M81" s="4"/>
      <c r="N81" s="7"/>
      <c r="O81" s="7">
        <f t="shared" si="1"/>
        <v>318532.5</v>
      </c>
    </row>
    <row r="82" spans="1:15" x14ac:dyDescent="0.25">
      <c r="A82" s="4"/>
      <c r="B82" s="5"/>
      <c r="C82" s="5"/>
      <c r="D82" s="5"/>
      <c r="E82" s="5"/>
      <c r="F82" s="5"/>
      <c r="G82" s="5"/>
      <c r="H82" s="5"/>
      <c r="I82" s="5"/>
      <c r="J82" s="7"/>
      <c r="K82" s="7">
        <f t="shared" si="0"/>
        <v>0</v>
      </c>
      <c r="L82" s="9"/>
      <c r="M82" s="4"/>
      <c r="N82" s="7"/>
      <c r="O82" s="7">
        <f t="shared" si="1"/>
        <v>318532.5</v>
      </c>
    </row>
    <row r="83" spans="1:15" x14ac:dyDescent="0.25">
      <c r="A83" s="4"/>
      <c r="B83" s="5"/>
      <c r="C83" s="5"/>
      <c r="D83" s="5"/>
      <c r="E83" s="5"/>
      <c r="F83" s="5"/>
      <c r="G83" s="5"/>
      <c r="H83" s="5"/>
      <c r="I83" s="5"/>
      <c r="J83" s="7"/>
      <c r="K83" s="7">
        <f t="shared" si="0"/>
        <v>0</v>
      </c>
      <c r="L83" s="9"/>
      <c r="M83" s="4"/>
      <c r="N83" s="7"/>
      <c r="O83" s="7">
        <f t="shared" si="1"/>
        <v>318532.5</v>
      </c>
    </row>
    <row r="84" spans="1:15" x14ac:dyDescent="0.25">
      <c r="A84" s="4"/>
      <c r="B84" s="5"/>
      <c r="C84" s="5"/>
      <c r="D84" s="5"/>
      <c r="E84" s="5"/>
      <c r="F84" s="5"/>
      <c r="G84" s="5"/>
      <c r="H84" s="5"/>
      <c r="I84" s="5"/>
      <c r="J84" s="7"/>
      <c r="K84" s="7">
        <f t="shared" si="0"/>
        <v>0</v>
      </c>
      <c r="L84" s="9"/>
      <c r="M84" s="4"/>
      <c r="N84" s="7"/>
      <c r="O84" s="7">
        <f t="shared" si="1"/>
        <v>318532.5</v>
      </c>
    </row>
    <row r="85" spans="1:15" x14ac:dyDescent="0.25">
      <c r="A85" s="4"/>
      <c r="B85" s="5"/>
      <c r="C85" s="5"/>
      <c r="D85" s="5"/>
      <c r="E85" s="5"/>
      <c r="F85" s="5"/>
      <c r="G85" s="5"/>
      <c r="H85" s="5"/>
      <c r="I85" s="5"/>
      <c r="J85" s="7"/>
      <c r="K85" s="7">
        <f t="shared" si="0"/>
        <v>0</v>
      </c>
      <c r="L85" s="9"/>
      <c r="M85" s="4"/>
      <c r="N85" s="7"/>
      <c r="O85" s="7">
        <f t="shared" si="1"/>
        <v>318532.5</v>
      </c>
    </row>
    <row r="86" spans="1:15" x14ac:dyDescent="0.25">
      <c r="A86" s="4"/>
      <c r="C86" s="5"/>
      <c r="D86" s="5"/>
      <c r="E86" s="5"/>
      <c r="F86" s="5"/>
      <c r="G86" s="5"/>
      <c r="H86" s="5"/>
      <c r="I86" s="5"/>
      <c r="J86" s="7"/>
      <c r="K86" s="7">
        <f t="shared" si="0"/>
        <v>0</v>
      </c>
      <c r="L86" s="4"/>
      <c r="M86" s="4"/>
      <c r="N86" s="7"/>
      <c r="O86" s="7">
        <f t="shared" si="1"/>
        <v>318532.5</v>
      </c>
    </row>
    <row r="87" spans="1:15" x14ac:dyDescent="0.25">
      <c r="A87" s="4"/>
      <c r="B87" s="5"/>
      <c r="C87" s="5"/>
      <c r="D87" s="5"/>
      <c r="E87" s="5"/>
      <c r="F87" s="5"/>
      <c r="G87" s="5"/>
      <c r="H87" s="5"/>
      <c r="I87" s="5"/>
      <c r="J87" s="7"/>
      <c r="K87" s="7">
        <f t="shared" si="0"/>
        <v>0</v>
      </c>
      <c r="L87" s="4"/>
      <c r="M87" s="4"/>
      <c r="N87" s="7"/>
      <c r="O87" s="7">
        <f t="shared" si="1"/>
        <v>318532.5</v>
      </c>
    </row>
    <row r="88" spans="1:15" x14ac:dyDescent="0.25">
      <c r="A88" s="4"/>
      <c r="B88" s="5">
        <f>SUM(B3:B87)</f>
        <v>18490</v>
      </c>
      <c r="C88" s="5"/>
      <c r="D88" s="5"/>
      <c r="E88" s="5">
        <f>SUM(E3:E87)</f>
        <v>53352</v>
      </c>
      <c r="F88" s="5">
        <f>SUM(F3:F87)</f>
        <v>60348</v>
      </c>
      <c r="G88" s="5">
        <f>SUM(G3:G87)</f>
        <v>60372</v>
      </c>
      <c r="H88" s="5">
        <f>SUM(H3:H87)</f>
        <v>47808</v>
      </c>
      <c r="I88" s="5">
        <f>SUM(I3:I87)</f>
        <v>0</v>
      </c>
      <c r="J88" s="7"/>
      <c r="K88" s="7">
        <f t="shared" si="0"/>
        <v>0</v>
      </c>
      <c r="L88" s="4"/>
      <c r="M88" s="4"/>
      <c r="N88" s="7"/>
      <c r="O88" s="7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workbookViewId="0">
      <pane ySplit="1" topLeftCell="A37" activePane="bottomLeft" state="frozen"/>
      <selection pane="bottomLeft" activeCell="P61" sqref="P61"/>
    </sheetView>
  </sheetViews>
  <sheetFormatPr defaultColWidth="8.85546875" defaultRowHeight="15.75" customHeight="1" x14ac:dyDescent="0.25"/>
  <cols>
    <col min="1" max="1" width="9.7109375" style="1" customWidth="1"/>
    <col min="2" max="2" width="13.5703125" style="1" customWidth="1"/>
    <col min="3" max="6" width="9.7109375" style="11" customWidth="1"/>
    <col min="7" max="14" width="11.28515625" style="1" customWidth="1"/>
    <col min="15" max="17" width="9.85546875" style="1" customWidth="1"/>
    <col min="18" max="18" width="10.28515625" style="8" customWidth="1"/>
    <col min="19" max="19" width="13.140625" style="8" customWidth="1"/>
    <col min="20" max="20" width="11.42578125" style="1" customWidth="1"/>
    <col min="21" max="21" width="8.85546875" style="1"/>
    <col min="22" max="22" width="12.7109375" style="8" bestFit="1" customWidth="1"/>
    <col min="23" max="23" width="14.28515625" style="8" customWidth="1"/>
    <col min="24" max="16384" width="8.85546875" style="1"/>
  </cols>
  <sheetData>
    <row r="1" spans="1:23" s="15" customFormat="1" ht="42.75" x14ac:dyDescent="0.25">
      <c r="A1" s="41" t="s">
        <v>0</v>
      </c>
      <c r="B1" s="41" t="s">
        <v>82</v>
      </c>
      <c r="C1" s="40" t="s">
        <v>24</v>
      </c>
      <c r="D1" s="40" t="s">
        <v>38</v>
      </c>
      <c r="E1" s="40" t="s">
        <v>113</v>
      </c>
      <c r="F1" s="40" t="s">
        <v>83</v>
      </c>
      <c r="G1" s="41" t="s">
        <v>58</v>
      </c>
      <c r="H1" s="41" t="s">
        <v>84</v>
      </c>
      <c r="I1" s="41" t="s">
        <v>60</v>
      </c>
      <c r="J1" s="41" t="s">
        <v>61</v>
      </c>
      <c r="K1" s="41" t="s">
        <v>62</v>
      </c>
      <c r="L1" s="41" t="s">
        <v>66</v>
      </c>
      <c r="M1" s="41" t="s">
        <v>64</v>
      </c>
      <c r="N1" s="41" t="s">
        <v>85</v>
      </c>
      <c r="O1" s="41" t="s">
        <v>86</v>
      </c>
      <c r="P1" s="41" t="s">
        <v>87</v>
      </c>
      <c r="Q1" s="41" t="s">
        <v>88</v>
      </c>
      <c r="R1" s="42" t="s">
        <v>89</v>
      </c>
      <c r="S1" s="42" t="s">
        <v>7</v>
      </c>
      <c r="T1" s="41" t="s">
        <v>8</v>
      </c>
      <c r="U1" s="41" t="s">
        <v>9</v>
      </c>
      <c r="V1" s="42" t="s">
        <v>7</v>
      </c>
      <c r="W1" s="42" t="s">
        <v>10</v>
      </c>
    </row>
    <row r="2" spans="1:23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"/>
      <c r="U2" s="4"/>
      <c r="V2" s="7"/>
      <c r="W2" s="7">
        <v>0</v>
      </c>
    </row>
    <row r="3" spans="1:23" x14ac:dyDescent="0.25">
      <c r="A3" s="9">
        <v>45699</v>
      </c>
      <c r="B3" s="9" t="s">
        <v>90</v>
      </c>
      <c r="C3" s="5"/>
      <c r="D3" s="5"/>
      <c r="E3" s="5"/>
      <c r="F3" s="5"/>
      <c r="G3" s="5">
        <v>7</v>
      </c>
      <c r="H3" s="5">
        <v>7</v>
      </c>
      <c r="I3" s="5">
        <v>7</v>
      </c>
      <c r="J3" s="5">
        <v>7</v>
      </c>
      <c r="K3" s="5">
        <v>7</v>
      </c>
      <c r="L3" s="5">
        <v>7</v>
      </c>
      <c r="M3" s="5">
        <v>7</v>
      </c>
      <c r="N3" s="5">
        <v>7</v>
      </c>
      <c r="O3" s="5">
        <v>7</v>
      </c>
      <c r="P3" s="5">
        <v>7</v>
      </c>
      <c r="Q3" s="5">
        <v>7</v>
      </c>
      <c r="R3" s="7">
        <v>200</v>
      </c>
      <c r="S3" s="7">
        <f>G3*R3+H3*R3+I3*R3+J3*R3+K3*R3+L3*R3+M3*R3+N3*R3+O3*R3+P3*R3+Q3*R3</f>
        <v>15400</v>
      </c>
      <c r="T3" s="9">
        <v>45699</v>
      </c>
      <c r="U3" s="4" t="s">
        <v>91</v>
      </c>
      <c r="V3" s="7">
        <v>15400</v>
      </c>
      <c r="W3" s="7">
        <f>W2+S3-V3</f>
        <v>0</v>
      </c>
    </row>
    <row r="4" spans="1:23" x14ac:dyDescent="0.25">
      <c r="A4" s="80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71"/>
      <c r="S4" s="71">
        <f t="shared" ref="S4:S42" si="0">G4*R4+H4*R4+I4*R4+J4*R4+K4*R4+L4*R4+M4*R4+N4*R4+O4*R4+P4*R4+Q4*R4</f>
        <v>0</v>
      </c>
      <c r="T4" s="64"/>
      <c r="U4" s="66"/>
      <c r="V4" s="65"/>
      <c r="W4" s="65">
        <f t="shared" ref="W4:W21" si="1">W3+S4-V4</f>
        <v>0</v>
      </c>
    </row>
    <row r="5" spans="1:23" x14ac:dyDescent="0.25">
      <c r="A5" s="72">
        <v>45729</v>
      </c>
      <c r="B5" s="73" t="s">
        <v>90</v>
      </c>
      <c r="C5" s="74" t="s">
        <v>92</v>
      </c>
      <c r="D5" s="74">
        <v>0.2</v>
      </c>
      <c r="E5" s="74"/>
      <c r="F5" s="74"/>
      <c r="G5" s="74">
        <v>54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82">
        <v>85</v>
      </c>
      <c r="S5" s="69">
        <f t="shared" si="0"/>
        <v>4590</v>
      </c>
      <c r="T5" s="67">
        <v>45729</v>
      </c>
      <c r="U5" s="4" t="s">
        <v>91</v>
      </c>
      <c r="V5" s="7">
        <v>4590</v>
      </c>
      <c r="W5" s="7">
        <f t="shared" si="1"/>
        <v>0</v>
      </c>
    </row>
    <row r="6" spans="1:23" x14ac:dyDescent="0.25">
      <c r="A6" s="78"/>
      <c r="B6" s="28"/>
      <c r="C6" s="26"/>
      <c r="D6" s="26">
        <v>0.2</v>
      </c>
      <c r="E6" s="26"/>
      <c r="F6" s="26"/>
      <c r="G6" s="26">
        <v>54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3">
        <v>75</v>
      </c>
      <c r="S6" s="70">
        <f t="shared" si="0"/>
        <v>4050</v>
      </c>
      <c r="T6" s="68"/>
      <c r="U6" s="4" t="s">
        <v>91</v>
      </c>
      <c r="V6" s="7">
        <v>4050</v>
      </c>
      <c r="W6" s="7">
        <f t="shared" si="1"/>
        <v>0</v>
      </c>
    </row>
    <row r="7" spans="1:23" x14ac:dyDescent="0.25">
      <c r="A7" s="84">
        <v>45734</v>
      </c>
      <c r="B7" s="84" t="s">
        <v>93</v>
      </c>
      <c r="C7" s="85" t="s">
        <v>92</v>
      </c>
      <c r="D7" s="85">
        <v>0.2</v>
      </c>
      <c r="E7" s="85"/>
      <c r="F7" s="85"/>
      <c r="G7" s="85">
        <v>36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6">
        <v>95</v>
      </c>
      <c r="S7" s="87">
        <f t="shared" si="0"/>
        <v>3420</v>
      </c>
      <c r="T7" s="67">
        <v>45733</v>
      </c>
      <c r="U7" s="4" t="s">
        <v>91</v>
      </c>
      <c r="V7" s="7">
        <v>6480</v>
      </c>
      <c r="W7" s="7">
        <f t="shared" si="1"/>
        <v>-3060</v>
      </c>
    </row>
    <row r="8" spans="1:23" x14ac:dyDescent="0.25">
      <c r="A8" s="88"/>
      <c r="B8" s="89" t="s">
        <v>93</v>
      </c>
      <c r="C8" s="90" t="s">
        <v>92</v>
      </c>
      <c r="D8" s="90">
        <v>0.2</v>
      </c>
      <c r="E8" s="90"/>
      <c r="F8" s="90"/>
      <c r="G8" s="90">
        <v>36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1">
        <v>85</v>
      </c>
      <c r="S8" s="92">
        <f t="shared" si="0"/>
        <v>3060</v>
      </c>
      <c r="T8" s="68"/>
      <c r="U8" s="4"/>
      <c r="V8" s="7"/>
      <c r="W8" s="7">
        <f t="shared" si="1"/>
        <v>0</v>
      </c>
    </row>
    <row r="9" spans="1:23" x14ac:dyDescent="0.25">
      <c r="A9" s="93">
        <v>45736</v>
      </c>
      <c r="B9" s="94" t="s">
        <v>94</v>
      </c>
      <c r="C9" s="95" t="s">
        <v>92</v>
      </c>
      <c r="D9" s="95">
        <v>0.2</v>
      </c>
      <c r="E9" s="95"/>
      <c r="F9" s="95"/>
      <c r="G9" s="95">
        <v>54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>
        <v>85</v>
      </c>
      <c r="S9" s="97">
        <f t="shared" si="0"/>
        <v>4590</v>
      </c>
      <c r="T9" s="67">
        <v>45737</v>
      </c>
      <c r="U9" s="4" t="s">
        <v>91</v>
      </c>
      <c r="V9" s="7">
        <v>11440</v>
      </c>
      <c r="W9" s="7">
        <f t="shared" si="1"/>
        <v>-6850</v>
      </c>
    </row>
    <row r="10" spans="1:23" x14ac:dyDescent="0.25">
      <c r="A10" s="98"/>
      <c r="B10" s="99"/>
      <c r="C10" s="100" t="s">
        <v>92</v>
      </c>
      <c r="D10" s="100">
        <v>0.2</v>
      </c>
      <c r="E10" s="100"/>
      <c r="F10" s="100"/>
      <c r="G10" s="100">
        <v>54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>
        <v>75</v>
      </c>
      <c r="S10" s="102">
        <f t="shared" si="0"/>
        <v>4050</v>
      </c>
      <c r="T10" s="67"/>
      <c r="U10" s="4"/>
      <c r="V10" s="7"/>
      <c r="W10" s="7">
        <f t="shared" si="1"/>
        <v>-2800</v>
      </c>
    </row>
    <row r="11" spans="1:23" x14ac:dyDescent="0.25">
      <c r="A11" s="103"/>
      <c r="B11" s="104"/>
      <c r="C11" s="105" t="s">
        <v>95</v>
      </c>
      <c r="D11" s="105">
        <v>0.11</v>
      </c>
      <c r="E11" s="105"/>
      <c r="F11" s="105"/>
      <c r="G11" s="105"/>
      <c r="H11" s="105">
        <v>20</v>
      </c>
      <c r="I11" s="105">
        <v>20</v>
      </c>
      <c r="J11" s="105">
        <v>20</v>
      </c>
      <c r="K11" s="105">
        <v>20</v>
      </c>
      <c r="L11" s="105"/>
      <c r="M11" s="105"/>
      <c r="N11" s="105"/>
      <c r="O11" s="105"/>
      <c r="P11" s="105"/>
      <c r="Q11" s="105"/>
      <c r="R11" s="106">
        <v>35</v>
      </c>
      <c r="S11" s="92">
        <f t="shared" si="0"/>
        <v>2800</v>
      </c>
      <c r="T11" s="68"/>
      <c r="U11" s="4"/>
      <c r="V11" s="7"/>
      <c r="W11" s="7">
        <f t="shared" si="1"/>
        <v>0</v>
      </c>
    </row>
    <row r="12" spans="1:23" x14ac:dyDescent="0.25">
      <c r="A12" s="72">
        <v>45744</v>
      </c>
      <c r="B12" s="73" t="s">
        <v>96</v>
      </c>
      <c r="C12" s="74" t="s">
        <v>92</v>
      </c>
      <c r="D12" s="74">
        <v>0.2</v>
      </c>
      <c r="E12" s="74"/>
      <c r="F12" s="74"/>
      <c r="G12" s="74">
        <v>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9">
        <v>85</v>
      </c>
      <c r="S12" s="75">
        <f t="shared" si="0"/>
        <v>85</v>
      </c>
      <c r="T12" s="67">
        <v>45744</v>
      </c>
      <c r="U12" s="4" t="s">
        <v>91</v>
      </c>
      <c r="V12" s="7">
        <v>160</v>
      </c>
      <c r="W12" s="7">
        <f t="shared" si="1"/>
        <v>-75</v>
      </c>
    </row>
    <row r="13" spans="1:23" x14ac:dyDescent="0.25">
      <c r="A13" s="78"/>
      <c r="B13" s="28" t="s">
        <v>96</v>
      </c>
      <c r="C13" s="26" t="s">
        <v>92</v>
      </c>
      <c r="D13" s="26">
        <v>0.2</v>
      </c>
      <c r="E13" s="26"/>
      <c r="F13" s="26"/>
      <c r="G13" s="26">
        <v>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>
        <v>75</v>
      </c>
      <c r="S13" s="79">
        <f t="shared" si="0"/>
        <v>75</v>
      </c>
      <c r="T13" s="68"/>
      <c r="U13" s="4"/>
      <c r="V13" s="7"/>
      <c r="W13" s="7">
        <f t="shared" si="1"/>
        <v>0</v>
      </c>
    </row>
    <row r="14" spans="1:23" x14ac:dyDescent="0.25">
      <c r="A14" s="167" t="s">
        <v>35</v>
      </c>
      <c r="B14" s="167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/>
      <c r="S14" s="169">
        <f t="shared" si="0"/>
        <v>0</v>
      </c>
      <c r="T14" s="170"/>
      <c r="U14" s="170"/>
      <c r="V14" s="171"/>
      <c r="W14" s="171">
        <f t="shared" si="1"/>
        <v>0</v>
      </c>
    </row>
    <row r="15" spans="1:23" x14ac:dyDescent="0.25">
      <c r="A15" s="72">
        <v>45748</v>
      </c>
      <c r="B15" s="73" t="s">
        <v>93</v>
      </c>
      <c r="C15" s="74" t="s">
        <v>92</v>
      </c>
      <c r="D15" s="74">
        <v>0.2</v>
      </c>
      <c r="E15" s="74"/>
      <c r="F15" s="74"/>
      <c r="G15" s="74">
        <v>54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9">
        <v>95</v>
      </c>
      <c r="S15" s="159">
        <f t="shared" si="0"/>
        <v>5130</v>
      </c>
      <c r="T15" s="172"/>
      <c r="U15" s="73"/>
      <c r="V15" s="159"/>
      <c r="W15" s="75">
        <f t="shared" si="1"/>
        <v>5130</v>
      </c>
    </row>
    <row r="16" spans="1:23" x14ac:dyDescent="0.25">
      <c r="A16" s="78"/>
      <c r="B16" s="28" t="s">
        <v>93</v>
      </c>
      <c r="C16" s="26" t="s">
        <v>92</v>
      </c>
      <c r="D16" s="26">
        <v>0.2</v>
      </c>
      <c r="E16" s="26"/>
      <c r="F16" s="26"/>
      <c r="G16" s="26">
        <v>36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>
        <v>85</v>
      </c>
      <c r="S16" s="27">
        <f t="shared" si="0"/>
        <v>3060</v>
      </c>
      <c r="T16" s="28"/>
      <c r="U16" s="28"/>
      <c r="V16" s="27"/>
      <c r="W16" s="79">
        <f t="shared" si="1"/>
        <v>8190</v>
      </c>
    </row>
    <row r="17" spans="1:23" x14ac:dyDescent="0.25">
      <c r="A17" s="72">
        <v>45758</v>
      </c>
      <c r="B17" s="73" t="s">
        <v>96</v>
      </c>
      <c r="C17" s="74" t="s">
        <v>97</v>
      </c>
      <c r="D17" s="74">
        <v>1</v>
      </c>
      <c r="E17" s="74"/>
      <c r="F17" s="74"/>
      <c r="G17" s="74">
        <v>2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9">
        <v>200</v>
      </c>
      <c r="S17" s="159">
        <f t="shared" si="0"/>
        <v>400</v>
      </c>
      <c r="T17" s="73"/>
      <c r="U17" s="73"/>
      <c r="V17" s="159"/>
      <c r="W17" s="75">
        <f t="shared" si="1"/>
        <v>8590</v>
      </c>
    </row>
    <row r="18" spans="1:23" x14ac:dyDescent="0.25">
      <c r="A18" s="114"/>
      <c r="B18" s="4" t="s">
        <v>96</v>
      </c>
      <c r="C18" s="5" t="s">
        <v>92</v>
      </c>
      <c r="D18" s="5">
        <v>0.2</v>
      </c>
      <c r="E18" s="5"/>
      <c r="F18" s="5"/>
      <c r="G18" s="5"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7">
        <v>85</v>
      </c>
      <c r="S18" s="7">
        <f t="shared" si="0"/>
        <v>255</v>
      </c>
      <c r="T18" s="4"/>
      <c r="U18" s="4"/>
      <c r="V18" s="7"/>
      <c r="W18" s="77">
        <f t="shared" si="1"/>
        <v>8845</v>
      </c>
    </row>
    <row r="19" spans="1:23" x14ac:dyDescent="0.25">
      <c r="A19" s="114"/>
      <c r="B19" s="4" t="s">
        <v>96</v>
      </c>
      <c r="C19" s="5" t="s">
        <v>92</v>
      </c>
      <c r="D19" s="5">
        <v>0.2</v>
      </c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7">
        <v>95</v>
      </c>
      <c r="S19" s="7">
        <f t="shared" si="0"/>
        <v>285</v>
      </c>
      <c r="T19" s="4"/>
      <c r="U19" s="4"/>
      <c r="V19" s="7"/>
      <c r="W19" s="77">
        <f t="shared" si="1"/>
        <v>9130</v>
      </c>
    </row>
    <row r="20" spans="1:23" x14ac:dyDescent="0.25">
      <c r="A20" s="114"/>
      <c r="B20" s="4" t="s">
        <v>96</v>
      </c>
      <c r="C20" s="5" t="s">
        <v>95</v>
      </c>
      <c r="D20" s="5">
        <v>0.1</v>
      </c>
      <c r="E20" s="5"/>
      <c r="F20" s="5"/>
      <c r="G20" s="5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7">
        <v>39</v>
      </c>
      <c r="S20" s="7">
        <f t="shared" si="0"/>
        <v>468</v>
      </c>
      <c r="T20" s="4"/>
      <c r="U20" s="4"/>
      <c r="V20" s="7"/>
      <c r="W20" s="77">
        <f t="shared" si="1"/>
        <v>9598</v>
      </c>
    </row>
    <row r="21" spans="1:23" x14ac:dyDescent="0.25">
      <c r="A21" s="76">
        <v>45763</v>
      </c>
      <c r="B21" s="4" t="s">
        <v>94</v>
      </c>
      <c r="C21" s="5" t="s">
        <v>92</v>
      </c>
      <c r="D21" s="5">
        <v>0.2</v>
      </c>
      <c r="E21" s="5"/>
      <c r="F21" s="5"/>
      <c r="G21" s="5">
        <v>90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7">
        <v>75</v>
      </c>
      <c r="S21" s="7">
        <f t="shared" si="0"/>
        <v>6750</v>
      </c>
      <c r="T21" s="4"/>
      <c r="U21" s="4"/>
      <c r="V21" s="7"/>
      <c r="W21" s="77">
        <f t="shared" si="1"/>
        <v>16348</v>
      </c>
    </row>
    <row r="22" spans="1:23" x14ac:dyDescent="0.25">
      <c r="A22" s="76"/>
      <c r="B22" s="4" t="s">
        <v>94</v>
      </c>
      <c r="C22" s="5" t="s">
        <v>92</v>
      </c>
      <c r="D22" s="5">
        <v>0.2</v>
      </c>
      <c r="E22" s="5"/>
      <c r="F22" s="5"/>
      <c r="G22" s="5">
        <v>90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7">
        <v>85</v>
      </c>
      <c r="S22" s="7">
        <f t="shared" si="0"/>
        <v>7650</v>
      </c>
      <c r="T22" s="4"/>
      <c r="U22" s="4"/>
      <c r="V22" s="7"/>
      <c r="W22" s="77"/>
    </row>
    <row r="23" spans="1:23" x14ac:dyDescent="0.25">
      <c r="A23" s="76"/>
      <c r="B23" s="4" t="s">
        <v>94</v>
      </c>
      <c r="C23" s="5" t="s">
        <v>95</v>
      </c>
      <c r="D23" s="5">
        <v>0.1</v>
      </c>
      <c r="E23" s="5"/>
      <c r="F23" s="5"/>
      <c r="G23" s="5"/>
      <c r="H23" s="5">
        <v>10</v>
      </c>
      <c r="I23" s="5">
        <v>10</v>
      </c>
      <c r="J23" s="5">
        <v>20</v>
      </c>
      <c r="K23" s="5">
        <v>20</v>
      </c>
      <c r="L23" s="5"/>
      <c r="M23" s="5"/>
      <c r="N23" s="5"/>
      <c r="O23" s="5"/>
      <c r="P23" s="5"/>
      <c r="Q23" s="5"/>
      <c r="R23" s="7">
        <v>35</v>
      </c>
      <c r="S23" s="7">
        <f t="shared" si="0"/>
        <v>2100</v>
      </c>
      <c r="T23" s="4"/>
      <c r="U23" s="4"/>
      <c r="V23" s="7"/>
      <c r="W23" s="77"/>
    </row>
    <row r="24" spans="1:23" x14ac:dyDescent="0.25">
      <c r="A24" s="76">
        <v>45764</v>
      </c>
      <c r="B24" s="4" t="s">
        <v>96</v>
      </c>
      <c r="C24" s="5" t="s">
        <v>92</v>
      </c>
      <c r="D24" s="5">
        <v>0.2</v>
      </c>
      <c r="E24" s="5"/>
      <c r="F24" s="5"/>
      <c r="G24" s="5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7">
        <v>75</v>
      </c>
      <c r="S24" s="7">
        <f t="shared" si="0"/>
        <v>750</v>
      </c>
      <c r="T24" s="4"/>
      <c r="U24" s="4"/>
      <c r="V24" s="7"/>
      <c r="W24" s="77"/>
    </row>
    <row r="25" spans="1:23" x14ac:dyDescent="0.25">
      <c r="A25" s="76"/>
      <c r="B25" s="4"/>
      <c r="C25" s="5" t="s">
        <v>92</v>
      </c>
      <c r="D25" s="5">
        <v>0.2</v>
      </c>
      <c r="E25" s="5"/>
      <c r="F25" s="5"/>
      <c r="G25" s="5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7">
        <v>85</v>
      </c>
      <c r="S25" s="7">
        <f t="shared" si="0"/>
        <v>850</v>
      </c>
      <c r="T25" s="4"/>
      <c r="U25" s="4"/>
      <c r="V25" s="7"/>
      <c r="W25" s="77"/>
    </row>
    <row r="26" spans="1:23" x14ac:dyDescent="0.25">
      <c r="A26" s="128"/>
      <c r="B26" s="28"/>
      <c r="C26" s="26" t="s">
        <v>95</v>
      </c>
      <c r="D26" s="26">
        <v>0.11</v>
      </c>
      <c r="E26" s="26"/>
      <c r="F26" s="26"/>
      <c r="G26" s="26"/>
      <c r="H26" s="26">
        <v>10</v>
      </c>
      <c r="I26" s="26">
        <v>10</v>
      </c>
      <c r="J26" s="26">
        <v>10</v>
      </c>
      <c r="K26" s="26">
        <v>10</v>
      </c>
      <c r="L26" s="26"/>
      <c r="M26" s="26"/>
      <c r="N26" s="26"/>
      <c r="O26" s="26"/>
      <c r="P26" s="26"/>
      <c r="Q26" s="26"/>
      <c r="R26" s="27">
        <v>35</v>
      </c>
      <c r="S26" s="27">
        <f t="shared" si="0"/>
        <v>1400</v>
      </c>
      <c r="T26" s="28"/>
      <c r="U26" s="28"/>
      <c r="V26" s="27"/>
      <c r="W26" s="79"/>
    </row>
    <row r="27" spans="1:23" x14ac:dyDescent="0.25">
      <c r="A27" s="72">
        <v>45770</v>
      </c>
      <c r="B27" s="73" t="s">
        <v>96</v>
      </c>
      <c r="C27" s="74" t="s">
        <v>92</v>
      </c>
      <c r="D27" s="74">
        <v>0.2</v>
      </c>
      <c r="E27" s="74"/>
      <c r="F27" s="74"/>
      <c r="G27" s="74">
        <v>3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9">
        <v>85</v>
      </c>
      <c r="S27" s="159">
        <f t="shared" si="0"/>
        <v>255</v>
      </c>
      <c r="T27" s="73"/>
      <c r="U27" s="73"/>
      <c r="V27" s="159"/>
      <c r="W27" s="75"/>
    </row>
    <row r="28" spans="1:23" x14ac:dyDescent="0.25">
      <c r="A28" s="76"/>
      <c r="B28" s="22" t="s">
        <v>96</v>
      </c>
      <c r="C28" s="5" t="s">
        <v>92</v>
      </c>
      <c r="D28" s="5">
        <v>0.2</v>
      </c>
      <c r="E28" s="5"/>
      <c r="F28" s="5"/>
      <c r="G28" s="5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7">
        <v>75</v>
      </c>
      <c r="S28" s="108">
        <f t="shared" si="0"/>
        <v>225</v>
      </c>
      <c r="T28" s="4"/>
      <c r="U28" s="4"/>
      <c r="V28" s="7"/>
      <c r="W28" s="77"/>
    </row>
    <row r="29" spans="1:23" x14ac:dyDescent="0.25">
      <c r="A29" s="76">
        <v>45771</v>
      </c>
      <c r="B29" s="22" t="s">
        <v>96</v>
      </c>
      <c r="C29" s="5" t="s">
        <v>92</v>
      </c>
      <c r="D29" s="5">
        <v>0.2</v>
      </c>
      <c r="E29" s="5"/>
      <c r="F29" s="5"/>
      <c r="G29" s="5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142">
        <v>85</v>
      </c>
      <c r="S29" s="180">
        <f t="shared" si="0"/>
        <v>595</v>
      </c>
      <c r="T29" s="68"/>
      <c r="U29" s="4"/>
      <c r="V29" s="7"/>
      <c r="W29" s="77"/>
    </row>
    <row r="30" spans="1:23" x14ac:dyDescent="0.25">
      <c r="A30" s="76"/>
      <c r="B30" s="22" t="s">
        <v>96</v>
      </c>
      <c r="C30" s="5" t="s">
        <v>92</v>
      </c>
      <c r="D30" s="5">
        <v>0.2</v>
      </c>
      <c r="E30" s="5"/>
      <c r="F30" s="5"/>
      <c r="G30" s="5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142">
        <v>75</v>
      </c>
      <c r="S30" s="181">
        <f t="shared" si="0"/>
        <v>675</v>
      </c>
      <c r="T30" s="68"/>
      <c r="U30" s="4"/>
      <c r="V30" s="7"/>
      <c r="W30" s="77"/>
    </row>
    <row r="31" spans="1:23" x14ac:dyDescent="0.25">
      <c r="A31" s="76"/>
      <c r="B31" s="22" t="s">
        <v>96</v>
      </c>
      <c r="C31" s="5" t="s">
        <v>95</v>
      </c>
      <c r="D31" s="5">
        <v>0.11</v>
      </c>
      <c r="E31" s="5"/>
      <c r="F31" s="5"/>
      <c r="G31" s="5"/>
      <c r="H31" s="5">
        <v>4</v>
      </c>
      <c r="I31" s="5">
        <v>4</v>
      </c>
      <c r="J31" s="5">
        <v>2</v>
      </c>
      <c r="K31" s="5">
        <v>2</v>
      </c>
      <c r="L31" s="5"/>
      <c r="M31" s="5"/>
      <c r="N31" s="5"/>
      <c r="O31" s="5"/>
      <c r="P31" s="5"/>
      <c r="Q31" s="5"/>
      <c r="R31" s="142">
        <v>35</v>
      </c>
      <c r="S31" s="182">
        <f t="shared" si="0"/>
        <v>420</v>
      </c>
      <c r="T31" s="68"/>
      <c r="U31" s="4"/>
      <c r="V31" s="7"/>
      <c r="W31" s="77"/>
    </row>
    <row r="32" spans="1:23" x14ac:dyDescent="0.25">
      <c r="A32" s="76">
        <v>45776</v>
      </c>
      <c r="B32" s="22" t="s">
        <v>96</v>
      </c>
      <c r="C32" s="5" t="s">
        <v>92</v>
      </c>
      <c r="D32" s="5">
        <v>0.2</v>
      </c>
      <c r="E32" s="5"/>
      <c r="F32" s="5"/>
      <c r="G32" s="5"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7">
        <v>75</v>
      </c>
      <c r="S32" s="24">
        <f t="shared" si="0"/>
        <v>300</v>
      </c>
      <c r="T32" s="4"/>
      <c r="U32" s="4"/>
      <c r="V32" s="7"/>
      <c r="W32" s="77"/>
    </row>
    <row r="33" spans="1:23" x14ac:dyDescent="0.25">
      <c r="A33" s="76"/>
      <c r="B33" s="22" t="s">
        <v>96</v>
      </c>
      <c r="C33" s="5" t="s">
        <v>92</v>
      </c>
      <c r="D33" s="5">
        <v>0.2</v>
      </c>
      <c r="E33" s="5"/>
      <c r="F33" s="5"/>
      <c r="G33" s="5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7">
        <v>85</v>
      </c>
      <c r="S33" s="7">
        <f t="shared" si="0"/>
        <v>340</v>
      </c>
      <c r="T33" s="4"/>
      <c r="U33" s="4"/>
      <c r="V33" s="7"/>
      <c r="W33" s="77"/>
    </row>
    <row r="34" spans="1:23" x14ac:dyDescent="0.25">
      <c r="A34" s="76"/>
      <c r="B34" s="22" t="s">
        <v>96</v>
      </c>
      <c r="C34" s="5" t="s">
        <v>95</v>
      </c>
      <c r="D34" s="5">
        <v>0.11</v>
      </c>
      <c r="E34" s="5"/>
      <c r="F34" s="5"/>
      <c r="G34" s="5"/>
      <c r="H34" s="5">
        <v>4</v>
      </c>
      <c r="I34" s="5">
        <v>4</v>
      </c>
      <c r="J34" s="5">
        <v>4</v>
      </c>
      <c r="K34" s="5">
        <v>4</v>
      </c>
      <c r="L34" s="5"/>
      <c r="M34" s="5"/>
      <c r="N34" s="5"/>
      <c r="O34" s="5"/>
      <c r="P34" s="5"/>
      <c r="Q34" s="5"/>
      <c r="R34" s="7">
        <v>35</v>
      </c>
      <c r="S34" s="7">
        <f t="shared" si="0"/>
        <v>560</v>
      </c>
      <c r="T34" s="4"/>
      <c r="U34" s="4"/>
      <c r="V34" s="7"/>
      <c r="W34" s="77"/>
    </row>
    <row r="35" spans="1:23" x14ac:dyDescent="0.25">
      <c r="A35" s="76">
        <v>45777</v>
      </c>
      <c r="B35" s="4" t="s">
        <v>96</v>
      </c>
      <c r="C35" s="5" t="s">
        <v>92</v>
      </c>
      <c r="D35" s="5">
        <v>0.2</v>
      </c>
      <c r="E35" s="5"/>
      <c r="F35" s="5"/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7">
        <v>75</v>
      </c>
      <c r="S35" s="7">
        <f t="shared" si="0"/>
        <v>450</v>
      </c>
      <c r="T35" s="4"/>
      <c r="U35" s="4"/>
      <c r="V35" s="7"/>
      <c r="W35" s="77"/>
    </row>
    <row r="36" spans="1:23" ht="16.5" thickBot="1" x14ac:dyDescent="0.3">
      <c r="A36" s="128"/>
      <c r="B36" s="28" t="s">
        <v>96</v>
      </c>
      <c r="C36" s="26" t="s">
        <v>92</v>
      </c>
      <c r="D36" s="26">
        <v>0.2</v>
      </c>
      <c r="E36" s="26"/>
      <c r="F36" s="26"/>
      <c r="G36" s="26">
        <v>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85</v>
      </c>
      <c r="S36" s="27">
        <f t="shared" si="0"/>
        <v>680</v>
      </c>
      <c r="T36" s="28"/>
      <c r="U36" s="28"/>
      <c r="V36" s="27"/>
      <c r="W36" s="79"/>
    </row>
    <row r="37" spans="1:23" x14ac:dyDescent="0.25">
      <c r="A37" s="229" t="s">
        <v>36</v>
      </c>
      <c r="B37" s="230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231"/>
      <c r="S37" s="231"/>
      <c r="T37" s="230"/>
      <c r="U37" s="230"/>
      <c r="V37" s="231"/>
      <c r="W37" s="136"/>
    </row>
    <row r="38" spans="1:23" x14ac:dyDescent="0.25">
      <c r="A38" s="29" t="s">
        <v>81</v>
      </c>
      <c r="B38" s="22" t="s">
        <v>90</v>
      </c>
      <c r="C38" s="23" t="s">
        <v>92</v>
      </c>
      <c r="D38" s="23">
        <v>0.2</v>
      </c>
      <c r="E38" s="23"/>
      <c r="F38" s="23"/>
      <c r="G38" s="23">
        <v>18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>
        <v>85</v>
      </c>
      <c r="S38" s="24">
        <f t="shared" si="0"/>
        <v>1530</v>
      </c>
      <c r="T38" s="22" t="s">
        <v>81</v>
      </c>
      <c r="U38" s="22" t="s">
        <v>91</v>
      </c>
      <c r="V38" s="24">
        <v>16380</v>
      </c>
      <c r="W38" s="24"/>
    </row>
    <row r="39" spans="1:23" x14ac:dyDescent="0.25">
      <c r="A39" s="9"/>
      <c r="B39" s="4"/>
      <c r="C39" s="5" t="s">
        <v>92</v>
      </c>
      <c r="D39" s="5">
        <v>0.2</v>
      </c>
      <c r="E39" s="5"/>
      <c r="F39" s="5"/>
      <c r="G39" s="5">
        <v>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7">
        <v>95</v>
      </c>
      <c r="S39" s="7">
        <f t="shared" si="0"/>
        <v>1710</v>
      </c>
      <c r="T39" s="4"/>
      <c r="U39" s="22"/>
      <c r="V39" s="7"/>
      <c r="W39" s="7"/>
    </row>
    <row r="40" spans="1:23" x14ac:dyDescent="0.25">
      <c r="A40" s="9"/>
      <c r="B40" s="4" t="s">
        <v>93</v>
      </c>
      <c r="C40" s="5" t="s">
        <v>92</v>
      </c>
      <c r="D40" s="5">
        <v>0.2</v>
      </c>
      <c r="E40" s="5"/>
      <c r="F40" s="5"/>
      <c r="G40" s="5">
        <v>54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7">
        <v>85</v>
      </c>
      <c r="S40" s="7">
        <f t="shared" si="0"/>
        <v>4590</v>
      </c>
      <c r="T40" s="4"/>
      <c r="U40" s="22"/>
      <c r="V40" s="214"/>
      <c r="W40" s="7"/>
    </row>
    <row r="41" spans="1:23" x14ac:dyDescent="0.25">
      <c r="A41" s="9"/>
      <c r="B41" s="4"/>
      <c r="C41" s="5" t="s">
        <v>92</v>
      </c>
      <c r="D41" s="5">
        <v>0.2</v>
      </c>
      <c r="E41" s="5"/>
      <c r="F41" s="5"/>
      <c r="G41" s="5">
        <v>90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7">
        <v>95</v>
      </c>
      <c r="S41" s="7">
        <f t="shared" si="0"/>
        <v>8550</v>
      </c>
      <c r="T41" s="4"/>
      <c r="U41" s="22"/>
      <c r="V41" s="214"/>
      <c r="W41" s="7"/>
    </row>
    <row r="42" spans="1:23" x14ac:dyDescent="0.25">
      <c r="A42" s="9" t="s">
        <v>98</v>
      </c>
      <c r="B42" s="4" t="s">
        <v>96</v>
      </c>
      <c r="C42" s="5" t="s">
        <v>92</v>
      </c>
      <c r="D42" s="5">
        <v>0.2</v>
      </c>
      <c r="E42" s="5"/>
      <c r="F42" s="5"/>
      <c r="G42" s="5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7">
        <v>75</v>
      </c>
      <c r="S42" s="7">
        <f t="shared" si="0"/>
        <v>525</v>
      </c>
      <c r="T42" s="4" t="s">
        <v>98</v>
      </c>
      <c r="U42" s="22" t="s">
        <v>91</v>
      </c>
      <c r="V42" s="215">
        <v>1570</v>
      </c>
      <c r="W42" s="7"/>
    </row>
    <row r="43" spans="1:23" x14ac:dyDescent="0.25">
      <c r="A43" s="4"/>
      <c r="B43" s="4"/>
      <c r="C43" s="5" t="s">
        <v>92</v>
      </c>
      <c r="D43" s="5">
        <v>0.2</v>
      </c>
      <c r="E43" s="5"/>
      <c r="F43" s="5"/>
      <c r="G43" s="5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7">
        <v>85</v>
      </c>
      <c r="S43" s="7">
        <f>G43*R43+H43*R43+I43*R43+J43*R43+K43*R43+L43*R43+M43*R43+N43*R43+O43*R43+P43*R43+Q43*R43+F43*R43</f>
        <v>595</v>
      </c>
      <c r="T43" s="4"/>
      <c r="U43" s="4"/>
      <c r="V43" s="7"/>
      <c r="W43" s="7"/>
    </row>
    <row r="44" spans="1:23" x14ac:dyDescent="0.25">
      <c r="A44" s="50"/>
      <c r="B44" s="50"/>
      <c r="C44" s="5" t="s">
        <v>92</v>
      </c>
      <c r="D44" s="5">
        <v>0.2</v>
      </c>
      <c r="E44" s="49"/>
      <c r="F44" s="49">
        <v>6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08">
        <v>75</v>
      </c>
      <c r="S44" s="7">
        <f t="shared" ref="S44:S72" si="2">G44*R44+H44*R44+I44*R44+J44*R44+K44*R44+L44*R44+M44*R44+N44*R44+O44*R44+P44*R44+Q44*R44+F44*R44</f>
        <v>450</v>
      </c>
      <c r="T44" s="50"/>
      <c r="U44" s="50"/>
      <c r="V44" s="108"/>
      <c r="W44" s="7"/>
    </row>
    <row r="45" spans="1:23" x14ac:dyDescent="0.25">
      <c r="A45" s="50" t="s">
        <v>99</v>
      </c>
      <c r="B45" s="50" t="s">
        <v>96</v>
      </c>
      <c r="C45" s="5" t="s">
        <v>97</v>
      </c>
      <c r="D45" s="49">
        <v>1</v>
      </c>
      <c r="E45" s="49"/>
      <c r="F45" s="49"/>
      <c r="G45" s="49">
        <v>2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08">
        <v>190</v>
      </c>
      <c r="S45" s="7">
        <f t="shared" si="2"/>
        <v>380</v>
      </c>
      <c r="T45" s="50" t="s">
        <v>99</v>
      </c>
      <c r="U45" s="50" t="s">
        <v>91</v>
      </c>
      <c r="V45" s="108">
        <f>S45+S46+S47+S48+S49</f>
        <v>1985</v>
      </c>
      <c r="W45" s="7"/>
    </row>
    <row r="46" spans="1:23" x14ac:dyDescent="0.25">
      <c r="A46" s="50"/>
      <c r="B46" s="50"/>
      <c r="C46" s="5" t="s">
        <v>92</v>
      </c>
      <c r="D46" s="49">
        <v>0.2</v>
      </c>
      <c r="E46" s="49"/>
      <c r="F46" s="49"/>
      <c r="G46" s="49">
        <v>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08">
        <v>85</v>
      </c>
      <c r="S46" s="7">
        <f t="shared" si="2"/>
        <v>170</v>
      </c>
      <c r="T46" s="50"/>
      <c r="U46" s="50"/>
      <c r="V46" s="108"/>
      <c r="W46" s="7"/>
    </row>
    <row r="47" spans="1:23" x14ac:dyDescent="0.25">
      <c r="A47" s="50"/>
      <c r="B47" s="50"/>
      <c r="C47" s="5" t="s">
        <v>92</v>
      </c>
      <c r="D47" s="49">
        <v>0.2</v>
      </c>
      <c r="E47" s="49"/>
      <c r="F47" s="49">
        <v>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08">
        <v>75</v>
      </c>
      <c r="S47" s="7">
        <f t="shared" si="2"/>
        <v>675</v>
      </c>
      <c r="T47" s="50"/>
      <c r="U47" s="50"/>
      <c r="V47" s="108"/>
      <c r="W47" s="7"/>
    </row>
    <row r="48" spans="1:23" x14ac:dyDescent="0.25">
      <c r="A48" s="50"/>
      <c r="B48" s="50" t="s">
        <v>100</v>
      </c>
      <c r="C48" s="49" t="s">
        <v>97</v>
      </c>
      <c r="D48" s="49">
        <v>1</v>
      </c>
      <c r="E48" s="49"/>
      <c r="F48" s="49"/>
      <c r="G48" s="49">
        <v>2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08">
        <v>190</v>
      </c>
      <c r="S48" s="108">
        <f t="shared" si="2"/>
        <v>380</v>
      </c>
      <c r="T48" s="50"/>
      <c r="U48" s="50"/>
      <c r="V48" s="108"/>
      <c r="W48" s="108"/>
    </row>
    <row r="49" spans="1:23" x14ac:dyDescent="0.25">
      <c r="A49" s="216"/>
      <c r="B49" s="216" t="s">
        <v>101</v>
      </c>
      <c r="C49" s="49" t="s">
        <v>97</v>
      </c>
      <c r="D49" s="49">
        <v>1</v>
      </c>
      <c r="F49" s="217"/>
      <c r="G49" s="217"/>
      <c r="H49" s="217">
        <v>1</v>
      </c>
      <c r="I49" s="217">
        <v>1</v>
      </c>
      <c r="J49" s="217"/>
      <c r="K49" s="217"/>
      <c r="L49" s="217"/>
      <c r="M49" s="217"/>
      <c r="N49" s="217"/>
      <c r="O49" s="217"/>
      <c r="P49" s="217"/>
      <c r="Q49" s="217"/>
      <c r="R49" s="218">
        <v>190</v>
      </c>
      <c r="S49" s="218">
        <f t="shared" si="2"/>
        <v>380</v>
      </c>
      <c r="T49" s="216"/>
      <c r="U49" s="216"/>
      <c r="V49" s="218"/>
      <c r="W49" s="218"/>
    </row>
    <row r="50" spans="1:23" x14ac:dyDescent="0.25">
      <c r="A50" s="216" t="s">
        <v>108</v>
      </c>
      <c r="B50" s="216" t="s">
        <v>101</v>
      </c>
      <c r="C50" s="217" t="s">
        <v>92</v>
      </c>
      <c r="D50" s="217">
        <v>0.2</v>
      </c>
      <c r="E50" s="217"/>
      <c r="F50" s="217"/>
      <c r="G50" s="217">
        <v>9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>
        <v>75</v>
      </c>
      <c r="S50" s="218">
        <f t="shared" si="2"/>
        <v>675</v>
      </c>
      <c r="T50" s="216" t="s">
        <v>108</v>
      </c>
      <c r="U50" s="216" t="s">
        <v>91</v>
      </c>
      <c r="V50" s="218">
        <v>3100</v>
      </c>
      <c r="W50" s="218"/>
    </row>
    <row r="51" spans="1:23" x14ac:dyDescent="0.25">
      <c r="A51" s="216"/>
      <c r="B51" s="216"/>
      <c r="C51" s="217" t="s">
        <v>92</v>
      </c>
      <c r="D51" s="217">
        <v>0.2</v>
      </c>
      <c r="E51" s="217"/>
      <c r="F51" s="217"/>
      <c r="G51" s="217">
        <v>9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>
        <v>85</v>
      </c>
      <c r="S51" s="218">
        <f t="shared" si="2"/>
        <v>765</v>
      </c>
      <c r="T51" s="216"/>
      <c r="U51" s="216"/>
      <c r="V51" s="218"/>
      <c r="W51" s="218"/>
    </row>
    <row r="52" spans="1:23" x14ac:dyDescent="0.25">
      <c r="A52" s="216"/>
      <c r="B52" s="216"/>
      <c r="C52" s="217" t="s">
        <v>95</v>
      </c>
      <c r="D52" s="217">
        <v>0.11</v>
      </c>
      <c r="E52" s="217"/>
      <c r="F52" s="217"/>
      <c r="G52" s="217"/>
      <c r="H52" s="217">
        <v>8</v>
      </c>
      <c r="I52" s="217">
        <v>8</v>
      </c>
      <c r="J52" s="217">
        <v>8</v>
      </c>
      <c r="K52" s="217">
        <v>8</v>
      </c>
      <c r="L52" s="217"/>
      <c r="M52" s="217"/>
      <c r="N52" s="217"/>
      <c r="O52" s="217"/>
      <c r="P52" s="217"/>
      <c r="Q52" s="217"/>
      <c r="R52" s="218">
        <v>35</v>
      </c>
      <c r="S52" s="218">
        <f t="shared" si="2"/>
        <v>1120</v>
      </c>
      <c r="T52" s="216"/>
      <c r="U52" s="216"/>
      <c r="V52" s="218"/>
      <c r="W52" s="218"/>
    </row>
    <row r="53" spans="1:23" x14ac:dyDescent="0.25">
      <c r="A53" s="216"/>
      <c r="B53" s="216"/>
      <c r="C53" s="217" t="s">
        <v>92</v>
      </c>
      <c r="D53" s="217">
        <v>0.2</v>
      </c>
      <c r="E53" s="217"/>
      <c r="F53" s="217">
        <v>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8">
        <v>75</v>
      </c>
      <c r="S53" s="218">
        <f t="shared" si="2"/>
        <v>300</v>
      </c>
      <c r="T53" s="216"/>
      <c r="U53" s="216"/>
      <c r="V53" s="218"/>
      <c r="W53" s="218"/>
    </row>
    <row r="54" spans="1:23" x14ac:dyDescent="0.25">
      <c r="A54" s="216" t="s">
        <v>109</v>
      </c>
      <c r="B54" s="216" t="s">
        <v>101</v>
      </c>
      <c r="C54" s="217" t="s">
        <v>92</v>
      </c>
      <c r="D54" s="217">
        <v>0.2</v>
      </c>
      <c r="E54" s="217"/>
      <c r="F54" s="217"/>
      <c r="G54" s="217">
        <v>10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8">
        <v>75</v>
      </c>
      <c r="S54" s="218">
        <f t="shared" si="2"/>
        <v>750</v>
      </c>
      <c r="T54" s="216" t="s">
        <v>109</v>
      </c>
      <c r="U54" s="216" t="s">
        <v>91</v>
      </c>
      <c r="V54" s="218">
        <v>2300</v>
      </c>
      <c r="W54" s="218"/>
    </row>
    <row r="55" spans="1:23" x14ac:dyDescent="0.25">
      <c r="A55" s="216"/>
      <c r="B55" s="216"/>
      <c r="C55" s="217" t="s">
        <v>92</v>
      </c>
      <c r="D55" s="217">
        <v>0.2</v>
      </c>
      <c r="E55" s="217"/>
      <c r="F55" s="217"/>
      <c r="G55" s="217">
        <v>10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8">
        <v>85</v>
      </c>
      <c r="S55" s="218">
        <f t="shared" si="2"/>
        <v>850</v>
      </c>
      <c r="T55" s="216"/>
      <c r="U55" s="216"/>
      <c r="V55" s="218"/>
      <c r="W55" s="218"/>
    </row>
    <row r="56" spans="1:23" x14ac:dyDescent="0.25">
      <c r="A56" s="216"/>
      <c r="B56" s="216"/>
      <c r="C56" s="217" t="s">
        <v>95</v>
      </c>
      <c r="D56" s="217">
        <v>0.11</v>
      </c>
      <c r="E56" s="217"/>
      <c r="F56" s="217"/>
      <c r="G56" s="217"/>
      <c r="H56" s="217">
        <v>5</v>
      </c>
      <c r="I56" s="217">
        <v>5</v>
      </c>
      <c r="J56" s="217">
        <v>5</v>
      </c>
      <c r="K56" s="217">
        <v>5</v>
      </c>
      <c r="L56" s="217"/>
      <c r="M56" s="217"/>
      <c r="N56" s="217"/>
      <c r="O56" s="217"/>
      <c r="P56" s="217"/>
      <c r="Q56" s="217"/>
      <c r="R56" s="218">
        <v>35</v>
      </c>
      <c r="S56" s="218">
        <f t="shared" si="2"/>
        <v>700</v>
      </c>
      <c r="T56" s="216"/>
      <c r="U56" s="216"/>
      <c r="V56" s="218"/>
      <c r="W56" s="218"/>
    </row>
    <row r="57" spans="1:23" x14ac:dyDescent="0.25">
      <c r="A57" s="216" t="s">
        <v>112</v>
      </c>
      <c r="B57" s="216" t="s">
        <v>96</v>
      </c>
      <c r="C57" s="217" t="s">
        <v>92</v>
      </c>
      <c r="D57" s="217">
        <v>0.2</v>
      </c>
      <c r="E57" s="217"/>
      <c r="F57" s="217"/>
      <c r="G57" s="217">
        <v>3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8">
        <v>75</v>
      </c>
      <c r="S57" s="218">
        <f t="shared" si="2"/>
        <v>225</v>
      </c>
      <c r="T57" s="216" t="s">
        <v>112</v>
      </c>
      <c r="U57" s="216" t="s">
        <v>91</v>
      </c>
      <c r="V57" s="218">
        <v>2294.8000000000002</v>
      </c>
      <c r="W57" s="218"/>
    </row>
    <row r="58" spans="1:23" x14ac:dyDescent="0.25">
      <c r="A58" s="216"/>
      <c r="B58" s="216"/>
      <c r="C58" s="217" t="s">
        <v>92</v>
      </c>
      <c r="D58" s="217">
        <v>0.2</v>
      </c>
      <c r="E58" s="217"/>
      <c r="F58" s="217"/>
      <c r="G58" s="217">
        <v>14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>
        <v>85</v>
      </c>
      <c r="S58" s="218">
        <f t="shared" si="2"/>
        <v>1190</v>
      </c>
      <c r="T58" s="216"/>
      <c r="U58" s="216"/>
      <c r="V58" s="218"/>
      <c r="W58" s="218"/>
    </row>
    <row r="59" spans="1:23" x14ac:dyDescent="0.25">
      <c r="A59" s="216"/>
      <c r="B59" s="216"/>
      <c r="C59" s="217" t="s">
        <v>97</v>
      </c>
      <c r="D59" s="217">
        <v>1</v>
      </c>
      <c r="E59" s="217"/>
      <c r="F59" s="217"/>
      <c r="G59" s="217"/>
      <c r="H59" s="217">
        <v>1</v>
      </c>
      <c r="I59" s="217"/>
      <c r="J59" s="217">
        <v>1</v>
      </c>
      <c r="K59" s="217"/>
      <c r="L59" s="217"/>
      <c r="M59" s="217"/>
      <c r="N59" s="217"/>
      <c r="O59" s="217"/>
      <c r="P59" s="217"/>
      <c r="Q59" s="217"/>
      <c r="R59" s="218">
        <v>190</v>
      </c>
      <c r="S59" s="218">
        <f t="shared" si="2"/>
        <v>380</v>
      </c>
      <c r="T59" s="216"/>
      <c r="U59" s="216"/>
      <c r="V59" s="218"/>
      <c r="W59" s="218"/>
    </row>
    <row r="60" spans="1:23" x14ac:dyDescent="0.25">
      <c r="A60" s="216"/>
      <c r="B60" s="216"/>
      <c r="C60" s="217"/>
      <c r="D60" s="217"/>
      <c r="E60" s="217">
        <v>2.5499999999999998</v>
      </c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8">
        <v>196</v>
      </c>
      <c r="S60" s="218">
        <f>G60*R60+H60*R60+I60*R60+J60*R60+K60*R60+L60*R60+M60*R60+N60*R60+O60*R60+P60*R60+Q60*R60+F60*R60+E60*R60</f>
        <v>499.79999999999995</v>
      </c>
      <c r="T60" s="216"/>
      <c r="U60" s="216"/>
      <c r="V60" s="218"/>
      <c r="W60" s="218"/>
    </row>
    <row r="61" spans="1:23" x14ac:dyDescent="0.25">
      <c r="A61" s="216" t="s">
        <v>115</v>
      </c>
      <c r="B61" s="216" t="s">
        <v>101</v>
      </c>
      <c r="C61" s="217" t="s">
        <v>92</v>
      </c>
      <c r="D61" s="217"/>
      <c r="E61" s="217"/>
      <c r="F61" s="217"/>
      <c r="G61" s="217">
        <v>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8">
        <v>75</v>
      </c>
      <c r="S61" s="218">
        <f t="shared" si="2"/>
        <v>300</v>
      </c>
      <c r="T61" s="216" t="s">
        <v>115</v>
      </c>
      <c r="U61" s="216" t="s">
        <v>91</v>
      </c>
      <c r="V61" s="218">
        <v>1500</v>
      </c>
      <c r="W61" s="218"/>
    </row>
    <row r="62" spans="1:23" x14ac:dyDescent="0.25">
      <c r="A62" s="216"/>
      <c r="B62" s="216"/>
      <c r="C62" s="217" t="s">
        <v>92</v>
      </c>
      <c r="D62" s="217"/>
      <c r="E62" s="217"/>
      <c r="F62" s="217"/>
      <c r="G62" s="217">
        <v>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8">
        <v>85</v>
      </c>
      <c r="S62" s="218">
        <f t="shared" si="2"/>
        <v>340</v>
      </c>
      <c r="T62" s="216"/>
      <c r="U62" s="216"/>
      <c r="V62" s="218"/>
      <c r="W62" s="218"/>
    </row>
    <row r="63" spans="1:23" x14ac:dyDescent="0.25">
      <c r="A63" s="216"/>
      <c r="B63" s="216"/>
      <c r="C63" s="217" t="s">
        <v>95</v>
      </c>
      <c r="D63" s="217"/>
      <c r="E63" s="217"/>
      <c r="F63" s="217"/>
      <c r="G63" s="217"/>
      <c r="H63" s="217">
        <v>4</v>
      </c>
      <c r="I63" s="217">
        <v>4</v>
      </c>
      <c r="J63" s="217">
        <v>4</v>
      </c>
      <c r="K63" s="217">
        <v>4</v>
      </c>
      <c r="L63" s="217"/>
      <c r="M63" s="217"/>
      <c r="N63" s="217"/>
      <c r="O63" s="217"/>
      <c r="P63" s="217"/>
      <c r="Q63" s="217"/>
      <c r="R63" s="218">
        <v>35</v>
      </c>
      <c r="S63" s="218">
        <f t="shared" si="2"/>
        <v>560</v>
      </c>
      <c r="T63" s="216"/>
      <c r="U63" s="216"/>
      <c r="V63" s="218"/>
      <c r="W63" s="218"/>
    </row>
    <row r="64" spans="1:23" x14ac:dyDescent="0.25">
      <c r="A64" s="216"/>
      <c r="B64" s="216" t="s">
        <v>96</v>
      </c>
      <c r="C64" s="217" t="s">
        <v>92</v>
      </c>
      <c r="D64" s="217"/>
      <c r="E64" s="217"/>
      <c r="F64" s="217"/>
      <c r="G64" s="217">
        <v>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8">
        <v>75</v>
      </c>
      <c r="S64" s="218">
        <f t="shared" si="2"/>
        <v>75</v>
      </c>
      <c r="T64" s="216" t="s">
        <v>115</v>
      </c>
      <c r="U64" s="216" t="s">
        <v>91</v>
      </c>
      <c r="V64" s="218">
        <v>100</v>
      </c>
      <c r="W64" s="218"/>
    </row>
    <row r="65" spans="1:23" x14ac:dyDescent="0.25">
      <c r="A65" s="216" t="s">
        <v>116</v>
      </c>
      <c r="B65" s="216" t="s">
        <v>117</v>
      </c>
      <c r="C65" s="217" t="s">
        <v>92</v>
      </c>
      <c r="D65" s="217"/>
      <c r="E65" s="217"/>
      <c r="F65" s="217"/>
      <c r="G65" s="217">
        <v>54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8">
        <v>85</v>
      </c>
      <c r="S65" s="218">
        <f t="shared" si="2"/>
        <v>4590</v>
      </c>
      <c r="T65" s="216" t="s">
        <v>116</v>
      </c>
      <c r="U65" s="216" t="s">
        <v>91</v>
      </c>
      <c r="V65" s="218">
        <v>11430</v>
      </c>
      <c r="W65" s="218"/>
    </row>
    <row r="66" spans="1:23" x14ac:dyDescent="0.25">
      <c r="A66" s="216"/>
      <c r="B66" s="216"/>
      <c r="C66" s="217" t="s">
        <v>92</v>
      </c>
      <c r="D66" s="217"/>
      <c r="E66" s="217"/>
      <c r="F66" s="217"/>
      <c r="G66" s="217">
        <v>72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8">
        <v>95</v>
      </c>
      <c r="S66" s="218">
        <f t="shared" si="2"/>
        <v>6840</v>
      </c>
      <c r="T66" s="216"/>
      <c r="U66" s="216"/>
      <c r="V66" s="218"/>
      <c r="W66" s="218"/>
    </row>
    <row r="67" spans="1:23" x14ac:dyDescent="0.25">
      <c r="A67" s="216" t="s">
        <v>118</v>
      </c>
      <c r="B67" s="216" t="s">
        <v>101</v>
      </c>
      <c r="C67" s="217"/>
      <c r="D67" s="217"/>
      <c r="E67" s="217"/>
      <c r="F67" s="217"/>
      <c r="G67" s="217">
        <v>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8">
        <v>75</v>
      </c>
      <c r="S67" s="218">
        <f t="shared" si="2"/>
        <v>375</v>
      </c>
      <c r="T67" s="216" t="s">
        <v>119</v>
      </c>
      <c r="U67" s="216" t="s">
        <v>91</v>
      </c>
      <c r="V67" s="218">
        <v>1360</v>
      </c>
      <c r="W67" s="218"/>
    </row>
    <row r="68" spans="1:23" x14ac:dyDescent="0.25">
      <c r="A68" s="216"/>
      <c r="B68" s="216"/>
      <c r="C68" s="217"/>
      <c r="D68" s="217"/>
      <c r="E68" s="217"/>
      <c r="F68" s="217"/>
      <c r="G68" s="217">
        <v>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8">
        <v>85</v>
      </c>
      <c r="S68" s="218">
        <f t="shared" si="2"/>
        <v>425</v>
      </c>
      <c r="T68" s="216"/>
      <c r="U68" s="216"/>
      <c r="V68" s="218"/>
      <c r="W68" s="218"/>
    </row>
    <row r="69" spans="1:23" ht="16.5" thickBot="1" x14ac:dyDescent="0.3">
      <c r="A69" s="226"/>
      <c r="B69" s="226"/>
      <c r="C69" s="227"/>
      <c r="D69" s="227"/>
      <c r="E69" s="227"/>
      <c r="F69" s="227"/>
      <c r="G69" s="227"/>
      <c r="H69" s="227">
        <v>4</v>
      </c>
      <c r="I69" s="227">
        <v>4</v>
      </c>
      <c r="J69" s="227">
        <v>4</v>
      </c>
      <c r="K69" s="227">
        <v>4</v>
      </c>
      <c r="L69" s="227"/>
      <c r="M69" s="227"/>
      <c r="N69" s="227"/>
      <c r="O69" s="227"/>
      <c r="P69" s="227"/>
      <c r="Q69" s="227"/>
      <c r="R69" s="228">
        <v>35</v>
      </c>
      <c r="S69" s="228">
        <f t="shared" si="2"/>
        <v>560</v>
      </c>
      <c r="T69" s="226"/>
      <c r="U69" s="226"/>
      <c r="V69" s="228"/>
      <c r="W69" s="228"/>
    </row>
    <row r="70" spans="1:23" x14ac:dyDescent="0.25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2"/>
      <c r="S70" s="222">
        <f t="shared" si="2"/>
        <v>0</v>
      </c>
      <c r="T70" s="219"/>
      <c r="U70" s="219"/>
      <c r="V70" s="222"/>
      <c r="W70" s="222"/>
    </row>
    <row r="71" spans="1:23" x14ac:dyDescent="0.25">
      <c r="A71" s="216"/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  <c r="S71" s="218">
        <f t="shared" si="2"/>
        <v>0</v>
      </c>
      <c r="T71" s="216"/>
      <c r="U71" s="216"/>
      <c r="V71" s="218"/>
      <c r="W71" s="218"/>
    </row>
    <row r="72" spans="1:23" x14ac:dyDescent="0.25">
      <c r="A72" s="219"/>
      <c r="B72" s="219"/>
      <c r="C72" s="220"/>
      <c r="D72" s="220"/>
      <c r="E72" s="220"/>
      <c r="F72" s="220">
        <f>SUM(F4:F71)</f>
        <v>19</v>
      </c>
      <c r="G72" s="221">
        <f t="shared" ref="G72:Q72" si="3">SUM(G3:G71)</f>
        <v>1051</v>
      </c>
      <c r="H72" s="220">
        <f t="shared" si="3"/>
        <v>78</v>
      </c>
      <c r="I72" s="220">
        <f t="shared" si="3"/>
        <v>77</v>
      </c>
      <c r="J72" s="220">
        <f t="shared" si="3"/>
        <v>85</v>
      </c>
      <c r="K72" s="220">
        <f t="shared" si="3"/>
        <v>84</v>
      </c>
      <c r="L72" s="220">
        <f t="shared" si="3"/>
        <v>7</v>
      </c>
      <c r="M72" s="220">
        <f t="shared" si="3"/>
        <v>7</v>
      </c>
      <c r="N72" s="220">
        <f t="shared" si="3"/>
        <v>7</v>
      </c>
      <c r="O72" s="220">
        <f t="shared" si="3"/>
        <v>7</v>
      </c>
      <c r="P72" s="220">
        <f t="shared" si="3"/>
        <v>7</v>
      </c>
      <c r="Q72" s="220">
        <f t="shared" si="3"/>
        <v>7</v>
      </c>
      <c r="R72" s="222"/>
      <c r="S72" s="218">
        <f t="shared" si="2"/>
        <v>0</v>
      </c>
      <c r="T72" s="219"/>
      <c r="U72" s="219"/>
      <c r="V72" s="222"/>
      <c r="W72" s="24">
        <f>W28+S72-V78</f>
        <v>0</v>
      </c>
    </row>
    <row r="73" spans="1:23" x14ac:dyDescent="0.25"/>
    <row r="74" spans="1:23" x14ac:dyDescent="0.25"/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pane ySplit="1" topLeftCell="A4" activePane="bottomLeft" state="frozen"/>
      <selection pane="bottomLeft" activeCell="L31" sqref="L31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0.28515625" style="8" customWidth="1"/>
    <col min="4" max="4" width="12.28515625" style="8" customWidth="1"/>
    <col min="5" max="6" width="8.85546875" style="1"/>
    <col min="7" max="7" width="11.5703125" style="8" bestFit="1" customWidth="1"/>
    <col min="8" max="8" width="11.7109375" style="8" customWidth="1"/>
    <col min="9" max="16384" width="8.85546875" style="1"/>
  </cols>
  <sheetData>
    <row r="1" spans="1:8" s="2" customFormat="1" ht="47.25" x14ac:dyDescent="0.25">
      <c r="A1" s="3" t="s">
        <v>0</v>
      </c>
      <c r="B1" s="3" t="s">
        <v>102</v>
      </c>
      <c r="C1" s="6" t="s">
        <v>6</v>
      </c>
      <c r="D1" s="6" t="s">
        <v>7</v>
      </c>
      <c r="E1" s="3" t="s">
        <v>8</v>
      </c>
      <c r="F1" s="3" t="s">
        <v>9</v>
      </c>
      <c r="G1" s="6" t="s">
        <v>7</v>
      </c>
      <c r="H1" s="6" t="s">
        <v>10</v>
      </c>
    </row>
    <row r="2" spans="1:8" x14ac:dyDescent="0.25">
      <c r="A2" s="4"/>
      <c r="B2" s="5"/>
      <c r="C2" s="7"/>
      <c r="D2" s="7"/>
      <c r="E2" s="4"/>
      <c r="F2" s="4"/>
      <c r="G2" s="7"/>
      <c r="H2" s="7">
        <v>0</v>
      </c>
    </row>
    <row r="3" spans="1:8" x14ac:dyDescent="0.25">
      <c r="A3" s="9">
        <v>45699</v>
      </c>
      <c r="B3" s="5">
        <v>940.5</v>
      </c>
      <c r="C3" s="7">
        <v>46</v>
      </c>
      <c r="D3" s="7">
        <f>B3*C3</f>
        <v>43263</v>
      </c>
      <c r="E3" s="9"/>
      <c r="F3" s="4"/>
      <c r="G3" s="7"/>
      <c r="H3" s="7">
        <f>H2+D3-G3</f>
        <v>43263</v>
      </c>
    </row>
    <row r="4" spans="1:8" x14ac:dyDescent="0.25">
      <c r="A4" s="9"/>
      <c r="B4" s="5"/>
      <c r="C4" s="7"/>
      <c r="D4" s="7">
        <f t="shared" ref="D4:D23" si="0">B4*C4</f>
        <v>0</v>
      </c>
      <c r="E4" s="9">
        <v>45705</v>
      </c>
      <c r="F4" s="4" t="s">
        <v>11</v>
      </c>
      <c r="G4" s="7">
        <v>43263</v>
      </c>
      <c r="H4" s="7">
        <f t="shared" ref="H4:H23" si="1">H3+D4-G4</f>
        <v>0</v>
      </c>
    </row>
    <row r="5" spans="1:8" ht="16.5" thickBot="1" x14ac:dyDescent="0.3">
      <c r="A5" s="170" t="s">
        <v>35</v>
      </c>
      <c r="B5" s="183"/>
      <c r="C5" s="171"/>
      <c r="D5" s="171">
        <f t="shared" si="0"/>
        <v>0</v>
      </c>
      <c r="E5" s="170"/>
      <c r="F5" s="170"/>
      <c r="G5" s="171"/>
      <c r="H5" s="171">
        <f t="shared" si="1"/>
        <v>0</v>
      </c>
    </row>
    <row r="6" spans="1:8" x14ac:dyDescent="0.25">
      <c r="A6" s="72">
        <v>45770</v>
      </c>
      <c r="B6" s="74">
        <v>1677.5</v>
      </c>
      <c r="C6" s="159">
        <v>46</v>
      </c>
      <c r="D6" s="159">
        <f t="shared" si="0"/>
        <v>77165</v>
      </c>
      <c r="E6" s="73"/>
      <c r="F6" s="73"/>
      <c r="G6" s="159"/>
      <c r="H6" s="75">
        <f t="shared" si="1"/>
        <v>77165</v>
      </c>
    </row>
    <row r="7" spans="1:8" ht="16.5" thickBot="1" x14ac:dyDescent="0.3">
      <c r="A7" s="78"/>
      <c r="B7" s="26"/>
      <c r="C7" s="27"/>
      <c r="D7" s="27">
        <f t="shared" si="0"/>
        <v>0</v>
      </c>
      <c r="E7" s="25">
        <v>45777</v>
      </c>
      <c r="F7" s="28"/>
      <c r="G7" s="27">
        <v>77165</v>
      </c>
      <c r="H7" s="79">
        <f t="shared" si="1"/>
        <v>0</v>
      </c>
    </row>
    <row r="8" spans="1:8" x14ac:dyDescent="0.25">
      <c r="A8" s="22"/>
      <c r="B8" s="23"/>
      <c r="C8" s="24"/>
      <c r="D8" s="24">
        <f t="shared" si="0"/>
        <v>0</v>
      </c>
      <c r="E8" s="22"/>
      <c r="F8" s="22"/>
      <c r="G8" s="24"/>
      <c r="H8" s="24">
        <f t="shared" si="1"/>
        <v>0</v>
      </c>
    </row>
    <row r="9" spans="1:8" x14ac:dyDescent="0.25">
      <c r="A9" s="4"/>
      <c r="B9" s="5"/>
      <c r="C9" s="7"/>
      <c r="D9" s="7">
        <f t="shared" si="0"/>
        <v>0</v>
      </c>
      <c r="E9" s="4"/>
      <c r="F9" s="4"/>
      <c r="G9" s="7"/>
      <c r="H9" s="7">
        <f t="shared" si="1"/>
        <v>0</v>
      </c>
    </row>
    <row r="10" spans="1:8" x14ac:dyDescent="0.25">
      <c r="A10" s="4"/>
      <c r="B10" s="5"/>
      <c r="C10" s="7"/>
      <c r="D10" s="7">
        <f t="shared" si="0"/>
        <v>0</v>
      </c>
      <c r="E10" s="4"/>
      <c r="F10" s="4"/>
      <c r="G10" s="7"/>
      <c r="H10" s="7">
        <f t="shared" si="1"/>
        <v>0</v>
      </c>
    </row>
    <row r="11" spans="1:8" x14ac:dyDescent="0.25">
      <c r="A11" s="4"/>
      <c r="B11" s="5"/>
      <c r="C11" s="7"/>
      <c r="D11" s="7">
        <f>B11*C11</f>
        <v>0</v>
      </c>
      <c r="E11" s="4"/>
      <c r="F11" s="4"/>
      <c r="G11" s="7"/>
      <c r="H11" s="7">
        <f t="shared" si="1"/>
        <v>0</v>
      </c>
    </row>
    <row r="12" spans="1:8" x14ac:dyDescent="0.25">
      <c r="A12" s="4"/>
      <c r="B12" s="5"/>
      <c r="C12" s="7"/>
      <c r="D12" s="7">
        <f t="shared" si="0"/>
        <v>0</v>
      </c>
      <c r="E12" s="4"/>
      <c r="F12" s="4"/>
      <c r="G12" s="7"/>
      <c r="H12" s="7">
        <f t="shared" si="1"/>
        <v>0</v>
      </c>
    </row>
    <row r="13" spans="1:8" x14ac:dyDescent="0.25">
      <c r="A13" s="4"/>
      <c r="B13" s="5"/>
      <c r="C13" s="7"/>
      <c r="D13" s="7">
        <f t="shared" si="0"/>
        <v>0</v>
      </c>
      <c r="E13" s="4"/>
      <c r="F13" s="4"/>
      <c r="G13" s="7"/>
      <c r="H13" s="7">
        <f t="shared" si="1"/>
        <v>0</v>
      </c>
    </row>
    <row r="14" spans="1:8" x14ac:dyDescent="0.25">
      <c r="A14" s="4"/>
      <c r="B14" s="5"/>
      <c r="C14" s="7"/>
      <c r="D14" s="7">
        <f t="shared" si="0"/>
        <v>0</v>
      </c>
      <c r="E14" s="4"/>
      <c r="F14" s="4"/>
      <c r="G14" s="7"/>
      <c r="H14" s="7">
        <f t="shared" si="1"/>
        <v>0</v>
      </c>
    </row>
    <row r="15" spans="1:8" x14ac:dyDescent="0.25">
      <c r="A15" s="4"/>
      <c r="B15" s="5"/>
      <c r="C15" s="7"/>
      <c r="D15" s="7">
        <f t="shared" si="0"/>
        <v>0</v>
      </c>
      <c r="E15" s="4"/>
      <c r="F15" s="4"/>
      <c r="G15" s="7"/>
      <c r="H15" s="7">
        <f t="shared" si="1"/>
        <v>0</v>
      </c>
    </row>
    <row r="16" spans="1:8" x14ac:dyDescent="0.25">
      <c r="A16" s="4"/>
      <c r="B16" s="5"/>
      <c r="C16" s="7"/>
      <c r="D16" s="7">
        <f t="shared" si="0"/>
        <v>0</v>
      </c>
      <c r="E16" s="4"/>
      <c r="F16" s="4"/>
      <c r="G16" s="7"/>
      <c r="H16" s="7">
        <f t="shared" si="1"/>
        <v>0</v>
      </c>
    </row>
    <row r="17" spans="1:8" x14ac:dyDescent="0.25">
      <c r="A17" s="4"/>
      <c r="B17" s="5"/>
      <c r="C17" s="7"/>
      <c r="D17" s="7">
        <f t="shared" si="0"/>
        <v>0</v>
      </c>
      <c r="E17" s="4"/>
      <c r="F17" s="4"/>
      <c r="G17" s="7"/>
      <c r="H17" s="7">
        <f t="shared" si="1"/>
        <v>0</v>
      </c>
    </row>
    <row r="18" spans="1:8" x14ac:dyDescent="0.25">
      <c r="A18" s="4"/>
      <c r="B18" s="5"/>
      <c r="C18" s="7"/>
      <c r="D18" s="7">
        <f>B18*C18</f>
        <v>0</v>
      </c>
      <c r="E18" s="4"/>
      <c r="F18" s="4"/>
      <c r="G18" s="7"/>
      <c r="H18" s="7">
        <f t="shared" si="1"/>
        <v>0</v>
      </c>
    </row>
    <row r="19" spans="1:8" x14ac:dyDescent="0.25">
      <c r="A19" s="4"/>
      <c r="B19" s="5"/>
      <c r="C19" s="7"/>
      <c r="D19" s="7">
        <f t="shared" si="0"/>
        <v>0</v>
      </c>
      <c r="E19" s="4"/>
      <c r="F19" s="4"/>
      <c r="G19" s="7"/>
      <c r="H19" s="7">
        <f t="shared" si="1"/>
        <v>0</v>
      </c>
    </row>
    <row r="20" spans="1:8" x14ac:dyDescent="0.25">
      <c r="A20" s="4"/>
      <c r="B20" s="5"/>
      <c r="C20" s="7"/>
      <c r="D20" s="7">
        <f t="shared" si="0"/>
        <v>0</v>
      </c>
      <c r="E20" s="4"/>
      <c r="F20" s="4"/>
      <c r="G20" s="7"/>
      <c r="H20" s="7">
        <f t="shared" si="1"/>
        <v>0</v>
      </c>
    </row>
    <row r="21" spans="1:8" x14ac:dyDescent="0.25">
      <c r="A21" s="4"/>
      <c r="B21" s="5"/>
      <c r="C21" s="7"/>
      <c r="D21" s="7">
        <f t="shared" si="0"/>
        <v>0</v>
      </c>
      <c r="E21" s="4"/>
      <c r="F21" s="4"/>
      <c r="G21" s="7"/>
      <c r="H21" s="7">
        <f t="shared" si="1"/>
        <v>0</v>
      </c>
    </row>
    <row r="22" spans="1:8" x14ac:dyDescent="0.25">
      <c r="A22" s="4"/>
      <c r="B22" s="5"/>
      <c r="C22" s="7"/>
      <c r="D22" s="7">
        <f t="shared" si="0"/>
        <v>0</v>
      </c>
      <c r="E22" s="4"/>
      <c r="F22" s="4"/>
      <c r="G22" s="7"/>
      <c r="H22" s="7">
        <f t="shared" si="1"/>
        <v>0</v>
      </c>
    </row>
    <row r="23" spans="1:8" x14ac:dyDescent="0.25">
      <c r="A23" s="4"/>
      <c r="B23" s="5"/>
      <c r="C23" s="7"/>
      <c r="D23" s="7">
        <f t="shared" si="0"/>
        <v>0</v>
      </c>
      <c r="E23" s="4"/>
      <c r="F23" s="4"/>
      <c r="G23" s="7"/>
      <c r="H23" s="7">
        <f t="shared" si="1"/>
        <v>0</v>
      </c>
    </row>
    <row r="24" spans="1:8" x14ac:dyDescent="0.25">
      <c r="A24" s="4"/>
      <c r="B24" s="5">
        <f>SUM(B3:B23)</f>
        <v>2618</v>
      </c>
      <c r="C24" s="7"/>
      <c r="D24" s="7"/>
      <c r="E24" s="4"/>
      <c r="F24" s="4"/>
      <c r="G24" s="7"/>
      <c r="H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tabSelected="1" workbookViewId="0">
      <pane ySplit="1" topLeftCell="A36" activePane="bottomLeft" state="frozen"/>
      <selection pane="bottomLeft" activeCell="M59" sqref="M59"/>
    </sheetView>
  </sheetViews>
  <sheetFormatPr defaultColWidth="8.85546875" defaultRowHeight="15.75" x14ac:dyDescent="0.25"/>
  <cols>
    <col min="1" max="1" width="9.7109375" style="1" customWidth="1"/>
    <col min="2" max="2" width="16" style="48" bestFit="1" customWidth="1"/>
    <col min="3" max="3" width="8.85546875" style="1"/>
    <col min="4" max="4" width="16" style="8" bestFit="1" customWidth="1"/>
    <col min="5" max="5" width="14.85546875" style="8" bestFit="1" customWidth="1"/>
    <col min="6" max="6" width="8.85546875" style="161"/>
    <col min="7" max="7" width="8.85546875" style="1"/>
    <col min="8" max="8" width="13.5703125" style="48" customWidth="1"/>
    <col min="9" max="9" width="11.140625" style="48" customWidth="1"/>
    <col min="10" max="10" width="17.42578125" style="48" customWidth="1"/>
    <col min="11" max="16384" width="8.85546875" style="1"/>
  </cols>
  <sheetData>
    <row r="1" spans="1:10" s="2" customFormat="1" ht="47.25" x14ac:dyDescent="0.25">
      <c r="A1" s="60" t="s">
        <v>0</v>
      </c>
      <c r="B1" s="187" t="s">
        <v>7</v>
      </c>
      <c r="C1" s="60" t="s">
        <v>8</v>
      </c>
      <c r="D1" s="63" t="s">
        <v>7</v>
      </c>
      <c r="E1" s="63" t="s">
        <v>10</v>
      </c>
      <c r="F1" s="162" t="s">
        <v>103</v>
      </c>
      <c r="G1" s="163" t="s">
        <v>104</v>
      </c>
      <c r="H1" s="164" t="s">
        <v>105</v>
      </c>
      <c r="I1" s="164" t="s">
        <v>106</v>
      </c>
      <c r="J1" s="164" t="s">
        <v>10</v>
      </c>
    </row>
    <row r="2" spans="1:10" ht="16.5" thickBot="1" x14ac:dyDescent="0.3">
      <c r="A2" s="50"/>
      <c r="B2" s="155"/>
      <c r="C2" s="4"/>
      <c r="D2" s="7"/>
      <c r="E2" s="7">
        <v>0</v>
      </c>
      <c r="F2" s="160"/>
      <c r="G2" s="4"/>
      <c r="H2" s="45"/>
      <c r="I2" s="45"/>
      <c r="J2" s="45">
        <v>0</v>
      </c>
    </row>
    <row r="3" spans="1:10" ht="16.5" thickBot="1" x14ac:dyDescent="0.3">
      <c r="A3" s="109">
        <v>45737</v>
      </c>
      <c r="B3" s="158" t="e">
        <f>#REF!*#REF!+#REF!*#REF!+#REF!*#REF!+#REF!*#REF!+#REF!*#REF!</f>
        <v>#REF!</v>
      </c>
      <c r="C3" s="67"/>
      <c r="D3" s="7"/>
      <c r="E3" s="7" t="e">
        <f t="shared" ref="E3:E34" si="0">E2+B3-D3</f>
        <v>#REF!</v>
      </c>
      <c r="F3" s="160"/>
      <c r="G3" s="4"/>
      <c r="H3" s="45"/>
      <c r="I3" s="45"/>
      <c r="J3" s="45">
        <f>J2+H3-I3</f>
        <v>0</v>
      </c>
    </row>
    <row r="4" spans="1:10" x14ac:dyDescent="0.25">
      <c r="A4" s="72">
        <v>45742</v>
      </c>
      <c r="B4" s="173" t="e">
        <f>#REF!*#REF!+#REF!*#REF!+#REF!*#REF!+#REF!*#REF!+#REF!*#REF!</f>
        <v>#REF!</v>
      </c>
      <c r="C4" s="67"/>
      <c r="D4" s="7"/>
      <c r="E4" s="7" t="e">
        <f t="shared" si="0"/>
        <v>#REF!</v>
      </c>
      <c r="F4" s="160"/>
      <c r="G4" s="4"/>
      <c r="H4" s="45"/>
      <c r="I4" s="45"/>
      <c r="J4" s="45">
        <f t="shared" ref="J4:J70" si="1">J3+H4-I4</f>
        <v>0</v>
      </c>
    </row>
    <row r="5" spans="1:10" ht="16.5" thickBot="1" x14ac:dyDescent="0.3">
      <c r="A5" s="78"/>
      <c r="B5" s="174" t="e">
        <f>#REF!*#REF!+#REF!*#REF!+#REF!*#REF!+#REF!*#REF!+#REF!*#REF!</f>
        <v>#REF!</v>
      </c>
      <c r="C5" s="68"/>
      <c r="D5" s="7"/>
      <c r="E5" s="7" t="e">
        <f t="shared" si="0"/>
        <v>#REF!</v>
      </c>
      <c r="F5" s="160"/>
      <c r="G5" s="4"/>
      <c r="H5" s="45"/>
      <c r="I5" s="45"/>
      <c r="J5" s="45">
        <f t="shared" si="1"/>
        <v>0</v>
      </c>
    </row>
    <row r="6" spans="1:10" ht="16.5" thickBot="1" x14ac:dyDescent="0.3">
      <c r="A6" s="167" t="s">
        <v>35</v>
      </c>
      <c r="B6" s="188" t="e">
        <f>#REF!*#REF!+#REF!*#REF!+#REF!*#REF!+#REF!*#REF!+#REF!*#REF!</f>
        <v>#REF!</v>
      </c>
      <c r="C6" s="170"/>
      <c r="D6" s="171"/>
      <c r="E6" s="171" t="e">
        <f t="shared" si="0"/>
        <v>#REF!</v>
      </c>
      <c r="F6" s="160"/>
      <c r="G6" s="4"/>
      <c r="H6" s="45"/>
      <c r="I6" s="45"/>
      <c r="J6" s="45">
        <f t="shared" si="1"/>
        <v>0</v>
      </c>
    </row>
    <row r="7" spans="1:10" x14ac:dyDescent="0.25">
      <c r="A7" s="176"/>
      <c r="B7" s="189" t="e">
        <f>#REF!*#REF!+#REF!*#REF!+#REF!*#REF!+#REF!*#REF!+#REF!*#REF!</f>
        <v>#REF!</v>
      </c>
      <c r="C7" s="172">
        <v>45748</v>
      </c>
      <c r="D7" s="159">
        <v>1897056</v>
      </c>
      <c r="E7" s="75" t="e">
        <f t="shared" si="0"/>
        <v>#REF!</v>
      </c>
      <c r="F7" s="175">
        <v>2.88</v>
      </c>
      <c r="G7" s="4">
        <v>40</v>
      </c>
      <c r="H7" s="45">
        <f>-D7/100*F7</f>
        <v>-54635.212800000001</v>
      </c>
      <c r="I7" s="45"/>
      <c r="J7" s="45">
        <f t="shared" si="1"/>
        <v>-54635.212800000001</v>
      </c>
    </row>
    <row r="8" spans="1:10" x14ac:dyDescent="0.25">
      <c r="A8" s="76">
        <v>45751</v>
      </c>
      <c r="B8" s="45" t="e">
        <f>#REF!*#REF!+#REF!*#REF!+#REF!*#REF!+#REF!*#REF!+#REF!*#REF!</f>
        <v>#REF!</v>
      </c>
      <c r="C8" s="4"/>
      <c r="D8" s="7"/>
      <c r="E8" s="77" t="e">
        <f t="shared" si="0"/>
        <v>#REF!</v>
      </c>
      <c r="F8" s="175"/>
      <c r="G8" s="4"/>
      <c r="H8" s="45"/>
      <c r="I8" s="45"/>
      <c r="J8" s="45">
        <f t="shared" si="1"/>
        <v>-54635.212800000001</v>
      </c>
    </row>
    <row r="9" spans="1:10" ht="16.5" thickBot="1" x14ac:dyDescent="0.3">
      <c r="A9" s="78"/>
      <c r="B9" s="46" t="e">
        <f>#REF!*#REF!+#REF!*#REF!+#REF!*#REF!+#REF!*#REF!+#REF!*#REF!</f>
        <v>#REF!</v>
      </c>
      <c r="C9" s="28"/>
      <c r="D9" s="27"/>
      <c r="E9" s="79" t="e">
        <f t="shared" si="0"/>
        <v>#REF!</v>
      </c>
      <c r="F9" s="175"/>
      <c r="G9" s="4"/>
      <c r="H9" s="45"/>
      <c r="I9" s="45"/>
      <c r="J9" s="45">
        <f t="shared" si="1"/>
        <v>-54635.212800000001</v>
      </c>
    </row>
    <row r="10" spans="1:10" x14ac:dyDescent="0.25">
      <c r="A10" s="72">
        <v>45755</v>
      </c>
      <c r="B10" s="189" t="e">
        <f>#REF!*#REF!+#REF!*#REF!+#REF!*#REF!+#REF!*#REF!+#REF!*#REF!</f>
        <v>#REF!</v>
      </c>
      <c r="C10" s="172">
        <v>45755</v>
      </c>
      <c r="D10" s="159">
        <v>2384870.3999999999</v>
      </c>
      <c r="E10" s="75" t="e">
        <f t="shared" si="0"/>
        <v>#REF!</v>
      </c>
      <c r="F10" s="175">
        <v>2.88</v>
      </c>
      <c r="G10" s="4">
        <v>40</v>
      </c>
      <c r="H10" s="45">
        <f>-D10/100*F10</f>
        <v>-68684.267519999994</v>
      </c>
      <c r="I10" s="45"/>
      <c r="J10" s="45">
        <f t="shared" si="1"/>
        <v>-123319.48032</v>
      </c>
    </row>
    <row r="11" spans="1:10" x14ac:dyDescent="0.25">
      <c r="A11" s="76">
        <v>45763</v>
      </c>
      <c r="B11" s="45" t="e">
        <f>#REF!*#REF!+#REF!*#REF!+#REF!*#REF!+#REF!*#REF!+#REF!*#REF!</f>
        <v>#REF!</v>
      </c>
      <c r="C11" s="9">
        <v>45763</v>
      </c>
      <c r="D11" s="7">
        <v>1128960</v>
      </c>
      <c r="E11" s="77" t="e">
        <f t="shared" si="0"/>
        <v>#REF!</v>
      </c>
      <c r="F11" s="175">
        <v>2.88</v>
      </c>
      <c r="G11" s="4">
        <v>40</v>
      </c>
      <c r="H11" s="45">
        <f>-D11/100*F11</f>
        <v>-32514.047999999999</v>
      </c>
      <c r="I11" s="45"/>
      <c r="J11" s="45">
        <f t="shared" si="1"/>
        <v>-155833.52832000001</v>
      </c>
    </row>
    <row r="12" spans="1:10" x14ac:dyDescent="0.25">
      <c r="A12" s="76"/>
      <c r="B12" s="45" t="e">
        <f>#REF!*#REF!+#REF!*#REF!+#REF!*#REF!+#REF!*#REF!+#REF!*#REF!</f>
        <v>#REF!</v>
      </c>
      <c r="C12" s="4"/>
      <c r="D12" s="7"/>
      <c r="E12" s="77" t="e">
        <f t="shared" si="0"/>
        <v>#REF!</v>
      </c>
      <c r="F12" s="175"/>
      <c r="G12" s="4"/>
      <c r="H12" s="45"/>
      <c r="I12" s="45"/>
      <c r="J12" s="45">
        <f t="shared" si="1"/>
        <v>-155833.52832000001</v>
      </c>
    </row>
    <row r="13" spans="1:10" x14ac:dyDescent="0.25">
      <c r="A13" s="76"/>
      <c r="B13" s="45" t="e">
        <f>#REF!*#REF!+#REF!*#REF!+#REF!*#REF!+#REF!*#REF!+#REF!*#REF!</f>
        <v>#REF!</v>
      </c>
      <c r="C13" s="4"/>
      <c r="D13" s="7"/>
      <c r="E13" s="77" t="e">
        <f t="shared" si="0"/>
        <v>#REF!</v>
      </c>
      <c r="F13" s="175"/>
      <c r="G13" s="4"/>
      <c r="H13" s="45"/>
      <c r="I13" s="45"/>
      <c r="J13" s="45">
        <f t="shared" si="1"/>
        <v>-155833.52832000001</v>
      </c>
    </row>
    <row r="14" spans="1:10" ht="16.5" thickBot="1" x14ac:dyDescent="0.3">
      <c r="A14" s="78"/>
      <c r="B14" s="46" t="e">
        <f>#REF!*#REF!+#REF!*#REF!+#REF!*#REF!+#REF!*#REF!+#REF!*#REF!</f>
        <v>#REF!</v>
      </c>
      <c r="C14" s="28"/>
      <c r="D14" s="27"/>
      <c r="E14" s="79" t="e">
        <f t="shared" si="0"/>
        <v>#REF!</v>
      </c>
      <c r="F14" s="175"/>
      <c r="G14" s="4"/>
      <c r="H14" s="45"/>
      <c r="I14" s="45"/>
      <c r="J14" s="45">
        <f t="shared" si="1"/>
        <v>-155833.52832000001</v>
      </c>
    </row>
    <row r="15" spans="1:10" x14ac:dyDescent="0.25">
      <c r="A15" s="72">
        <v>45768</v>
      </c>
      <c r="B15" s="189" t="e">
        <f>#REF!*#REF!+#REF!*#REF!+#REF!*#REF!+#REF!*#REF!+#REF!*#REF!</f>
        <v>#REF!</v>
      </c>
      <c r="C15" s="73"/>
      <c r="D15" s="159"/>
      <c r="E15" s="75" t="e">
        <f t="shared" si="0"/>
        <v>#REF!</v>
      </c>
      <c r="F15" s="175"/>
      <c r="G15" s="4"/>
      <c r="H15" s="45"/>
      <c r="I15" s="45"/>
      <c r="J15" s="45">
        <f t="shared" si="1"/>
        <v>-155833.52832000001</v>
      </c>
    </row>
    <row r="16" spans="1:10" x14ac:dyDescent="0.25">
      <c r="A16" s="76">
        <v>45770</v>
      </c>
      <c r="B16" s="47" t="e">
        <f>#REF!*#REF!+#REF!*#REF!+#REF!*#REF!+#REF!*#REF!+#REF!*#REF!</f>
        <v>#REF!</v>
      </c>
      <c r="C16" s="22"/>
      <c r="D16" s="24"/>
      <c r="E16" s="138" t="e">
        <f>E15+B16-D16</f>
        <v>#REF!</v>
      </c>
      <c r="F16" s="175"/>
      <c r="G16" s="4"/>
      <c r="H16" s="45"/>
      <c r="I16" s="45"/>
      <c r="J16" s="45">
        <f t="shared" si="1"/>
        <v>-155833.52832000001</v>
      </c>
    </row>
    <row r="17" spans="1:10" x14ac:dyDescent="0.25">
      <c r="A17" s="184"/>
      <c r="B17" s="47" t="e">
        <f>#REF!*#REF!+#REF!*#REF!+#REF!*#REF!+#REF!*#REF!+#REF!*#REF!</f>
        <v>#REF!</v>
      </c>
      <c r="C17" s="22"/>
      <c r="D17" s="24"/>
      <c r="E17" s="138" t="e">
        <f t="shared" si="0"/>
        <v>#REF!</v>
      </c>
      <c r="F17" s="175"/>
      <c r="G17" s="4"/>
      <c r="H17" s="45"/>
      <c r="I17" s="45"/>
      <c r="J17" s="45">
        <f t="shared" si="1"/>
        <v>-155833.52832000001</v>
      </c>
    </row>
    <row r="18" spans="1:10" x14ac:dyDescent="0.25">
      <c r="A18" s="186">
        <v>45754</v>
      </c>
      <c r="B18" s="47" t="e">
        <f>#REF!*#REF!+#REF!*#REF!+#REF!*#REF!+#REF!*#REF!+#REF!*#REF!</f>
        <v>#REF!</v>
      </c>
      <c r="C18" s="9">
        <v>45771</v>
      </c>
      <c r="D18" s="7">
        <v>271008</v>
      </c>
      <c r="E18" s="138" t="e">
        <f t="shared" si="0"/>
        <v>#REF!</v>
      </c>
      <c r="F18" s="175">
        <v>2.88</v>
      </c>
      <c r="G18" s="4">
        <v>40</v>
      </c>
      <c r="H18" s="45">
        <f>-D18/100*F18</f>
        <v>-7805.0303999999996</v>
      </c>
      <c r="I18" s="45"/>
      <c r="J18" s="45">
        <f t="shared" si="1"/>
        <v>-163638.55872</v>
      </c>
    </row>
    <row r="19" spans="1:10" x14ac:dyDescent="0.25">
      <c r="A19" s="76">
        <v>45757</v>
      </c>
      <c r="B19" s="47" t="e">
        <f>#REF!*#REF!+#REF!*#REF!+#REF!*#REF!+#REF!*#REF!+#REF!*#REF!</f>
        <v>#REF!</v>
      </c>
      <c r="C19" s="9">
        <v>45772</v>
      </c>
      <c r="D19" s="7">
        <v>1762560</v>
      </c>
      <c r="E19" s="138" t="e">
        <f t="shared" si="0"/>
        <v>#REF!</v>
      </c>
      <c r="F19" s="175">
        <v>2.88</v>
      </c>
      <c r="G19" s="4">
        <v>40</v>
      </c>
      <c r="H19" s="45">
        <f>-D19/100*F19</f>
        <v>-50761.727999999996</v>
      </c>
      <c r="I19" s="45"/>
      <c r="J19" s="45">
        <f t="shared" si="1"/>
        <v>-214400.28672</v>
      </c>
    </row>
    <row r="20" spans="1:10" x14ac:dyDescent="0.25">
      <c r="A20" s="76">
        <v>45776</v>
      </c>
      <c r="B20" s="47" t="e">
        <f>#REF!*#REF!+#REF!*#REF!+#REF!*#REF!+#REF!*#REF!+#REF!*#REF!</f>
        <v>#REF!</v>
      </c>
      <c r="C20" s="4"/>
      <c r="D20" s="7"/>
      <c r="E20" s="138" t="e">
        <f t="shared" si="0"/>
        <v>#REF!</v>
      </c>
      <c r="F20" s="175"/>
      <c r="G20" s="4"/>
      <c r="H20" s="45"/>
      <c r="I20" s="45"/>
      <c r="J20" s="45">
        <f t="shared" si="1"/>
        <v>-214400.28672</v>
      </c>
    </row>
    <row r="21" spans="1:10" x14ac:dyDescent="0.25">
      <c r="A21" s="114"/>
      <c r="B21" s="45" t="e">
        <f>#REF!*#REF!+#REF!*#REF!+#REF!*#REF!+#REF!*#REF!+#REF!*#REF!</f>
        <v>#REF!</v>
      </c>
      <c r="C21" s="4"/>
      <c r="D21" s="7"/>
      <c r="E21" s="138" t="e">
        <f t="shared" si="0"/>
        <v>#REF!</v>
      </c>
      <c r="F21" s="175"/>
      <c r="G21" s="4"/>
      <c r="H21" s="45"/>
      <c r="I21" s="45"/>
      <c r="J21" s="45">
        <f t="shared" si="1"/>
        <v>-214400.28672</v>
      </c>
    </row>
    <row r="22" spans="1:10" x14ac:dyDescent="0.25">
      <c r="A22" s="114"/>
      <c r="B22" s="45" t="e">
        <f>#REF!*#REF!+#REF!*#REF!+#REF!*#REF!+#REF!*#REF!+#REF!*#REF!</f>
        <v>#REF!</v>
      </c>
      <c r="C22" s="4"/>
      <c r="D22" s="7"/>
      <c r="E22" s="138" t="e">
        <f t="shared" si="0"/>
        <v>#REF!</v>
      </c>
      <c r="F22" s="175"/>
      <c r="G22" s="4"/>
      <c r="H22" s="45"/>
      <c r="I22" s="45"/>
      <c r="J22" s="45">
        <f t="shared" si="1"/>
        <v>-214400.28672</v>
      </c>
    </row>
    <row r="23" spans="1:10" ht="16.5" thickBot="1" x14ac:dyDescent="0.3">
      <c r="A23" s="128"/>
      <c r="B23" s="46" t="e">
        <f>#REF!*#REF!+#REF!*#REF!+#REF!*#REF!+#REF!*#REF!+#REF!*#REF!</f>
        <v>#REF!</v>
      </c>
      <c r="C23" s="25">
        <v>45777</v>
      </c>
      <c r="D23" s="27">
        <v>858528</v>
      </c>
      <c r="E23" s="185" t="e">
        <f t="shared" si="0"/>
        <v>#REF!</v>
      </c>
      <c r="F23" s="175">
        <v>2.88</v>
      </c>
      <c r="G23" s="4">
        <v>40</v>
      </c>
      <c r="H23" s="45">
        <f>-D23/100*F23</f>
        <v>-24725.606400000001</v>
      </c>
      <c r="I23" s="45"/>
      <c r="J23" s="45">
        <f t="shared" si="1"/>
        <v>-239125.89311999999</v>
      </c>
    </row>
    <row r="24" spans="1:10" x14ac:dyDescent="0.25">
      <c r="A24" s="167" t="s">
        <v>36</v>
      </c>
      <c r="B24" s="211" t="e">
        <f>#REF!*#REF!+#REF!*#REF!+#REF!*#REF!+#REF!*#REF!+#REF!*#REF!</f>
        <v>#REF!</v>
      </c>
      <c r="C24" s="212"/>
      <c r="D24" s="213"/>
      <c r="E24" s="224" t="e">
        <f t="shared" si="0"/>
        <v>#REF!</v>
      </c>
      <c r="F24" s="160"/>
      <c r="G24" s="4"/>
      <c r="H24" s="45"/>
      <c r="I24" s="45"/>
      <c r="J24" s="45">
        <f t="shared" si="1"/>
        <v>-239125.89311999999</v>
      </c>
    </row>
    <row r="25" spans="1:10" x14ac:dyDescent="0.25">
      <c r="A25" s="4" t="s">
        <v>81</v>
      </c>
      <c r="B25" s="45">
        <v>282240</v>
      </c>
      <c r="C25" s="4"/>
      <c r="D25" s="7"/>
      <c r="E25" s="7" t="e">
        <f t="shared" si="0"/>
        <v>#REF!</v>
      </c>
      <c r="F25" s="160"/>
      <c r="G25" s="4"/>
      <c r="H25" s="45"/>
      <c r="I25" s="45"/>
      <c r="J25" s="45">
        <f t="shared" si="1"/>
        <v>-239125.89311999999</v>
      </c>
    </row>
    <row r="26" spans="1:10" x14ac:dyDescent="0.25">
      <c r="A26" s="4" t="s">
        <v>107</v>
      </c>
      <c r="B26" s="7">
        <v>293760</v>
      </c>
      <c r="C26" s="4" t="s">
        <v>37</v>
      </c>
      <c r="D26" s="7">
        <v>1596384</v>
      </c>
      <c r="E26" s="7" t="e">
        <f t="shared" si="0"/>
        <v>#REF!</v>
      </c>
      <c r="F26" s="160"/>
      <c r="G26" s="4"/>
      <c r="H26" s="45"/>
      <c r="I26" s="45"/>
      <c r="J26" s="45">
        <f t="shared" si="1"/>
        <v>-239125.89311999999</v>
      </c>
    </row>
    <row r="27" spans="1:10" x14ac:dyDescent="0.25">
      <c r="A27" s="4"/>
      <c r="B27" s="7">
        <v>518400</v>
      </c>
      <c r="C27" s="4"/>
      <c r="D27" s="7"/>
      <c r="E27" s="7" t="e">
        <f t="shared" si="0"/>
        <v>#REF!</v>
      </c>
      <c r="F27" s="160"/>
      <c r="G27" s="4"/>
      <c r="H27" s="45"/>
      <c r="I27" s="45"/>
      <c r="J27" s="45">
        <f t="shared" si="1"/>
        <v>-239125.89311999999</v>
      </c>
    </row>
    <row r="28" spans="1:10" x14ac:dyDescent="0.25">
      <c r="A28" s="9" t="s">
        <v>109</v>
      </c>
      <c r="B28" s="45"/>
      <c r="C28" s="4" t="s">
        <v>110</v>
      </c>
      <c r="D28" s="223">
        <v>807942.6</v>
      </c>
      <c r="E28" s="7" t="e">
        <f>E27+B28-D28</f>
        <v>#REF!</v>
      </c>
      <c r="F28" s="160"/>
      <c r="G28" s="4"/>
      <c r="H28" s="45"/>
      <c r="I28" s="45"/>
      <c r="J28" s="45">
        <f t="shared" si="1"/>
        <v>-239125.89311999999</v>
      </c>
    </row>
    <row r="29" spans="1:10" x14ac:dyDescent="0.25">
      <c r="A29" s="4" t="s">
        <v>111</v>
      </c>
      <c r="B29" s="45"/>
      <c r="C29" s="4"/>
      <c r="D29" s="7"/>
      <c r="E29" s="7" t="e">
        <f t="shared" si="0"/>
        <v>#REF!</v>
      </c>
      <c r="F29" s="160"/>
      <c r="G29" s="4"/>
      <c r="H29" s="45"/>
      <c r="I29" s="45"/>
      <c r="J29" s="45">
        <f t="shared" si="1"/>
        <v>-239125.89311999999</v>
      </c>
    </row>
    <row r="30" spans="1:10" x14ac:dyDescent="0.25">
      <c r="A30" s="9"/>
      <c r="B30" s="45"/>
      <c r="C30" s="4"/>
      <c r="D30" s="7"/>
      <c r="E30" s="7" t="e">
        <f t="shared" si="0"/>
        <v>#REF!</v>
      </c>
      <c r="F30" s="160"/>
      <c r="G30" s="4"/>
      <c r="H30" s="45"/>
      <c r="I30" s="45"/>
      <c r="J30" s="45">
        <f t="shared" si="1"/>
        <v>-239125.89311999999</v>
      </c>
    </row>
    <row r="31" spans="1:10" x14ac:dyDescent="0.25">
      <c r="A31" s="4"/>
      <c r="B31" s="45"/>
      <c r="C31" s="4"/>
      <c r="D31" s="7"/>
      <c r="E31" s="7" t="e">
        <f t="shared" si="0"/>
        <v>#REF!</v>
      </c>
      <c r="F31" s="160"/>
      <c r="G31" s="4"/>
      <c r="H31" s="45"/>
      <c r="I31" s="45"/>
      <c r="J31" s="45">
        <f t="shared" si="1"/>
        <v>-239125.89311999999</v>
      </c>
    </row>
    <row r="32" spans="1:10" x14ac:dyDescent="0.25">
      <c r="A32" s="4"/>
      <c r="B32" s="45"/>
      <c r="C32" s="4"/>
      <c r="D32" s="7"/>
      <c r="E32" s="7" t="e">
        <f t="shared" si="0"/>
        <v>#REF!</v>
      </c>
      <c r="F32" s="160"/>
      <c r="G32" s="4"/>
      <c r="H32" s="45"/>
      <c r="I32" s="45"/>
      <c r="J32" s="45">
        <f t="shared" si="1"/>
        <v>-239125.89311999999</v>
      </c>
    </row>
    <row r="33" spans="1:10" x14ac:dyDescent="0.25">
      <c r="A33" s="4"/>
      <c r="B33" s="45"/>
      <c r="C33" s="4"/>
      <c r="D33" s="7"/>
      <c r="E33" s="7" t="e">
        <f t="shared" si="0"/>
        <v>#REF!</v>
      </c>
      <c r="F33" s="160"/>
      <c r="G33" s="4"/>
      <c r="H33" s="45"/>
      <c r="I33" s="45"/>
      <c r="J33" s="45">
        <f t="shared" si="1"/>
        <v>-239125.89311999999</v>
      </c>
    </row>
    <row r="34" spans="1:10" x14ac:dyDescent="0.25">
      <c r="A34" s="4"/>
      <c r="B34" s="45"/>
      <c r="C34" s="4"/>
      <c r="D34" s="7"/>
      <c r="E34" s="7" t="e">
        <f t="shared" si="0"/>
        <v>#REF!</v>
      </c>
      <c r="F34" s="160"/>
      <c r="G34" s="4"/>
      <c r="H34" s="45"/>
      <c r="I34" s="45"/>
      <c r="J34" s="45">
        <f t="shared" si="1"/>
        <v>-239125.89311999999</v>
      </c>
    </row>
    <row r="35" spans="1:10" x14ac:dyDescent="0.25">
      <c r="A35" s="4"/>
      <c r="B35" s="45"/>
      <c r="C35" s="4"/>
      <c r="D35" s="7"/>
      <c r="E35" s="7" t="e">
        <f t="shared" ref="E35:E66" si="2">E34+B35-D35</f>
        <v>#REF!</v>
      </c>
      <c r="F35" s="160"/>
      <c r="G35" s="4"/>
      <c r="H35" s="45"/>
      <c r="I35" s="45"/>
      <c r="J35" s="45">
        <f t="shared" si="1"/>
        <v>-239125.89311999999</v>
      </c>
    </row>
    <row r="36" spans="1:10" x14ac:dyDescent="0.25">
      <c r="A36" s="4" t="s">
        <v>116</v>
      </c>
      <c r="B36" s="45"/>
      <c r="C36" s="4"/>
      <c r="D36" s="7"/>
      <c r="E36" s="7" t="e">
        <f t="shared" si="2"/>
        <v>#REF!</v>
      </c>
      <c r="F36" s="160"/>
      <c r="G36" s="4"/>
      <c r="H36" s="45"/>
      <c r="I36" s="45"/>
      <c r="J36" s="45">
        <f t="shared" si="1"/>
        <v>-239125.89311999999</v>
      </c>
    </row>
    <row r="37" spans="1:10" x14ac:dyDescent="0.25">
      <c r="A37" s="9" t="s">
        <v>120</v>
      </c>
      <c r="B37" s="45"/>
      <c r="C37" s="4"/>
      <c r="D37" s="7"/>
      <c r="E37" s="7" t="e">
        <f t="shared" si="2"/>
        <v>#REF!</v>
      </c>
      <c r="F37" s="160"/>
      <c r="G37" s="4"/>
      <c r="H37" s="45"/>
      <c r="I37" s="45"/>
      <c r="J37" s="45">
        <f t="shared" si="1"/>
        <v>-239125.89311999999</v>
      </c>
    </row>
    <row r="38" spans="1:10" x14ac:dyDescent="0.25">
      <c r="A38" s="4"/>
      <c r="B38" s="45"/>
      <c r="C38" s="4"/>
      <c r="D38" s="7"/>
      <c r="E38" s="7" t="e">
        <f t="shared" si="2"/>
        <v>#REF!</v>
      </c>
      <c r="F38" s="160"/>
      <c r="G38" s="4"/>
      <c r="H38" s="45"/>
      <c r="I38" s="45"/>
      <c r="J38" s="45">
        <f t="shared" si="1"/>
        <v>-239125.89311999999</v>
      </c>
    </row>
    <row r="39" spans="1:10" x14ac:dyDescent="0.25">
      <c r="A39" s="4" t="s">
        <v>121</v>
      </c>
      <c r="B39" s="45"/>
      <c r="C39" s="4" t="s">
        <v>122</v>
      </c>
      <c r="D39" s="7">
        <v>542016</v>
      </c>
      <c r="E39" s="7" t="e">
        <f>E38+B39-D39</f>
        <v>#REF!</v>
      </c>
      <c r="F39" s="160"/>
      <c r="G39" s="4"/>
      <c r="H39" s="45"/>
      <c r="I39" s="45"/>
      <c r="J39" s="45">
        <f t="shared" si="1"/>
        <v>-239125.89311999999</v>
      </c>
    </row>
    <row r="40" spans="1:10" x14ac:dyDescent="0.25">
      <c r="A40" s="4" t="s">
        <v>124</v>
      </c>
      <c r="B40" s="45">
        <v>97920</v>
      </c>
      <c r="C40" s="4" t="s">
        <v>124</v>
      </c>
      <c r="D40" s="7">
        <v>542016</v>
      </c>
      <c r="E40" s="7" t="e">
        <f>E39+B40-D40</f>
        <v>#REF!</v>
      </c>
      <c r="F40" s="160"/>
      <c r="G40" s="4"/>
      <c r="H40" s="45"/>
      <c r="I40" s="45"/>
      <c r="J40" s="45">
        <f t="shared" si="1"/>
        <v>-239125.89311999999</v>
      </c>
    </row>
    <row r="41" spans="1:10" x14ac:dyDescent="0.25">
      <c r="A41" s="9"/>
      <c r="B41" s="45"/>
      <c r="C41" s="4"/>
      <c r="D41" s="7"/>
      <c r="E41" s="7" t="e">
        <f>E40+B41-D41</f>
        <v>#REF!</v>
      </c>
      <c r="F41" s="160"/>
      <c r="G41" s="4"/>
      <c r="H41" s="45"/>
      <c r="I41" s="45"/>
      <c r="J41" s="45">
        <f t="shared" si="1"/>
        <v>-239125.89311999999</v>
      </c>
    </row>
    <row r="42" spans="1:10" x14ac:dyDescent="0.25">
      <c r="A42" s="4"/>
      <c r="B42" s="45"/>
      <c r="C42" s="4"/>
      <c r="D42" s="7"/>
      <c r="E42" s="7" t="e">
        <f t="shared" si="2"/>
        <v>#REF!</v>
      </c>
      <c r="F42" s="160"/>
      <c r="G42" s="4"/>
      <c r="H42" s="45"/>
      <c r="I42" s="45"/>
      <c r="J42" s="45">
        <f t="shared" si="1"/>
        <v>-239125.89311999999</v>
      </c>
    </row>
    <row r="43" spans="1:10" x14ac:dyDescent="0.25">
      <c r="A43" s="4"/>
      <c r="B43" s="45"/>
      <c r="C43" s="4"/>
      <c r="D43" s="7"/>
      <c r="E43" s="7" t="e">
        <f t="shared" si="2"/>
        <v>#REF!</v>
      </c>
      <c r="F43" s="160"/>
      <c r="G43" s="4"/>
      <c r="H43" s="45"/>
      <c r="I43" s="45"/>
      <c r="J43" s="45">
        <f t="shared" si="1"/>
        <v>-239125.89311999999</v>
      </c>
    </row>
    <row r="44" spans="1:10" x14ac:dyDescent="0.25">
      <c r="A44" s="4"/>
      <c r="B44" s="45"/>
      <c r="C44" s="4"/>
      <c r="D44" s="7"/>
      <c r="E44" s="7" t="e">
        <f t="shared" si="2"/>
        <v>#REF!</v>
      </c>
      <c r="F44" s="160"/>
      <c r="G44" s="4"/>
      <c r="H44" s="45"/>
      <c r="I44" s="45"/>
      <c r="J44" s="45">
        <f t="shared" si="1"/>
        <v>-239125.89311999999</v>
      </c>
    </row>
    <row r="45" spans="1:10" x14ac:dyDescent="0.25">
      <c r="A45" s="4"/>
      <c r="B45" s="45"/>
      <c r="C45" s="4"/>
      <c r="D45" s="7"/>
      <c r="E45" s="7" t="e">
        <f t="shared" si="2"/>
        <v>#REF!</v>
      </c>
      <c r="F45" s="160"/>
      <c r="G45" s="4"/>
      <c r="H45" s="45"/>
      <c r="I45" s="45"/>
      <c r="J45" s="45">
        <f t="shared" si="1"/>
        <v>-239125.89311999999</v>
      </c>
    </row>
    <row r="46" spans="1:10" x14ac:dyDescent="0.25">
      <c r="A46" s="4"/>
      <c r="B46" s="45"/>
      <c r="C46" s="4"/>
      <c r="D46" s="7"/>
      <c r="E46" s="7" t="e">
        <f t="shared" si="2"/>
        <v>#REF!</v>
      </c>
      <c r="F46" s="160"/>
      <c r="G46" s="4"/>
      <c r="H46" s="45"/>
      <c r="I46" s="45"/>
      <c r="J46" s="45">
        <f t="shared" si="1"/>
        <v>-239125.89311999999</v>
      </c>
    </row>
    <row r="47" spans="1:10" x14ac:dyDescent="0.25">
      <c r="A47" s="4"/>
      <c r="B47" s="45"/>
      <c r="C47" s="4"/>
      <c r="D47" s="7"/>
      <c r="E47" s="7" t="e">
        <f t="shared" si="2"/>
        <v>#REF!</v>
      </c>
      <c r="F47" s="160"/>
      <c r="G47" s="4"/>
      <c r="H47" s="45"/>
      <c r="I47" s="45"/>
      <c r="J47" s="45">
        <f t="shared" si="1"/>
        <v>-239125.89311999999</v>
      </c>
    </row>
    <row r="48" spans="1:10" x14ac:dyDescent="0.25">
      <c r="A48" s="4"/>
      <c r="B48" s="45"/>
      <c r="C48" s="4"/>
      <c r="D48" s="7"/>
      <c r="E48" s="7" t="e">
        <f t="shared" si="2"/>
        <v>#REF!</v>
      </c>
      <c r="F48" s="160"/>
      <c r="G48" s="4"/>
      <c r="H48" s="45"/>
      <c r="I48" s="45"/>
      <c r="J48" s="45">
        <f t="shared" si="1"/>
        <v>-239125.89311999999</v>
      </c>
    </row>
    <row r="49" spans="1:10" x14ac:dyDescent="0.25">
      <c r="A49" s="4"/>
      <c r="B49" s="45"/>
      <c r="C49" s="4"/>
      <c r="D49" s="7"/>
      <c r="E49" s="7" t="e">
        <f t="shared" si="2"/>
        <v>#REF!</v>
      </c>
      <c r="F49" s="160"/>
      <c r="G49" s="4"/>
      <c r="H49" s="45"/>
      <c r="I49" s="45"/>
      <c r="J49" s="45">
        <f t="shared" si="1"/>
        <v>-239125.89311999999</v>
      </c>
    </row>
    <row r="50" spans="1:10" x14ac:dyDescent="0.25">
      <c r="A50" s="4"/>
      <c r="B50" s="45"/>
      <c r="C50" s="4"/>
      <c r="D50" s="7"/>
      <c r="E50" s="7" t="e">
        <f t="shared" si="2"/>
        <v>#REF!</v>
      </c>
      <c r="F50" s="160"/>
      <c r="G50" s="4"/>
      <c r="H50" s="45"/>
      <c r="I50" s="45"/>
      <c r="J50" s="45">
        <f t="shared" si="1"/>
        <v>-239125.89311999999</v>
      </c>
    </row>
    <row r="51" spans="1:10" x14ac:dyDescent="0.25">
      <c r="A51" s="4"/>
      <c r="B51" s="45"/>
      <c r="C51" s="4"/>
      <c r="D51" s="7"/>
      <c r="E51" s="7" t="e">
        <f t="shared" si="2"/>
        <v>#REF!</v>
      </c>
      <c r="F51" s="160"/>
      <c r="G51" s="4"/>
      <c r="H51" s="45"/>
      <c r="I51" s="45"/>
      <c r="J51" s="45">
        <f t="shared" si="1"/>
        <v>-239125.89311999999</v>
      </c>
    </row>
    <row r="52" spans="1:10" x14ac:dyDescent="0.25">
      <c r="A52" s="9"/>
      <c r="B52" s="45"/>
      <c r="C52" s="4"/>
      <c r="D52" s="7"/>
      <c r="E52" s="7" t="e">
        <f t="shared" si="2"/>
        <v>#REF!</v>
      </c>
      <c r="F52" s="160"/>
      <c r="G52" s="4"/>
      <c r="H52" s="45"/>
      <c r="I52" s="45"/>
      <c r="J52" s="45">
        <f t="shared" si="1"/>
        <v>-239125.89311999999</v>
      </c>
    </row>
    <row r="53" spans="1:10" x14ac:dyDescent="0.25">
      <c r="A53" s="9"/>
      <c r="B53" s="45"/>
      <c r="C53" s="9"/>
      <c r="D53" s="7"/>
      <c r="E53" s="7" t="e">
        <f t="shared" si="2"/>
        <v>#REF!</v>
      </c>
      <c r="F53" s="160"/>
      <c r="G53" s="4"/>
      <c r="H53" s="45"/>
      <c r="I53" s="45"/>
      <c r="J53" s="45">
        <f t="shared" si="1"/>
        <v>-239125.89311999999</v>
      </c>
    </row>
    <row r="54" spans="1:10" x14ac:dyDescent="0.25">
      <c r="A54" s="9"/>
      <c r="B54" s="45"/>
      <c r="C54" s="4"/>
      <c r="D54" s="7"/>
      <c r="E54" s="7" t="e">
        <f t="shared" si="2"/>
        <v>#REF!</v>
      </c>
      <c r="F54" s="160"/>
      <c r="G54" s="4"/>
      <c r="H54" s="45"/>
      <c r="I54" s="45"/>
      <c r="J54" s="45">
        <f t="shared" si="1"/>
        <v>-239125.89311999999</v>
      </c>
    </row>
    <row r="55" spans="1:10" x14ac:dyDescent="0.25">
      <c r="A55" s="9"/>
      <c r="B55" s="45"/>
      <c r="C55" s="4"/>
      <c r="D55" s="7"/>
      <c r="E55" s="7" t="e">
        <f t="shared" si="2"/>
        <v>#REF!</v>
      </c>
      <c r="F55" s="160"/>
      <c r="G55" s="4"/>
      <c r="H55" s="45"/>
      <c r="I55" s="45"/>
      <c r="J55" s="45">
        <f t="shared" si="1"/>
        <v>-239125.89311999999</v>
      </c>
    </row>
    <row r="56" spans="1:10" x14ac:dyDescent="0.25">
      <c r="A56" s="9"/>
      <c r="B56" s="45"/>
      <c r="C56" s="4"/>
      <c r="D56" s="7"/>
      <c r="E56" s="7" t="e">
        <f t="shared" si="2"/>
        <v>#REF!</v>
      </c>
      <c r="F56" s="160"/>
      <c r="G56" s="4"/>
      <c r="H56" s="45"/>
      <c r="I56" s="45"/>
      <c r="J56" s="45">
        <f t="shared" si="1"/>
        <v>-239125.89311999999</v>
      </c>
    </row>
    <row r="57" spans="1:10" x14ac:dyDescent="0.25">
      <c r="A57" s="9"/>
      <c r="B57" s="45"/>
      <c r="C57" s="4"/>
      <c r="D57" s="7"/>
      <c r="E57" s="7" t="e">
        <f t="shared" si="2"/>
        <v>#REF!</v>
      </c>
      <c r="F57" s="160"/>
      <c r="G57" s="4"/>
      <c r="H57" s="45"/>
      <c r="I57" s="45"/>
      <c r="J57" s="45">
        <f t="shared" si="1"/>
        <v>-239125.89311999999</v>
      </c>
    </row>
    <row r="58" spans="1:10" x14ac:dyDescent="0.25">
      <c r="A58" s="9"/>
      <c r="B58" s="45"/>
      <c r="C58" s="4"/>
      <c r="D58" s="7"/>
      <c r="E58" s="7" t="e">
        <f t="shared" si="2"/>
        <v>#REF!</v>
      </c>
      <c r="F58" s="160"/>
      <c r="G58" s="4"/>
      <c r="H58" s="45"/>
      <c r="I58" s="45"/>
      <c r="J58" s="45">
        <f t="shared" si="1"/>
        <v>-239125.89311999999</v>
      </c>
    </row>
    <row r="59" spans="1:10" x14ac:dyDescent="0.25">
      <c r="A59" s="9"/>
      <c r="B59" s="45"/>
      <c r="C59" s="4"/>
      <c r="D59" s="7"/>
      <c r="E59" s="7" t="e">
        <f t="shared" si="2"/>
        <v>#REF!</v>
      </c>
      <c r="F59" s="160"/>
      <c r="G59" s="4"/>
      <c r="H59" s="45"/>
      <c r="I59" s="45"/>
      <c r="J59" s="45">
        <f t="shared" si="1"/>
        <v>-239125.89311999999</v>
      </c>
    </row>
    <row r="60" spans="1:10" x14ac:dyDescent="0.25">
      <c r="A60" s="9"/>
      <c r="B60" s="45"/>
      <c r="C60" s="9"/>
      <c r="D60" s="7"/>
      <c r="E60" s="7" t="e">
        <f t="shared" si="2"/>
        <v>#REF!</v>
      </c>
      <c r="F60" s="160"/>
      <c r="G60" s="4"/>
      <c r="H60" s="45"/>
      <c r="I60" s="45"/>
      <c r="J60" s="45">
        <f t="shared" si="1"/>
        <v>-239125.89311999999</v>
      </c>
    </row>
    <row r="61" spans="1:10" x14ac:dyDescent="0.25">
      <c r="A61" s="9"/>
      <c r="B61" s="45"/>
      <c r="C61" s="4"/>
      <c r="D61" s="7"/>
      <c r="E61" s="7" t="e">
        <f t="shared" si="2"/>
        <v>#REF!</v>
      </c>
      <c r="F61" s="160"/>
      <c r="G61" s="4"/>
      <c r="H61" s="45"/>
      <c r="I61" s="45"/>
      <c r="J61" s="45">
        <f t="shared" si="1"/>
        <v>-239125.89311999999</v>
      </c>
    </row>
    <row r="62" spans="1:10" x14ac:dyDescent="0.25">
      <c r="A62" s="9"/>
      <c r="B62" s="45"/>
      <c r="C62" s="4"/>
      <c r="D62" s="7"/>
      <c r="E62" s="7" t="e">
        <f t="shared" si="2"/>
        <v>#REF!</v>
      </c>
      <c r="F62" s="160"/>
      <c r="G62" s="4"/>
      <c r="H62" s="45"/>
      <c r="I62" s="45"/>
      <c r="J62" s="45">
        <f t="shared" si="1"/>
        <v>-239125.89311999999</v>
      </c>
    </row>
    <row r="63" spans="1:10" x14ac:dyDescent="0.25">
      <c r="A63" s="9"/>
      <c r="B63" s="45"/>
      <c r="C63" s="4"/>
      <c r="D63" s="7"/>
      <c r="E63" s="7" t="e">
        <f t="shared" si="2"/>
        <v>#REF!</v>
      </c>
      <c r="F63" s="160"/>
      <c r="G63" s="4"/>
      <c r="H63" s="45"/>
      <c r="I63" s="45"/>
      <c r="J63" s="45">
        <f t="shared" si="1"/>
        <v>-239125.89311999999</v>
      </c>
    </row>
    <row r="64" spans="1:10" x14ac:dyDescent="0.25">
      <c r="A64" s="9"/>
      <c r="B64" s="45"/>
      <c r="C64" s="4"/>
      <c r="D64" s="7"/>
      <c r="E64" s="7" t="e">
        <f t="shared" si="2"/>
        <v>#REF!</v>
      </c>
      <c r="F64" s="160"/>
      <c r="G64" s="4"/>
      <c r="H64" s="45"/>
      <c r="I64" s="45"/>
      <c r="J64" s="45">
        <f t="shared" si="1"/>
        <v>-239125.89311999999</v>
      </c>
    </row>
    <row r="65" spans="1:10" x14ac:dyDescent="0.25">
      <c r="A65" s="9"/>
      <c r="B65" s="45"/>
      <c r="C65" s="4"/>
      <c r="D65" s="7"/>
      <c r="E65" s="7" t="e">
        <f t="shared" si="2"/>
        <v>#REF!</v>
      </c>
      <c r="F65" s="160"/>
      <c r="G65" s="4"/>
      <c r="H65" s="45"/>
      <c r="I65" s="45"/>
      <c r="J65" s="45">
        <f t="shared" si="1"/>
        <v>-239125.89311999999</v>
      </c>
    </row>
    <row r="66" spans="1:10" x14ac:dyDescent="0.25">
      <c r="A66" s="9"/>
      <c r="B66" s="45"/>
      <c r="C66" s="4"/>
      <c r="D66" s="7"/>
      <c r="E66" s="7" t="e">
        <f t="shared" si="2"/>
        <v>#REF!</v>
      </c>
      <c r="F66" s="160"/>
      <c r="G66" s="4"/>
      <c r="H66" s="45"/>
      <c r="I66" s="45"/>
      <c r="J66" s="45">
        <f t="shared" si="1"/>
        <v>-239125.89311999999</v>
      </c>
    </row>
    <row r="67" spans="1:10" x14ac:dyDescent="0.25">
      <c r="A67" s="9"/>
      <c r="B67" s="45"/>
      <c r="C67" s="4"/>
      <c r="D67" s="7"/>
      <c r="E67" s="7" t="e">
        <f t="shared" ref="E67:E73" si="3">E66+B67-D67</f>
        <v>#REF!</v>
      </c>
      <c r="F67" s="160"/>
      <c r="G67" s="4"/>
      <c r="H67" s="45"/>
      <c r="I67" s="45"/>
      <c r="J67" s="45">
        <f t="shared" si="1"/>
        <v>-239125.89311999999</v>
      </c>
    </row>
    <row r="68" spans="1:10" x14ac:dyDescent="0.25">
      <c r="A68" s="4"/>
      <c r="B68" s="45"/>
      <c r="C68" s="4"/>
      <c r="D68" s="7"/>
      <c r="E68" s="7" t="e">
        <f t="shared" si="3"/>
        <v>#REF!</v>
      </c>
      <c r="F68" s="160"/>
      <c r="G68" s="4"/>
      <c r="H68" s="45"/>
      <c r="I68" s="45"/>
      <c r="J68" s="45">
        <f t="shared" si="1"/>
        <v>-239125.89311999999</v>
      </c>
    </row>
    <row r="69" spans="1:10" x14ac:dyDescent="0.25">
      <c r="A69" s="4"/>
      <c r="B69" s="45"/>
      <c r="C69" s="4"/>
      <c r="D69" s="7"/>
      <c r="E69" s="7" t="e">
        <f t="shared" si="3"/>
        <v>#REF!</v>
      </c>
      <c r="F69" s="160"/>
      <c r="G69" s="4"/>
      <c r="H69" s="45"/>
      <c r="I69" s="45"/>
      <c r="J69" s="45">
        <f t="shared" si="1"/>
        <v>-239125.89311999999</v>
      </c>
    </row>
    <row r="70" spans="1:10" x14ac:dyDescent="0.25">
      <c r="A70" s="4"/>
      <c r="B70" s="45"/>
      <c r="C70" s="4"/>
      <c r="D70" s="7"/>
      <c r="E70" s="7" t="e">
        <f t="shared" si="3"/>
        <v>#REF!</v>
      </c>
      <c r="F70" s="160"/>
      <c r="G70" s="4"/>
      <c r="H70" s="45"/>
      <c r="I70" s="45"/>
      <c r="J70" s="45">
        <f t="shared" si="1"/>
        <v>-239125.89311999999</v>
      </c>
    </row>
    <row r="71" spans="1:10" x14ac:dyDescent="0.25">
      <c r="A71" s="4"/>
      <c r="B71" s="45"/>
      <c r="C71" s="4"/>
      <c r="D71" s="7"/>
      <c r="E71" s="7" t="e">
        <f t="shared" si="3"/>
        <v>#REF!</v>
      </c>
      <c r="F71" s="160"/>
      <c r="G71" s="4"/>
      <c r="H71" s="45"/>
      <c r="I71" s="45"/>
      <c r="J71" s="45">
        <f>J70+H71-I71</f>
        <v>-239125.89311999999</v>
      </c>
    </row>
    <row r="72" spans="1:10" x14ac:dyDescent="0.25">
      <c r="A72" s="4"/>
      <c r="B72" s="45"/>
      <c r="C72" s="4"/>
      <c r="D72" s="7"/>
      <c r="E72" s="7" t="e">
        <f t="shared" si="3"/>
        <v>#REF!</v>
      </c>
      <c r="F72" s="160"/>
      <c r="G72" s="4"/>
      <c r="H72" s="45"/>
      <c r="I72" s="45"/>
      <c r="J72" s="45">
        <f>J71+H72-I72</f>
        <v>-239125.89311999999</v>
      </c>
    </row>
    <row r="73" spans="1:10" x14ac:dyDescent="0.25">
      <c r="A73" s="4"/>
      <c r="B73" s="45"/>
      <c r="C73" s="4"/>
      <c r="D73" s="7"/>
      <c r="E73" s="7" t="e">
        <f t="shared" si="3"/>
        <v>#REF!</v>
      </c>
      <c r="F73" s="160"/>
      <c r="G73" s="4"/>
      <c r="H73" s="45"/>
      <c r="I73" s="45"/>
      <c r="J73" s="45">
        <f>J72+H73-I73</f>
        <v>-239125.89311999999</v>
      </c>
    </row>
    <row r="74" spans="1:10" x14ac:dyDescent="0.25">
      <c r="A74" s="4"/>
      <c r="B74" s="45"/>
      <c r="C74" s="4"/>
      <c r="D74" s="7"/>
      <c r="E74" s="7"/>
      <c r="F74" s="160"/>
      <c r="G74" s="4"/>
      <c r="H74" s="45"/>
      <c r="I74" s="45"/>
      <c r="J74" s="165">
        <f>J73+H74-I74</f>
        <v>-239125.89311999999</v>
      </c>
    </row>
    <row r="75" spans="1:10" x14ac:dyDescent="0.25">
      <c r="B75" s="45"/>
      <c r="D75" s="8">
        <f>SUM(D3:D74)</f>
        <v>11791341</v>
      </c>
      <c r="E75" s="8">
        <f>B75-D75</f>
        <v>-11791341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БелторгФ</vt:lpstr>
      <vt:lpstr>ИП Супрунов</vt:lpstr>
      <vt:lpstr>ИП Лысенко</vt:lpstr>
      <vt:lpstr>Золотой Снек</vt:lpstr>
      <vt:lpstr>Компас класс</vt:lpstr>
      <vt:lpstr>Рыбацкое дело</vt:lpstr>
      <vt:lpstr>СНГ</vt:lpstr>
      <vt:lpstr>ТМК-Сервис</vt:lpstr>
      <vt:lpstr>Универсам Бег</vt:lpstr>
      <vt:lpstr>Яндекс.Л</vt:lpstr>
      <vt:lpstr>чл</vt:lpstr>
      <vt:lpstr>Экобиотехн</vt:lpstr>
      <vt:lpstr>ЭЛЕМЕНТ-ТРЕЙД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2025-07-15T15:51:02Z</dcterms:modified>
  <cp:category/>
  <cp:contentStatus/>
</cp:coreProperties>
</file>