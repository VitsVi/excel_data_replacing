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F1AB665-67BD-4431-A0FF-9397B1574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7,0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5" i="1" l="1"/>
  <c r="B94" i="1" l="1"/>
  <c r="B87" i="1"/>
  <c r="B88" i="1" l="1"/>
  <c r="B56" i="1" l="1"/>
  <c r="B55" i="1"/>
  <c r="B44" i="1" l="1"/>
  <c r="B41" i="1"/>
  <c r="B20" i="1" l="1"/>
  <c r="B21" i="1"/>
  <c r="B17" i="1" l="1"/>
  <c r="B13" i="1"/>
  <c r="B9" i="1"/>
  <c r="B8" i="1" l="1"/>
  <c r="B7" i="1"/>
  <c r="B6" i="1"/>
  <c r="B72" i="1" l="1"/>
  <c r="B93" i="1" l="1"/>
  <c r="B86" i="1" l="1"/>
  <c r="B52" i="1" l="1"/>
  <c r="B49" i="1"/>
  <c r="B47" i="1"/>
  <c r="B16" i="1" l="1"/>
  <c r="B15" i="1"/>
  <c r="B74" i="1" l="1"/>
  <c r="B73" i="1"/>
  <c r="B71" i="1"/>
  <c r="B69" i="1"/>
  <c r="B68" i="1"/>
  <c r="B67" i="1"/>
  <c r="B66" i="1"/>
  <c r="B64" i="1"/>
  <c r="B100" i="1" l="1"/>
  <c r="B63" i="1" l="1"/>
  <c r="B83" i="1" l="1"/>
  <c r="B84" i="1"/>
  <c r="E5" i="1" l="1"/>
  <c r="B92" i="1" l="1"/>
  <c r="B59" i="1" l="1"/>
  <c r="B14" i="1" l="1"/>
  <c r="B50" i="1" l="1"/>
  <c r="B65" i="1" l="1"/>
  <c r="B45" i="1" l="1"/>
  <c r="B43" i="1" l="1"/>
  <c r="B58" i="1" l="1"/>
  <c r="B42" i="1" l="1"/>
  <c r="B61" i="1" l="1"/>
  <c r="B60" i="1" l="1"/>
  <c r="B75" i="1" l="1"/>
  <c r="B57" i="1" l="1"/>
  <c r="B40" i="1" l="1"/>
  <c r="B12" i="1" l="1"/>
  <c r="B11" i="1" l="1"/>
  <c r="B79" i="1" l="1"/>
  <c r="B29" i="1" l="1"/>
  <c r="B30" i="1" l="1"/>
  <c r="B48" i="1" l="1"/>
  <c r="B46" i="1" l="1"/>
  <c r="C53" i="1" s="1"/>
  <c r="B27" i="1" l="1"/>
  <c r="B22" i="1" l="1"/>
  <c r="B24" i="1" l="1"/>
  <c r="B70" i="1" l="1"/>
  <c r="C76" i="1" l="1"/>
  <c r="B28" i="1" l="1"/>
  <c r="B23" i="1" l="1"/>
  <c r="B37" i="1" l="1"/>
  <c r="B35" i="1"/>
  <c r="B33" i="1"/>
  <c r="B32" i="1"/>
  <c r="B31" i="1"/>
  <c r="B101" i="1" l="1"/>
  <c r="C88" i="1" l="1"/>
  <c r="B95" i="1" l="1"/>
  <c r="B25" i="1" l="1"/>
  <c r="B26" i="1" l="1"/>
  <c r="B36" i="1" l="1"/>
  <c r="C38" i="1" l="1"/>
  <c r="C84" i="1" l="1"/>
  <c r="C18" i="1" l="1"/>
  <c r="B96" i="1" l="1"/>
  <c r="B97" i="1" l="1"/>
  <c r="B99" i="1" l="1"/>
  <c r="B98" i="1" l="1"/>
  <c r="C101" i="1" l="1"/>
  <c r="B3" i="1"/>
  <c r="F5" i="1" l="1"/>
  <c r="F18" i="1" s="1"/>
  <c r="G18" i="1"/>
</calcChain>
</file>

<file path=xl/sharedStrings.xml><?xml version="1.0" encoding="utf-8"?>
<sst xmlns="http://schemas.openxmlformats.org/spreadsheetml/2006/main" count="101" uniqueCount="100">
  <si>
    <t>Сальдо</t>
  </si>
  <si>
    <t>покупатели</t>
  </si>
  <si>
    <t>займы</t>
  </si>
  <si>
    <t>прочее</t>
  </si>
  <si>
    <t>УСЛУГИ Мы</t>
  </si>
  <si>
    <t>УСЛУГИ Нам</t>
  </si>
  <si>
    <t>Снекпром</t>
  </si>
  <si>
    <t>Р/с Снекпром</t>
  </si>
  <si>
    <t>касса Снекпром</t>
  </si>
  <si>
    <t>Учредитель №1 (Нерудснаб)</t>
  </si>
  <si>
    <t>Учредитель №2 (ИП Савин)</t>
  </si>
  <si>
    <t>Учредитель №3 (Матвиенко)</t>
  </si>
  <si>
    <t>Учредитель №3 (Захаров)</t>
  </si>
  <si>
    <t>Учредитель №3 (Саманков)</t>
  </si>
  <si>
    <t>Головлин А.А.</t>
  </si>
  <si>
    <r>
      <t xml:space="preserve">Нерудснаб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</si>
  <si>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ИП Головлин А.А. </t>
    </r>
    <r>
      <rPr>
        <b/>
        <i/>
        <sz val="12"/>
        <rFont val="Times New Roman"/>
        <family val="1"/>
        <charset val="204"/>
      </rPr>
      <t>оборудование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</si>
  <si>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р/с</t>
    </r>
  </si>
  <si>
    <r>
      <t xml:space="preserve">Нерудснаб </t>
    </r>
    <r>
      <rPr>
        <b/>
        <u/>
        <sz val="12"/>
        <rFont val="Times New Roman"/>
        <family val="1"/>
        <charset val="204"/>
      </rPr>
      <t>прочее касса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</si>
  <si>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р/с</t>
    </r>
  </si>
  <si>
    <r>
      <t xml:space="preserve">Нерудснаб займы </t>
    </r>
    <r>
      <rPr>
        <b/>
        <u/>
        <sz val="12"/>
        <rFont val="Times New Roman"/>
        <family val="1"/>
        <charset val="204"/>
      </rPr>
      <t>касса</t>
    </r>
  </si>
  <si>
    <t>Матвиенко Зп</t>
  </si>
  <si>
    <t>Захаров Зп</t>
  </si>
  <si>
    <r>
      <t xml:space="preserve">ИП Головлин </t>
    </r>
    <r>
      <rPr>
        <b/>
        <u/>
        <sz val="12"/>
        <rFont val="Times New Roman"/>
        <family val="1"/>
        <charset val="204"/>
      </rPr>
      <t>прочее р/с</t>
    </r>
  </si>
  <si>
    <t>Агротрейд (арахис)</t>
  </si>
  <si>
    <t>поставщики комплектующих</t>
  </si>
  <si>
    <t>поставщики сырья</t>
  </si>
  <si>
    <t>Ресурс Групп (крахмал кукурузный)</t>
  </si>
  <si>
    <t>ПродАльянс (масло пальмовое)</t>
  </si>
  <si>
    <t>ТД Виктан (соль)</t>
  </si>
  <si>
    <t>Омега Фуд Технолоджи (вкусовые добавки)</t>
  </si>
  <si>
    <t>Скип (крахмальная патока)</t>
  </si>
  <si>
    <t>ВМ Ингредиентс (ароматизаторы+вкус.добавки)</t>
  </si>
  <si>
    <t>Русские мельницы (мука)</t>
  </si>
  <si>
    <t>НИКА (лотки)</t>
  </si>
  <si>
    <t>Склад (комплектующие)</t>
  </si>
  <si>
    <t>Вито-Хаус</t>
  </si>
  <si>
    <t>СЗ-Гофра</t>
  </si>
  <si>
    <r>
      <t>Учредитель №2 (</t>
    </r>
    <r>
      <rPr>
        <b/>
        <sz val="12"/>
        <rFont val="Times New Roman"/>
        <family val="1"/>
        <charset val="204"/>
      </rPr>
      <t>взносы</t>
    </r>
    <r>
      <rPr>
        <sz val="12"/>
        <rFont val="Times New Roman"/>
        <family val="1"/>
        <charset val="204"/>
      </rPr>
      <t>)</t>
    </r>
  </si>
  <si>
    <t>Ф-Граф (пленки)</t>
  </si>
  <si>
    <t>ТД Л-Пак (гофроящики)</t>
  </si>
  <si>
    <t>.</t>
  </si>
  <si>
    <t>Золотой снек (фасовка)</t>
  </si>
  <si>
    <t>Склад (сырье)</t>
  </si>
  <si>
    <t>ИП Супрунов</t>
  </si>
  <si>
    <t>электричество</t>
  </si>
  <si>
    <t>Золотой Снек</t>
  </si>
  <si>
    <t>СоюзСнаб (пищевые добавки)</t>
  </si>
  <si>
    <t>ОптТорг (обжарка)</t>
  </si>
  <si>
    <t>оплата (сотрудники)</t>
  </si>
  <si>
    <t>Промстеклоснаб (доставка)</t>
  </si>
  <si>
    <r>
      <t>ИП Головлин</t>
    </r>
    <r>
      <rPr>
        <b/>
        <u/>
        <sz val="12"/>
        <rFont val="Times New Roman"/>
        <family val="1"/>
        <charset val="204"/>
      </rPr>
      <t xml:space="preserve"> р/с УСЛУГИ</t>
    </r>
  </si>
  <si>
    <t>ТМК-Сервис</t>
  </si>
  <si>
    <t>Приопак</t>
  </si>
  <si>
    <t>Рыбацкое дело</t>
  </si>
  <si>
    <t>СНГ</t>
  </si>
  <si>
    <t>ИП Козырева (доставка)</t>
  </si>
  <si>
    <t>ПЭК (доставка)</t>
  </si>
  <si>
    <t>Аурум Фуд</t>
  </si>
  <si>
    <t>ИП Ким</t>
  </si>
  <si>
    <t>Академия-Т</t>
  </si>
  <si>
    <t>Эко Ресурс</t>
  </si>
  <si>
    <t>Орион (глутамат и т.д.)</t>
  </si>
  <si>
    <t>Полимаркет (этикетки)</t>
  </si>
  <si>
    <t>Интернет Решения</t>
  </si>
  <si>
    <r>
      <t xml:space="preserve">ГСН займ </t>
    </r>
    <r>
      <rPr>
        <b/>
        <u/>
        <sz val="12"/>
        <rFont val="Times New Roman"/>
        <family val="1"/>
        <charset val="204"/>
      </rPr>
      <t>р/с</t>
    </r>
  </si>
  <si>
    <t>Акваэлемент (обжарка)</t>
  </si>
  <si>
    <r>
      <t xml:space="preserve">Золотой Снек </t>
    </r>
    <r>
      <rPr>
        <b/>
        <i/>
        <sz val="12"/>
        <rFont val="Times New Roman"/>
        <family val="1"/>
        <charset val="204"/>
      </rPr>
      <t>(Барахис для СНГ ноябрь 2024)</t>
    </r>
  </si>
  <si>
    <t>Золотой Снек (тарелки, гофрокороба)</t>
  </si>
  <si>
    <t>Яндекс.Лавка</t>
  </si>
  <si>
    <t>Лейбл Стик (этикетки)</t>
  </si>
  <si>
    <r>
      <t xml:space="preserve">АБЗстрой займ </t>
    </r>
    <r>
      <rPr>
        <b/>
        <u/>
        <sz val="12"/>
        <rFont val="Times New Roman"/>
        <family val="1"/>
        <charset val="204"/>
      </rPr>
      <t>р/с</t>
    </r>
  </si>
  <si>
    <t>Люкс Ойл (масло пальмовое)</t>
  </si>
  <si>
    <t>Упак Ареал</t>
  </si>
  <si>
    <t>Экобиотехнология (отработ. пальмовое масло)</t>
  </si>
  <si>
    <t>Тара.ру (гофроящики)</t>
  </si>
  <si>
    <t>Компас класс</t>
  </si>
  <si>
    <t>ИП Камалов (доставка)</t>
  </si>
  <si>
    <t>Итеко России (доставка)</t>
  </si>
  <si>
    <t>Нью Био (крахмал кукурузный)</t>
  </si>
  <si>
    <t>Белторгфуд</t>
  </si>
  <si>
    <t>РусУпак</t>
  </si>
  <si>
    <t>ИП Савин (доставка)</t>
  </si>
  <si>
    <t>Агроимпекс (арахис)</t>
  </si>
  <si>
    <t>Универсам Бегемаг</t>
  </si>
  <si>
    <t>Пластик (тарелки)</t>
  </si>
  <si>
    <t>Элемент Трейд (Монетка)</t>
  </si>
  <si>
    <t>ИП Лысенко</t>
  </si>
  <si>
    <t>Велторгингридиентс (пищевые добавки)</t>
  </si>
  <si>
    <r>
      <t xml:space="preserve">Склад </t>
    </r>
    <r>
      <rPr>
        <b/>
        <i/>
        <sz val="12"/>
        <rFont val="Times New Roman"/>
        <family val="1"/>
        <charset val="204"/>
      </rPr>
      <t>(полуфабрикаты)</t>
    </r>
  </si>
  <si>
    <r>
      <t>Склад</t>
    </r>
    <r>
      <rPr>
        <b/>
        <i/>
        <sz val="12"/>
        <rFont val="Times New Roman"/>
        <family val="1"/>
        <charset val="204"/>
      </rPr>
      <t xml:space="preserve"> (готовая продукция, цены реализации)</t>
    </r>
  </si>
  <si>
    <t>Факторинг 40 дней 2,88%</t>
  </si>
  <si>
    <t>ФМ Логистик (доставка)</t>
  </si>
  <si>
    <t>Доминант (крахмал)</t>
  </si>
  <si>
    <t>оплата (Наемные сотрудники)</t>
  </si>
  <si>
    <t>КрахмалПродукт (патока)</t>
  </si>
  <si>
    <r>
      <t>газ (</t>
    </r>
    <r>
      <rPr>
        <b/>
        <sz val="12"/>
        <rFont val="Times New Roman"/>
        <family val="1"/>
        <charset val="204"/>
      </rPr>
      <t>по май</t>
    </r>
    <r>
      <rPr>
        <sz val="12"/>
        <rFont val="Times New Roman"/>
        <family val="1"/>
        <charset val="204"/>
      </rPr>
      <t>)</t>
    </r>
  </si>
  <si>
    <t>итого май по 25:</t>
  </si>
  <si>
    <t>30 мая</t>
  </si>
  <si>
    <t>1-30.05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</si>
</sst>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_ ;[Red]\-#,##0.00\ "/>
  </numFmts>
  <fonts count="19" x14ac:knownFonts="1">
    <font>
      <sz val="11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color theme="0" tint="-0.49998474074526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16" fontId="3" fillId="0" borderId="0" xfId="0" applyNumberFormat="1" applyFont="1"/>
    <xf numFmtId="0" fontId="4" fillId="0" borderId="0" xfId="0" applyFont="1"/>
    <xf numFmtId="16" fontId="5" fillId="0" borderId="0" xfId="0" applyNumberFormat="1" applyFont="1"/>
    <xf numFmtId="0" fontId="3" fillId="0" borderId="0" xfId="0" applyFont="1"/>
    <xf numFmtId="0" fontId="5" fillId="0" borderId="0" xfId="0" applyFont="1"/>
    <xf numFmtId="0" fontId="8" fillId="0" borderId="0" xfId="0" applyFont="1"/>
    <xf numFmtId="8" fontId="11" fillId="0" borderId="0" xfId="0" applyNumberFormat="1" applyFont="1"/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0" xfId="0" applyFont="1" applyFill="1" applyBorder="1"/>
    <xf numFmtId="0" fontId="5" fillId="5" borderId="6" xfId="0" applyFont="1" applyFill="1" applyBorder="1"/>
    <xf numFmtId="0" fontId="5" fillId="5" borderId="8" xfId="0" applyFont="1" applyFill="1" applyBorder="1"/>
    <xf numFmtId="0" fontId="5" fillId="5" borderId="10" xfId="0" applyFont="1" applyFill="1" applyBorder="1"/>
    <xf numFmtId="0" fontId="5" fillId="4" borderId="6" xfId="0" applyFont="1" applyFill="1" applyBorder="1" applyAlignment="1">
      <alignment horizontal="left" vertical="center"/>
    </xf>
    <xf numFmtId="0" fontId="5" fillId="2" borderId="18" xfId="0" applyFont="1" applyFill="1" applyBorder="1"/>
    <xf numFmtId="0" fontId="5" fillId="2" borderId="8" xfId="0" applyFont="1" applyFill="1" applyBorder="1"/>
    <xf numFmtId="0" fontId="5" fillId="6" borderId="6" xfId="0" applyFont="1" applyFill="1" applyBorder="1" applyAlignment="1">
      <alignment horizontal="left"/>
    </xf>
    <xf numFmtId="0" fontId="5" fillId="6" borderId="4" xfId="0" applyFont="1" applyFill="1" applyBorder="1"/>
    <xf numFmtId="0" fontId="5" fillId="6" borderId="10" xfId="0" applyFont="1" applyFill="1" applyBorder="1"/>
    <xf numFmtId="0" fontId="5" fillId="5" borderId="4" xfId="0" applyFont="1" applyFill="1" applyBorder="1"/>
    <xf numFmtId="0" fontId="5" fillId="5" borderId="14" xfId="0" applyFont="1" applyFill="1" applyBorder="1"/>
    <xf numFmtId="14" fontId="1" fillId="0" borderId="0" xfId="0" applyNumberFormat="1" applyFont="1" applyAlignment="1">
      <alignment horizontal="center"/>
    </xf>
    <xf numFmtId="8" fontId="4" fillId="0" borderId="0" xfId="0" applyNumberFormat="1" applyFont="1"/>
    <xf numFmtId="8" fontId="10" fillId="0" borderId="0" xfId="0" applyNumberFormat="1" applyFont="1"/>
    <xf numFmtId="8" fontId="15" fillId="0" borderId="0" xfId="0" applyNumberFormat="1" applyFont="1"/>
    <xf numFmtId="16" fontId="14" fillId="0" borderId="0" xfId="0" applyNumberFormat="1" applyFont="1"/>
    <xf numFmtId="8" fontId="16" fillId="0" borderId="1" xfId="0" applyNumberFormat="1" applyFont="1" applyBorder="1"/>
    <xf numFmtId="8" fontId="17" fillId="0" borderId="0" xfId="0" applyNumberFormat="1" applyFont="1"/>
    <xf numFmtId="0" fontId="5" fillId="4" borderId="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40" fontId="2" fillId="0" borderId="0" xfId="0" applyNumberFormat="1" applyFont="1" applyAlignment="1">
      <alignment horizontal="center"/>
    </xf>
    <xf numFmtId="40" fontId="5" fillId="0" borderId="0" xfId="0" applyNumberFormat="1" applyFont="1"/>
    <xf numFmtId="40" fontId="7" fillId="0" borderId="1" xfId="0" applyNumberFormat="1" applyFont="1" applyBorder="1"/>
    <xf numFmtId="40" fontId="9" fillId="4" borderId="5" xfId="0" applyNumberFormat="1" applyFont="1" applyFill="1" applyBorder="1" applyAlignment="1">
      <alignment horizontal="right"/>
    </xf>
    <xf numFmtId="40" fontId="9" fillId="4" borderId="7" xfId="0" applyNumberFormat="1" applyFont="1" applyFill="1" applyBorder="1" applyAlignment="1">
      <alignment horizontal="right"/>
    </xf>
    <xf numFmtId="40" fontId="9" fillId="4" borderId="11" xfId="0" applyNumberFormat="1" applyFont="1" applyFill="1" applyBorder="1" applyAlignment="1">
      <alignment horizontal="right"/>
    </xf>
    <xf numFmtId="40" fontId="9" fillId="5" borderId="15" xfId="0" applyNumberFormat="1" applyFont="1" applyFill="1" applyBorder="1" applyAlignment="1">
      <alignment horizontal="right"/>
    </xf>
    <xf numFmtId="40" fontId="9" fillId="5" borderId="7" xfId="0" applyNumberFormat="1" applyFont="1" applyFill="1" applyBorder="1" applyAlignment="1">
      <alignment horizontal="right"/>
    </xf>
    <xf numFmtId="40" fontId="9" fillId="5" borderId="5" xfId="0" applyNumberFormat="1" applyFont="1" applyFill="1" applyBorder="1" applyAlignment="1">
      <alignment horizontal="right"/>
    </xf>
    <xf numFmtId="40" fontId="9" fillId="5" borderId="19" xfId="0" applyNumberFormat="1" applyFont="1" applyFill="1" applyBorder="1" applyAlignment="1">
      <alignment horizontal="right"/>
    </xf>
    <xf numFmtId="40" fontId="9" fillId="5" borderId="9" xfId="0" applyNumberFormat="1" applyFont="1" applyFill="1" applyBorder="1" applyAlignment="1">
      <alignment horizontal="right"/>
    </xf>
    <xf numFmtId="40" fontId="9" fillId="5" borderId="11" xfId="0" applyNumberFormat="1" applyFont="1" applyFill="1" applyBorder="1" applyAlignment="1">
      <alignment horizontal="right"/>
    </xf>
    <xf numFmtId="40" fontId="9" fillId="4" borderId="5" xfId="0" applyNumberFormat="1" applyFont="1" applyFill="1" applyBorder="1" applyAlignment="1">
      <alignment horizontal="right" vertical="center"/>
    </xf>
    <xf numFmtId="40" fontId="9" fillId="4" borderId="7" xfId="0" applyNumberFormat="1" applyFont="1" applyFill="1" applyBorder="1" applyAlignment="1">
      <alignment horizontal="right" vertical="center"/>
    </xf>
    <xf numFmtId="40" fontId="9" fillId="4" borderId="26" xfId="0" applyNumberFormat="1" applyFont="1" applyFill="1" applyBorder="1" applyAlignment="1">
      <alignment horizontal="right" vertical="center"/>
    </xf>
    <xf numFmtId="40" fontId="9" fillId="4" borderId="19" xfId="0" applyNumberFormat="1" applyFont="1" applyFill="1" applyBorder="1" applyAlignment="1">
      <alignment horizontal="right" vertical="center"/>
    </xf>
    <xf numFmtId="40" fontId="9" fillId="4" borderId="9" xfId="0" applyNumberFormat="1" applyFont="1" applyFill="1" applyBorder="1"/>
    <xf numFmtId="40" fontId="9" fillId="4" borderId="11" xfId="0" applyNumberFormat="1" applyFont="1" applyFill="1" applyBorder="1"/>
    <xf numFmtId="40" fontId="9" fillId="2" borderId="15" xfId="0" applyNumberFormat="1" applyFont="1" applyFill="1" applyBorder="1"/>
    <xf numFmtId="40" fontId="9" fillId="2" borderId="9" xfId="0" applyNumberFormat="1" applyFont="1" applyFill="1" applyBorder="1"/>
    <xf numFmtId="40" fontId="9" fillId="2" borderId="11" xfId="0" applyNumberFormat="1" applyFont="1" applyFill="1" applyBorder="1"/>
    <xf numFmtId="40" fontId="9" fillId="6" borderId="7" xfId="0" applyNumberFormat="1" applyFont="1" applyFill="1" applyBorder="1" applyAlignment="1">
      <alignment horizontal="right"/>
    </xf>
    <xf numFmtId="40" fontId="9" fillId="6" borderId="7" xfId="0" applyNumberFormat="1" applyFont="1" applyFill="1" applyBorder="1"/>
    <xf numFmtId="40" fontId="9" fillId="6" borderId="5" xfId="0" applyNumberFormat="1" applyFont="1" applyFill="1" applyBorder="1"/>
    <xf numFmtId="40" fontId="9" fillId="6" borderId="11" xfId="0" applyNumberFormat="1" applyFont="1" applyFill="1" applyBorder="1"/>
    <xf numFmtId="0" fontId="5" fillId="2" borderId="14" xfId="0" applyFont="1" applyFill="1" applyBorder="1"/>
    <xf numFmtId="0" fontId="5" fillId="2" borderId="10" xfId="0" applyFont="1" applyFill="1" applyBorder="1"/>
    <xf numFmtId="40" fontId="9" fillId="2" borderId="19" xfId="0" applyNumberFormat="1" applyFont="1" applyFill="1" applyBorder="1"/>
    <xf numFmtId="0" fontId="5" fillId="5" borderId="21" xfId="0" applyFont="1" applyFill="1" applyBorder="1"/>
    <xf numFmtId="0" fontId="5" fillId="6" borderId="8" xfId="0" applyFont="1" applyFill="1" applyBorder="1"/>
    <xf numFmtId="40" fontId="9" fillId="6" borderId="9" xfId="0" applyNumberFormat="1" applyFont="1" applyFill="1" applyBorder="1"/>
    <xf numFmtId="40" fontId="9" fillId="4" borderId="22" xfId="0" applyNumberFormat="1" applyFont="1" applyFill="1" applyBorder="1" applyAlignment="1">
      <alignment horizontal="right" vertical="center"/>
    </xf>
    <xf numFmtId="0" fontId="5" fillId="2" borderId="20" xfId="0" applyFont="1" applyFill="1" applyBorder="1"/>
    <xf numFmtId="40" fontId="9" fillId="8" borderId="7" xfId="0" applyNumberFormat="1" applyFont="1" applyFill="1" applyBorder="1" applyAlignment="1">
      <alignment horizontal="right" vertical="center"/>
    </xf>
    <xf numFmtId="40" fontId="12" fillId="0" borderId="1" xfId="0" applyNumberFormat="1" applyFont="1" applyBorder="1"/>
    <xf numFmtId="0" fontId="5" fillId="8" borderId="4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40" fontId="6" fillId="0" borderId="0" xfId="0" applyNumberFormat="1" applyFont="1"/>
    <xf numFmtId="40" fontId="3" fillId="2" borderId="0" xfId="0" applyNumberFormat="1" applyFont="1" applyFill="1"/>
    <xf numFmtId="40" fontId="14" fillId="7" borderId="0" xfId="0" applyNumberFormat="1" applyFont="1" applyFill="1"/>
    <xf numFmtId="40" fontId="4" fillId="0" borderId="0" xfId="0" applyNumberFormat="1" applyFont="1"/>
    <xf numFmtId="40" fontId="9" fillId="4" borderId="9" xfId="0" applyNumberFormat="1" applyFont="1" applyFill="1" applyBorder="1" applyAlignment="1">
      <alignment horizontal="right" vertical="center"/>
    </xf>
    <xf numFmtId="40" fontId="18" fillId="6" borderId="9" xfId="0" applyNumberFormat="1" applyFont="1" applyFill="1" applyBorder="1"/>
    <xf numFmtId="0" fontId="5" fillId="4" borderId="8" xfId="0" applyFont="1" applyFill="1" applyBorder="1" applyAlignment="1">
      <alignment horizontal="left"/>
    </xf>
    <xf numFmtId="40" fontId="9" fillId="4" borderId="9" xfId="0" applyNumberFormat="1" applyFont="1" applyFill="1" applyBorder="1" applyAlignment="1">
      <alignment horizontal="right"/>
    </xf>
    <xf numFmtId="0" fontId="11" fillId="8" borderId="6" xfId="0" applyFont="1" applyFill="1" applyBorder="1" applyAlignment="1">
      <alignment horizontal="left"/>
    </xf>
    <xf numFmtId="40" fontId="11" fillId="8" borderId="7" xfId="0" applyNumberFormat="1" applyFont="1" applyFill="1" applyBorder="1" applyAlignment="1">
      <alignment horizontal="right"/>
    </xf>
    <xf numFmtId="40" fontId="3" fillId="0" borderId="0" xfId="0" applyNumberFormat="1" applyFont="1"/>
    <xf numFmtId="40" fontId="10" fillId="0" borderId="0" xfId="0" applyNumberFormat="1" applyFont="1"/>
    <xf numFmtId="40" fontId="12" fillId="0" borderId="12" xfId="0" applyNumberFormat="1" applyFont="1" applyBorder="1" applyAlignment="1">
      <alignment vertical="center"/>
    </xf>
    <xf numFmtId="40" fontId="12" fillId="0" borderId="0" xfId="0" applyNumberFormat="1" applyFont="1" applyAlignment="1">
      <alignment vertical="center"/>
    </xf>
    <xf numFmtId="40" fontId="12" fillId="0" borderId="1" xfId="0" applyNumberFormat="1" applyFont="1" applyBorder="1" applyAlignment="1">
      <alignment vertical="center"/>
    </xf>
    <xf numFmtId="40" fontId="12" fillId="0" borderId="0" xfId="0" applyNumberFormat="1" applyFont="1"/>
    <xf numFmtId="164" fontId="4" fillId="0" borderId="0" xfId="0" applyNumberFormat="1" applyFont="1"/>
    <xf numFmtId="0" fontId="9" fillId="3" borderId="16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2;&#1091;&#1087;&#1072;&#1090;&#1077;&#1083;&#1080;%20&#1077;&#1078;&#1077;&#1076;&#1085;&#1077;&#1074;&#1085;&#1099;&#1077;.xlsx" TargetMode="External"/><Relationship Id="rId1" Type="http://schemas.openxmlformats.org/officeDocument/2006/relationships/externalLinkPath" Target="&#1055;&#1086;&#1082;&#1091;&#1087;&#1072;&#1090;&#1077;&#1083;&#1080;%20&#1077;&#1078;&#1077;&#1076;&#1085;&#1077;&#1074;&#1085;&#1099;&#107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2;&#1091;&#1087;&#1072;&#1090;&#1077;&#1083;&#1080;%20&#1077;&#1078;&#1077;&#1076;&#1085;&#1077;&#1074;&#1085;&#1099;&#1081;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kupateli_ezhednevnyi_774_2025).xlsx" TargetMode="External"/><Relationship Id="rId1" Type="http://schemas.openxmlformats.org/officeDocument/2006/relationships/externalLinkPath" Target="Pokupateli_ezhednevnyi_774_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42;&#1079;&#1085;&#1086;&#1089;&#1099;%20&#1079;&#1072;&#1081;&#1084;&#1099;.xlsx" TargetMode="External"/><Relationship Id="rId1" Type="http://schemas.openxmlformats.org/officeDocument/2006/relationships/externalLinkPath" Target="&#1042;&#1079;&#1085;&#1086;&#1089;&#1099;%20&#1079;&#1072;&#1081;&#1084;&#109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6;&#1073;&#1086;&#1088;&#1091;&#1076;&#1086;&#1074;&#1072;&#1085;&#1080;&#1103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42;&#1079;&#1085;&#1086;&#1089;&#1099;-&#1079;&#1072;&#1081;&#1084;&#1099;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42;&#1079;&#1085;&#1086;&#1089;&#1099;-&#1079;&#1072;&#1081;&#1084;&#109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2;&#1086;&#1084;&#1087;&#1083;&#1077;&#1082;&#1090;&#1091;&#1102;&#1097;&#1080;&#1093;%20202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2;&#1086;&#1084;&#1087;&#1083;&#1077;&#1082;&#1090;&#1091;&#1102;&#1097;&#1080;&#1093;.xlsx" TargetMode="External"/><Relationship Id="rId1" Type="http://schemas.openxmlformats.org/officeDocument/2006/relationships/externalLinkPath" Target="&#1055;&#1086;&#1089;&#1090;&#1072;&#1074;&#1097;&#1080;&#1082;&#1080;%20&#1082;&#1086;&#1084;&#1087;&#1083;&#1077;&#1082;&#1090;&#1091;&#1102;&#1097;&#1080;&#1093;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komplektuyuschikh_2025.xlsx" TargetMode="External"/><Relationship Id="rId1" Type="http://schemas.openxmlformats.org/officeDocument/2006/relationships/externalLinkPath" Target="Postavschiki_komplektuyuschikh_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5;&#1086;&#1089;&#1090;&#1072;&#1074;&#1097;&#1080;&#1082;&#1080;%20&#1089;&#1099;&#1088;&#1100;&#1103;.xlsx" TargetMode="External"/><Relationship Id="rId1" Type="http://schemas.openxmlformats.org/officeDocument/2006/relationships/externalLinkPath" Target="&#1055;&#1086;&#1089;&#1090;&#1072;&#1074;&#1097;&#1080;&#1082;&#1080;%20&#1089;&#1099;&#1088;&#1100;&#1103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5;&#1086;&#1089;&#1090;&#1072;&#1074;&#1097;&#1080;&#1082;&#1080;%20&#1089;&#1099;&#1088;&#1100;&#1103;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Postavschiki_syrya_2025.xlsx" TargetMode="External"/><Relationship Id="rId1" Type="http://schemas.openxmlformats.org/officeDocument/2006/relationships/externalLinkPath" Target="Postavschiki_syrya_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86;&#1090;&#1095;&#1077;&#1090;&#1099;/&#1043;&#1083;&#1072;&#1074;&#1057;&#1053;/&#1043;&#1057;&#1053;%20&#1058;&#1091;&#1083;&#1072;/&#1054;&#1088;&#1077;&#1093;&#1080;/&#1074;%20&#1089;&#1072;&#1083;&#1100;&#1076;&#1086;/&#1055;&#1086;&#1089;&#1090;&#1072;&#1074;&#1097;&#1080;&#1082;&#1080;%20&#1089;&#1099;&#1088;&#1100;&#1103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52;&#1099;+&#1090;&#1072;&#1073;&#1077;&#1083;&#1100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86;&#1090;&#1095;&#1077;&#1090;&#1099;%20&#1087;&#1088;&#1086;&#1080;&#1079;&#1074;&#1086;&#1076;&#1089;&#1090;&#1074;&#1072;/&#1072;&#1087;&#1088;&#1077;&#1083;&#1100;/&#1054;&#1090;&#1095;&#1077;&#1090;%20&#1054;&#1041;&#1065;&#1048;&#1049;%20&#1057;&#1085;&#1077;&#1082;&#1087;&#1088;&#1086;&#1084;%20&#1072;&#1087;&#1088;&#1077;&#1083;&#1100;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Uslugi_My_tabel_2025.xlsx" TargetMode="External"/><Relationship Id="rId1" Type="http://schemas.openxmlformats.org/officeDocument/2006/relationships/externalLinkPath" Target="Uslugi_My_tabel_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4;&#1099;%20&#1080;%20&#1090;&#1072;&#1073;&#1077;&#1083;&#1100;.xlsx" TargetMode="External"/><Relationship Id="rId1" Type="http://schemas.openxmlformats.org/officeDocument/2006/relationships/externalLinkPath" Target="&#1059;&#1089;&#1083;&#1091;&#1075;&#1080;%20&#1084;&#1099;%20&#1080;%20&#1090;&#1072;&#1073;&#1077;&#1083;&#1100;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69;&#1083;&#1077;&#1082;&#1090;&#1088;&#1080;&#1095;&#1077;&#1089;&#1090;&#1074;&#1086;%202025.xlsx" TargetMode="External"/><Relationship Id="rId1" Type="http://schemas.openxmlformats.org/officeDocument/2006/relationships/externalLinkPath" Target="&#1069;&#1083;&#1077;&#1082;&#1090;&#1088;&#1080;&#1095;&#1077;&#1089;&#1090;&#1074;&#1086;%20202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60;&#1051;&#1069;&#1064;&#1082;&#1072;/&#1053;&#1077;&#1088;&#1091;&#1076;&#1089;&#1085;&#1072;&#1073;/&#1054;&#1090;&#1095;&#1077;&#1090;&#1099;/&#1043;&#1083;&#1072;&#1074;&#1057;&#1053;/&#1043;&#1057;&#1053;%20&#1058;&#1091;&#1083;&#1072;/&#1054;&#1088;&#1077;&#1093;&#1080;/2025/&#1059;&#1089;&#1083;&#1091;&#1075;&#1080;%20&#1085;&#1072;&#1084;%20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3518744967c675d/&#1056;&#1072;&#1073;&#1086;&#1095;&#1080;&#1081;%20&#1089;&#1090;&#1086;&#1083;/&#1076;&#1086;%2030/&#1059;&#1089;&#1083;&#1091;&#1075;&#1080;%20&#1085;&#1072;&#1084;.xlsx" TargetMode="External"/><Relationship Id="rId1" Type="http://schemas.openxmlformats.org/officeDocument/2006/relationships/externalLinkPath" Target="&#1059;&#1089;&#1083;&#1091;&#1075;&#1080;%20&#1085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4">
          <cell r="L24">
            <v>0</v>
          </cell>
        </row>
      </sheetData>
      <sheetData sheetId="1">
        <row r="25">
          <cell r="R25">
            <v>0</v>
          </cell>
        </row>
      </sheetData>
      <sheetData sheetId="2">
        <row r="57">
          <cell r="R57">
            <v>-61576.2</v>
          </cell>
        </row>
      </sheetData>
      <sheetData sheetId="3">
        <row r="101">
          <cell r="V101">
            <v>2634456</v>
          </cell>
        </row>
      </sheetData>
      <sheetData sheetId="4">
        <row r="28">
          <cell r="R28">
            <v>0</v>
          </cell>
        </row>
      </sheetData>
      <sheetData sheetId="5"/>
      <sheetData sheetId="6">
        <row r="28">
          <cell r="R28">
            <v>0</v>
          </cell>
        </row>
      </sheetData>
      <sheetData sheetId="7"/>
      <sheetData sheetId="8"/>
      <sheetData sheetId="9"/>
      <sheetData sheetId="10"/>
      <sheetData sheetId="11"/>
      <sheetData sheetId="12">
        <row r="73">
          <cell r="P73">
            <v>6135984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>
        <row r="23">
          <cell r="L23">
            <v>0</v>
          </cell>
        </row>
      </sheetData>
      <sheetData sheetId="1">
        <row r="24">
          <cell r="R24">
            <v>0</v>
          </cell>
        </row>
      </sheetData>
      <sheetData sheetId="2">
        <row r="56">
          <cell r="R56">
            <v>0</v>
          </cell>
        </row>
      </sheetData>
      <sheetData sheetId="3">
        <row r="101">
          <cell r="V101">
            <v>1947796</v>
          </cell>
        </row>
      </sheetData>
      <sheetData sheetId="4">
        <row r="28">
          <cell r="R28">
            <v>0</v>
          </cell>
        </row>
      </sheetData>
      <sheetData sheetId="5">
        <row r="28">
          <cell r="R28">
            <v>0</v>
          </cell>
        </row>
      </sheetData>
      <sheetData sheetId="6">
        <row r="28">
          <cell r="R28">
            <v>0</v>
          </cell>
        </row>
      </sheetData>
      <sheetData sheetId="7">
        <row r="23">
          <cell r="Q23">
            <v>0</v>
          </cell>
        </row>
      </sheetData>
      <sheetData sheetId="8">
        <row r="55">
          <cell r="O55">
            <v>0</v>
          </cell>
        </row>
      </sheetData>
      <sheetData sheetId="9">
        <row r="87">
          <cell r="O87">
            <v>1227460.5</v>
          </cell>
        </row>
      </sheetData>
      <sheetData sheetId="10"/>
      <sheetData sheetId="11">
        <row r="23">
          <cell r="H23">
            <v>0</v>
          </cell>
        </row>
      </sheetData>
      <sheetData sheetId="12">
        <row r="73">
          <cell r="P73">
            <v>4369062.5999999996</v>
          </cell>
        </row>
        <row r="74">
          <cell r="U74">
            <v>-239125.89311999999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елторгФ"/>
      <sheetName val="ИП Супрунов"/>
      <sheetName val="ИП Лысенко"/>
      <sheetName val="Золотой Снек"/>
      <sheetName val="Компас класс"/>
      <sheetName val="Рыбацкое дело"/>
      <sheetName val="СНГ"/>
      <sheetName val="ТМК-Сервис"/>
      <sheetName val="Универсам Бег"/>
      <sheetName val="Яндекс.Л"/>
      <sheetName val="чл"/>
      <sheetName val="Экобиотехн"/>
      <sheetName val="ЭлТр Монет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80">
          <cell r="O80">
            <v>318532.5</v>
          </cell>
        </row>
      </sheetData>
      <sheetData sheetId="10" refreshError="1"/>
      <sheetData sheetId="11" refreshError="1">
        <row r="8">
          <cell r="H8">
            <v>0</v>
          </cell>
        </row>
      </sheetData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БЗ"/>
      <sheetName val="Нерудснаб рс"/>
      <sheetName val="Нерудснаб касса"/>
      <sheetName val="ГСН"/>
      <sheetName val="Учр.№1"/>
      <sheetName val="Учр.№2 арендодатели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/>
      <sheetData sheetId="1">
        <row r="40">
          <cell r="D40">
            <v>-9905000</v>
          </cell>
        </row>
      </sheetData>
      <sheetData sheetId="2">
        <row r="84">
          <cell r="D84">
            <v>-5959301.6900000004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  <sheetName val="Лист1"/>
    </sheetNames>
    <sheetDataSet>
      <sheetData sheetId="0">
        <row r="21">
          <cell r="G21">
            <v>14094905.6</v>
          </cell>
          <cell r="H21">
            <v>36549.99</v>
          </cell>
        </row>
      </sheetData>
      <sheetData sheetId="1">
        <row r="21">
          <cell r="H21">
            <v>103275</v>
          </cell>
          <cell r="J21">
            <v>4123500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"/>
      <sheetName val="ИП Головлин"/>
    </sheetNames>
    <sheetDataSet>
      <sheetData sheetId="0">
        <row r="21">
          <cell r="G21">
            <v>14044905.6</v>
          </cell>
          <cell r="I21">
            <v>255549.6</v>
          </cell>
        </row>
      </sheetData>
      <sheetData sheetId="1">
        <row r="21">
          <cell r="H21">
            <v>97000</v>
          </cell>
          <cell r="I21">
            <v>9840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БЗ"/>
      <sheetName val="Нерудснаб рс"/>
      <sheetName val="Нерудснаб касса"/>
      <sheetName val="ГСН"/>
      <sheetName val="Учр.№1"/>
      <sheetName val="Учр.№2"/>
      <sheetName val="Учр.№2 взносы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 refreshError="1">
        <row r="40">
          <cell r="D40">
            <v>-2000000</v>
          </cell>
        </row>
      </sheetData>
      <sheetData sheetId="1" refreshError="1"/>
      <sheetData sheetId="2" refreshError="1"/>
      <sheetData sheetId="3" refreshError="1">
        <row r="40">
          <cell r="D40">
            <v>-8600000</v>
          </cell>
        </row>
      </sheetData>
      <sheetData sheetId="4" refreshError="1"/>
      <sheetData sheetId="5" refreshError="1"/>
      <sheetData sheetId="6" refreshError="1">
        <row r="40">
          <cell r="D40">
            <v>-7990</v>
          </cell>
        </row>
      </sheetData>
      <sheetData sheetId="7" refreshError="1"/>
      <sheetData sheetId="8" refreshError="1"/>
      <sheetData sheetId="9" refreshError="1"/>
      <sheetData sheetId="10" refreshError="1">
        <row r="40">
          <cell r="D40">
            <v>899247.08</v>
          </cell>
        </row>
      </sheetData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ерудснаб рс"/>
      <sheetName val="Нерудснаб касса"/>
      <sheetName val="Учр.№1"/>
      <sheetName val="Учр.№2"/>
      <sheetName val="Учр.№3 М"/>
      <sheetName val="Матвиенко зп"/>
      <sheetName val="Учр.№3 З"/>
      <sheetName val="Захаров зп"/>
      <sheetName val="Учр.№3 С"/>
      <sheetName val="Саманков зп"/>
    </sheetNames>
    <sheetDataSet>
      <sheetData sheetId="0">
        <row r="40">
          <cell r="D40">
            <v>-5405000</v>
          </cell>
        </row>
      </sheetData>
      <sheetData sheetId="1">
        <row r="40">
          <cell r="D40">
            <v>-600000</v>
          </cell>
        </row>
      </sheetData>
      <sheetData sheetId="2">
        <row r="40">
          <cell r="D40">
            <v>-80000</v>
          </cell>
        </row>
      </sheetData>
      <sheetData sheetId="3">
        <row r="40">
          <cell r="D40">
            <v>-60000</v>
          </cell>
        </row>
      </sheetData>
      <sheetData sheetId="4">
        <row r="40">
          <cell r="D40">
            <v>-20000</v>
          </cell>
        </row>
      </sheetData>
      <sheetData sheetId="5">
        <row r="40">
          <cell r="D40">
            <v>200000</v>
          </cell>
        </row>
      </sheetData>
      <sheetData sheetId="6">
        <row r="40">
          <cell r="D40">
            <v>-20000</v>
          </cell>
        </row>
      </sheetData>
      <sheetData sheetId="7">
        <row r="40">
          <cell r="D40">
            <v>200000</v>
          </cell>
        </row>
      </sheetData>
      <sheetData sheetId="8">
        <row r="40">
          <cell r="D40">
            <v>-20000</v>
          </cell>
        </row>
      </sheetData>
      <sheetData sheetId="9">
        <row r="40">
          <cell r="D40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>
        <row r="21">
          <cell r="I21">
            <v>0</v>
          </cell>
        </row>
      </sheetData>
      <sheetData sheetId="1" refreshError="1"/>
      <sheetData sheetId="2" refreshError="1">
        <row r="21">
          <cell r="I21">
            <v>9.0949470177292824E-13</v>
          </cell>
        </row>
      </sheetData>
      <sheetData sheetId="3" refreshError="1">
        <row r="21">
          <cell r="I21">
            <v>6.9999999992433004E-2</v>
          </cell>
        </row>
      </sheetData>
      <sheetData sheetId="4" refreshError="1"/>
      <sheetData sheetId="5" refreshError="1">
        <row r="21">
          <cell r="J21">
            <v>0</v>
          </cell>
        </row>
      </sheetData>
      <sheetData sheetId="6" refreshError="1">
        <row r="21">
          <cell r="I21">
            <v>0</v>
          </cell>
        </row>
      </sheetData>
      <sheetData sheetId="7" refreshError="1">
        <row r="21">
          <cell r="J21">
            <v>0</v>
          </cell>
        </row>
      </sheetData>
      <sheetData sheetId="8" refreshError="1"/>
      <sheetData sheetId="9" refreshError="1">
        <row r="20">
          <cell r="J20">
            <v>37828.5</v>
          </cell>
        </row>
      </sheetData>
      <sheetData sheetId="10" refreshError="1"/>
      <sheetData sheetId="11" refreshError="1">
        <row r="21">
          <cell r="I21">
            <v>-2.9103830456733704E-11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урум Фуд"/>
      <sheetName val="Золотой Снек"/>
      <sheetName val="Интернет-Решения"/>
      <sheetName val="Лейбл Стик"/>
      <sheetName val="ТД Л-Пак"/>
      <sheetName val="Тара.ру"/>
      <sheetName val="НИКА"/>
      <sheetName val="СЗ-Гофра"/>
      <sheetName val="Упак Ареал"/>
      <sheetName val="РусУпак"/>
      <sheetName val="Пластик"/>
      <sheetName val="Полимаркет"/>
      <sheetName val="Приопак"/>
      <sheetName val="Ф-Граф"/>
      <sheetName val="чл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8">
          <cell r="J18">
            <v>534075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5">
          <cell r="K25">
            <v>-248227.78999999998</v>
          </cell>
        </row>
      </sheetData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 refreshError="1"/>
      <sheetData sheetId="1">
        <row r="21">
          <cell r="I21">
            <v>0</v>
          </cell>
        </row>
      </sheetData>
      <sheetData sheetId="2">
        <row r="31">
          <cell r="I31">
            <v>-553975.00000000023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"/>
      <sheetName val="Люкс Ойл"/>
      <sheetName val="НьюБио"/>
      <sheetName val="РесурсГр кук крахм"/>
      <sheetName val="Р мельницы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  <sheetName val="ОптТорг арахис"/>
    </sheetNames>
    <sheetDataSet>
      <sheetData sheetId="0" refreshError="1"/>
      <sheetData sheetId="1" refreshError="1"/>
      <sheetData sheetId="2" refreshError="1"/>
      <sheetData sheetId="3" refreshError="1">
        <row r="21">
          <cell r="J21">
            <v>-4.9999999989813661E-3</v>
          </cell>
        </row>
      </sheetData>
      <sheetData sheetId="4" refreshError="1">
        <row r="21">
          <cell r="I21">
            <v>-214400</v>
          </cell>
        </row>
      </sheetData>
      <sheetData sheetId="5" refreshError="1">
        <row r="36">
          <cell r="J36">
            <v>0</v>
          </cell>
        </row>
      </sheetData>
      <sheetData sheetId="6" refreshError="1">
        <row r="36">
          <cell r="J36">
            <v>0</v>
          </cell>
        </row>
      </sheetData>
      <sheetData sheetId="7" refreshError="1">
        <row r="20">
          <cell r="J20">
            <v>0</v>
          </cell>
        </row>
      </sheetData>
      <sheetData sheetId="8" refreshError="1"/>
      <sheetData sheetId="9" refreshError="1">
        <row r="36">
          <cell r="J36">
            <v>0</v>
          </cell>
        </row>
      </sheetData>
      <sheetData sheetId="10" refreshError="1"/>
      <sheetData sheetId="11" refreshError="1">
        <row r="26">
          <cell r="J26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0">
          <cell r="J20">
            <v>0</v>
          </cell>
        </row>
      </sheetData>
      <sheetData sheetId="22">
        <row r="21">
          <cell r="I21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 на сырье"/>
      <sheetName val="Агроимпекс"/>
      <sheetName val="Агротрейд арахис"/>
      <sheetName val="Академия-Т"/>
      <sheetName val="Золотой Снек"/>
      <sheetName val="ВелторгИнгред"/>
      <sheetName val="ВМ Ингредиентс"/>
      <sheetName val="Вито-Хаус"/>
      <sheetName val="Доминант крах"/>
      <sheetName val="КрахмалПродукт"/>
      <sheetName val="Люкс Ойл"/>
      <sheetName val="НьюБио"/>
      <sheetName val="РесурсГр кук крахм"/>
      <sheetName val="Русская мельница"/>
      <sheetName val="Омега Фуд Техн добавки"/>
      <sheetName val="Орион глутамат"/>
      <sheetName val="ПродАл пальм масло"/>
      <sheetName val="Скип"/>
      <sheetName val="СоюзСнаб"/>
      <sheetName val="ТД Виктан соль"/>
      <sheetName val="ИП Ким"/>
      <sheetName val="ЭкоРесурс"/>
    </sheetNames>
    <sheetDataSet>
      <sheetData sheetId="0"/>
      <sheetData sheetId="1"/>
      <sheetData sheetId="2">
        <row r="21">
          <cell r="I21">
            <v>-553975.00000000023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I17">
            <v>180800</v>
          </cell>
        </row>
      </sheetData>
      <sheetData sheetId="11"/>
      <sheetData sheetId="12">
        <row r="29">
          <cell r="F29">
            <v>13725</v>
          </cell>
        </row>
      </sheetData>
      <sheetData sheetId="13">
        <row r="27">
          <cell r="J27">
            <v>-209250</v>
          </cell>
        </row>
      </sheetData>
      <sheetData sheetId="14">
        <row r="16">
          <cell r="J16">
            <v>-18628.750450000021</v>
          </cell>
        </row>
      </sheetData>
      <sheetData sheetId="15">
        <row r="9">
          <cell r="J9">
            <v>0</v>
          </cell>
        </row>
      </sheetData>
      <sheetData sheetId="16"/>
      <sheetData sheetId="17">
        <row r="19">
          <cell r="J19">
            <v>-29184</v>
          </cell>
        </row>
      </sheetData>
      <sheetData sheetId="18"/>
      <sheetData sheetId="19">
        <row r="15">
          <cell r="J15">
            <v>-7200</v>
          </cell>
        </row>
      </sheetData>
      <sheetData sheetId="20">
        <row r="22">
          <cell r="J22">
            <v>-161980</v>
          </cell>
        </row>
      </sheetData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гротрейд арахис"/>
      <sheetName val="ВМ Ингредиентс"/>
      <sheetName val="РесурсГр кук крахмал"/>
      <sheetName val="Русские мельницы"/>
      <sheetName val="Омега Фуд Техн добавки"/>
      <sheetName val="ПродАл пальм масло"/>
      <sheetName val="Скип"/>
      <sheetName val="ТД Виктан соль"/>
    </sheetNames>
    <sheetDataSet>
      <sheetData sheetId="0">
        <row r="21">
          <cell r="I21">
            <v>25457.280000000028</v>
          </cell>
        </row>
      </sheetData>
      <sheetData sheetId="1">
        <row r="21">
          <cell r="J21">
            <v>109788</v>
          </cell>
        </row>
      </sheetData>
      <sheetData sheetId="2">
        <row r="21">
          <cell r="J21">
            <v>0</v>
          </cell>
        </row>
      </sheetData>
      <sheetData sheetId="3"/>
      <sheetData sheetId="4">
        <row r="21">
          <cell r="J21">
            <v>189092.25</v>
          </cell>
        </row>
      </sheetData>
      <sheetData sheetId="5">
        <row r="21">
          <cell r="I21">
            <v>0</v>
          </cell>
        </row>
      </sheetData>
      <sheetData sheetId="6">
        <row r="21">
          <cell r="J21">
            <v>0</v>
          </cell>
        </row>
      </sheetData>
      <sheetData sheetId="7">
        <row r="21">
          <cell r="J21">
            <v>18000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олотой Снек"/>
      <sheetName val="Акваэлемент"/>
      <sheetName val="ОптТорг"/>
      <sheetName val="Табель начисления Зп"/>
    </sheetNames>
    <sheetDataSet>
      <sheetData sheetId="0">
        <row r="45">
          <cell r="J45">
            <v>0</v>
          </cell>
        </row>
        <row r="46">
          <cell r="K46">
            <v>756825</v>
          </cell>
        </row>
      </sheetData>
      <sheetData sheetId="1">
        <row r="55">
          <cell r="J55">
            <v>-37800</v>
          </cell>
        </row>
      </sheetData>
      <sheetData sheetId="2">
        <row r="55">
          <cell r="J55">
            <v>-850</v>
          </cell>
        </row>
      </sheetData>
      <sheetData sheetId="3">
        <row r="114">
          <cell r="E114">
            <v>100750.00000000001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04.2025"/>
      <sheetName val="02.04.2025"/>
      <sheetName val="03.04"/>
      <sheetName val="04.04"/>
      <sheetName val="07.04"/>
      <sheetName val="08.04"/>
      <sheetName val="09.04"/>
      <sheetName val="10.04"/>
      <sheetName val="11 и 14.04"/>
      <sheetName val="15.04"/>
      <sheetName val="16.04"/>
      <sheetName val="17.04"/>
      <sheetName val="18.04"/>
      <sheetName val="21.04"/>
      <sheetName val="22.04"/>
      <sheetName val="23.04"/>
      <sheetName val="24.04"/>
      <sheetName val="25.04"/>
      <sheetName val="28.04"/>
      <sheetName val="29.04"/>
      <sheetName val="30.04"/>
      <sheetName val="Лист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32">
          <cell r="K132">
            <v>995136</v>
          </cell>
        </row>
        <row r="176">
          <cell r="F176">
            <v>2916756</v>
          </cell>
        </row>
      </sheetData>
      <sheetData sheetId="2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>
        <row r="37">
          <cell r="J37">
            <v>0</v>
          </cell>
        </row>
      </sheetData>
      <sheetData sheetId="1"/>
      <sheetData sheetId="2"/>
      <sheetData sheetId="3">
        <row r="207">
          <cell r="C207">
            <v>5338.36</v>
          </cell>
        </row>
      </sheetData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Золотой Снек"/>
      <sheetName val="Акваэлемент"/>
      <sheetName val="ОптТорг"/>
      <sheetName val="Табель начисления Зп"/>
      <sheetName val="Табель наемные"/>
    </sheetNames>
    <sheetDataSet>
      <sheetData sheetId="0" refreshError="1"/>
      <sheetData sheetId="1">
        <row r="55">
          <cell r="J55">
            <v>0</v>
          </cell>
        </row>
      </sheetData>
      <sheetData sheetId="2">
        <row r="55">
          <cell r="J55">
            <v>850</v>
          </cell>
        </row>
      </sheetData>
      <sheetData sheetId="3">
        <row r="207">
          <cell r="C207">
            <v>5338.36</v>
          </cell>
        </row>
      </sheetData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63">
          <cell r="M163">
            <v>915.04649999999992</v>
          </cell>
        </row>
        <row r="177">
          <cell r="I177">
            <v>-167570.61700000011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 refreshError="1"/>
      <sheetData sheetId="1" refreshError="1">
        <row r="56">
          <cell r="J56">
            <v>3908.6601599999995</v>
          </cell>
        </row>
      </sheetData>
      <sheetData sheetId="2" refreshError="1">
        <row r="56">
          <cell r="J56">
            <v>0</v>
          </cell>
        </row>
      </sheetData>
      <sheetData sheetId="3" refreshError="1">
        <row r="57">
          <cell r="J57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омстеклосн"/>
      <sheetName val="ПЭК"/>
      <sheetName val="ИП Козырева"/>
      <sheetName val="ИП Камалов"/>
      <sheetName val="ИП Савин"/>
      <sheetName val="Итеко России"/>
      <sheetName val="ФМ логистик"/>
    </sheetNames>
    <sheetDataSet>
      <sheetData sheetId="0">
        <row r="63">
          <cell r="I63">
            <v>-546000</v>
          </cell>
        </row>
      </sheetData>
      <sheetData sheetId="1" refreshError="1"/>
      <sheetData sheetId="2" refreshError="1"/>
      <sheetData sheetId="3" refreshError="1"/>
      <sheetData sheetId="4">
        <row r="28">
          <cell r="I28">
            <v>-30000</v>
          </cell>
        </row>
      </sheetData>
      <sheetData sheetId="5">
        <row r="27">
          <cell r="I27">
            <v>68946</v>
          </cell>
        </row>
      </sheetData>
      <sheetData sheetId="6">
        <row r="59">
          <cell r="I59">
            <v>409040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pane ySplit="1" topLeftCell="A50" activePane="bottomLeft" state="frozen"/>
      <selection pane="bottomLeft" activeCell="B82" sqref="B82"/>
    </sheetView>
  </sheetViews>
  <sheetFormatPr defaultColWidth="8.85546875" defaultRowHeight="15.75" x14ac:dyDescent="0.25"/>
  <cols>
    <col min="1" max="1" width="46" style="5" customWidth="1"/>
    <col min="2" max="2" width="23.85546875" style="33" customWidth="1"/>
    <col min="3" max="3" width="15.7109375" style="72" bestFit="1" customWidth="1"/>
    <col min="4" max="4" width="17" style="2" bestFit="1" customWidth="1"/>
    <col min="5" max="5" width="17.85546875" style="24" customWidth="1"/>
    <col min="6" max="6" width="15.7109375" style="2" customWidth="1"/>
    <col min="7" max="7" width="15.85546875" style="2" bestFit="1" customWidth="1"/>
    <col min="8" max="1000" width="9.140625" style="2" customWidth="1"/>
    <col min="1001" max="16384" width="8.85546875" style="2"/>
  </cols>
  <sheetData>
    <row r="1" spans="1:7" ht="23.25" x14ac:dyDescent="0.35">
      <c r="A1" s="23" t="s">
        <v>99</v>
      </c>
      <c r="B1" s="32" t="s">
        <v>6</v>
      </c>
      <c r="C1" s="79">
        <v>45747</v>
      </c>
      <c r="D1" s="1">
        <v>45751</v>
      </c>
      <c r="E1" s="27">
        <v>45765</v>
      </c>
      <c r="F1" s="27" t="s">
        <v>98</v>
      </c>
    </row>
    <row r="2" spans="1:7" ht="9.6" customHeight="1" thickBot="1" x14ac:dyDescent="0.3">
      <c r="A2" s="3"/>
      <c r="C2" s="79"/>
      <c r="D2" s="4"/>
    </row>
    <row r="3" spans="1:7" s="72" customFormat="1" ht="21" thickBot="1" x14ac:dyDescent="0.35">
      <c r="A3" s="69" t="s">
        <v>0</v>
      </c>
      <c r="B3" s="34">
        <f>SUM(B6:B101)</f>
        <v>-31198831.635229997</v>
      </c>
      <c r="C3" s="70">
        <v>-24683593.850000001</v>
      </c>
      <c r="D3" s="70">
        <v>-24387269.530000001</v>
      </c>
      <c r="E3" s="71">
        <v>-24137497.870000001</v>
      </c>
      <c r="F3" s="71"/>
    </row>
    <row r="4" spans="1:7" ht="6.75" customHeight="1" thickBot="1" x14ac:dyDescent="0.35">
      <c r="D4" s="6"/>
    </row>
    <row r="5" spans="1:7" ht="18" customHeight="1" x14ac:dyDescent="0.25">
      <c r="A5" s="90" t="s">
        <v>1</v>
      </c>
      <c r="B5" s="91"/>
      <c r="C5" s="80"/>
      <c r="D5" s="7">
        <f>D3-C3</f>
        <v>296324.3200000003</v>
      </c>
      <c r="E5" s="7">
        <f>E3-D3</f>
        <v>249771.66000000015</v>
      </c>
      <c r="F5" s="26">
        <f>B3-E3</f>
        <v>-7061333.7652299963</v>
      </c>
      <c r="G5" s="26"/>
    </row>
    <row r="6" spans="1:7" ht="18" customHeight="1" x14ac:dyDescent="0.25">
      <c r="A6" s="8" t="s">
        <v>44</v>
      </c>
      <c r="B6" s="35">
        <f>'[1]ИП Супрунов'!$R$25</f>
        <v>0</v>
      </c>
      <c r="C6" s="80"/>
      <c r="D6" s="7"/>
      <c r="E6" s="25"/>
    </row>
    <row r="7" spans="1:7" ht="18" customHeight="1" x14ac:dyDescent="0.25">
      <c r="A7" s="9" t="s">
        <v>87</v>
      </c>
      <c r="B7" s="35">
        <f>'[1]ИП Лысенко'!$R$57</f>
        <v>-61576.2</v>
      </c>
      <c r="C7" s="80"/>
      <c r="D7" s="7"/>
      <c r="E7" s="25"/>
    </row>
    <row r="8" spans="1:7" ht="18" customHeight="1" x14ac:dyDescent="0.25">
      <c r="A8" s="9" t="s">
        <v>80</v>
      </c>
      <c r="B8" s="35">
        <f>[1]БелторгФ!$L$24</f>
        <v>0</v>
      </c>
      <c r="C8" s="80"/>
      <c r="D8" s="7"/>
      <c r="E8" s="25"/>
    </row>
    <row r="9" spans="1:7" ht="18" customHeight="1" x14ac:dyDescent="0.25">
      <c r="A9" s="9" t="s">
        <v>46</v>
      </c>
      <c r="B9" s="36">
        <f>'[1]Золотой Снек'!$V$101</f>
        <v>2634456</v>
      </c>
      <c r="C9" s="80"/>
      <c r="D9" s="7"/>
      <c r="E9" s="25"/>
    </row>
    <row r="10" spans="1:7" ht="18" customHeight="1" x14ac:dyDescent="0.25">
      <c r="A10" s="9" t="s">
        <v>76</v>
      </c>
      <c r="B10" s="36">
        <f>'[1]Компас класс'!$R$28</f>
        <v>0</v>
      </c>
      <c r="C10" s="80"/>
      <c r="D10" s="7"/>
      <c r="E10" s="25"/>
    </row>
    <row r="11" spans="1:7" ht="18" customHeight="1" x14ac:dyDescent="0.25">
      <c r="A11" s="9" t="s">
        <v>52</v>
      </c>
      <c r="B11" s="36">
        <f>'[2]ТМК-Сервис'!$Q$23</f>
        <v>0</v>
      </c>
      <c r="C11" s="80"/>
      <c r="D11" s="7"/>
      <c r="E11" s="25"/>
    </row>
    <row r="12" spans="1:7" ht="18" customHeight="1" x14ac:dyDescent="0.25">
      <c r="A12" s="9" t="s">
        <v>54</v>
      </c>
      <c r="B12" s="36">
        <f>'[2]Рыбацкое дело'!$R$28</f>
        <v>0</v>
      </c>
      <c r="C12" s="80"/>
      <c r="D12" s="7"/>
      <c r="E12" s="25"/>
    </row>
    <row r="13" spans="1:7" ht="18" customHeight="1" x14ac:dyDescent="0.25">
      <c r="A13" s="8" t="s">
        <v>55</v>
      </c>
      <c r="B13" s="35">
        <f>[1]СНГ!$R$28</f>
        <v>0</v>
      </c>
      <c r="C13" s="80"/>
      <c r="D13" s="7"/>
      <c r="E13" s="25"/>
    </row>
    <row r="14" spans="1:7" ht="18" customHeight="1" x14ac:dyDescent="0.25">
      <c r="A14" s="8" t="s">
        <v>84</v>
      </c>
      <c r="B14" s="35">
        <f>'[2]Универсам Бег'!$O$55</f>
        <v>0</v>
      </c>
      <c r="C14" s="80"/>
      <c r="D14" s="7"/>
      <c r="E14" s="25"/>
    </row>
    <row r="15" spans="1:7" ht="18" customHeight="1" x14ac:dyDescent="0.25">
      <c r="A15" s="8" t="s">
        <v>69</v>
      </c>
      <c r="B15" s="35">
        <f>[3]Яндекс.Л!$O$80</f>
        <v>318532.5</v>
      </c>
      <c r="C15" s="80"/>
      <c r="D15" s="7"/>
      <c r="E15" s="25"/>
    </row>
    <row r="16" spans="1:7" ht="18" customHeight="1" x14ac:dyDescent="0.25">
      <c r="A16" s="8" t="s">
        <v>74</v>
      </c>
      <c r="B16" s="35">
        <f>[3]Экобиотехн!$H$8</f>
        <v>0</v>
      </c>
      <c r="C16" s="80"/>
      <c r="D16" s="7"/>
      <c r="E16" s="25"/>
    </row>
    <row r="17" spans="1:7" ht="18" customHeight="1" thickBot="1" x14ac:dyDescent="0.3">
      <c r="A17" s="75" t="s">
        <v>86</v>
      </c>
      <c r="B17" s="76">
        <f>'[1]ЭлТр Монетка'!$P$73</f>
        <v>6135984</v>
      </c>
      <c r="C17" s="80"/>
      <c r="D17" s="7"/>
      <c r="E17" s="25"/>
    </row>
    <row r="18" spans="1:7" ht="18" customHeight="1" thickBot="1" x14ac:dyDescent="0.3">
      <c r="A18" s="11"/>
      <c r="B18" s="37"/>
      <c r="C18" s="81">
        <f>SUM(B6:B18)</f>
        <v>9027396.3000000007</v>
      </c>
      <c r="E18" s="29" t="s">
        <v>97</v>
      </c>
      <c r="F18" s="28">
        <f>D5+E5+F5+G5</f>
        <v>-6515237.7852299958</v>
      </c>
      <c r="G18" s="85">
        <f>B3-C3</f>
        <v>-6515237.7852299958</v>
      </c>
    </row>
    <row r="19" spans="1:7" ht="18" customHeight="1" thickBot="1" x14ac:dyDescent="0.3">
      <c r="A19" s="92" t="s">
        <v>2</v>
      </c>
      <c r="B19" s="93"/>
    </row>
    <row r="20" spans="1:7" ht="18" customHeight="1" x14ac:dyDescent="0.25">
      <c r="A20" s="22" t="s">
        <v>19</v>
      </c>
      <c r="B20" s="38">
        <f>'[4]Нерудснаб рс'!$D$40</f>
        <v>-9905000</v>
      </c>
    </row>
    <row r="21" spans="1:7" ht="18" customHeight="1" x14ac:dyDescent="0.25">
      <c r="A21" s="12" t="s">
        <v>20</v>
      </c>
      <c r="B21" s="39">
        <f>'[4]Нерудснаб касса'!$D$84</f>
        <v>-5959301.6900000004</v>
      </c>
    </row>
    <row r="22" spans="1:7" ht="18" customHeight="1" x14ac:dyDescent="0.25">
      <c r="A22" s="12" t="s">
        <v>18</v>
      </c>
      <c r="B22" s="39">
        <f>-[5]Нерудснаб!$H$21</f>
        <v>-36549.99</v>
      </c>
    </row>
    <row r="23" spans="1:7" ht="18" customHeight="1" x14ac:dyDescent="0.25">
      <c r="A23" s="12" t="s">
        <v>17</v>
      </c>
      <c r="B23" s="39">
        <f>-[6]Нерудснаб!$I$21</f>
        <v>-255549.6</v>
      </c>
    </row>
    <row r="24" spans="1:7" ht="18" customHeight="1" x14ac:dyDescent="0.25">
      <c r="A24" s="21" t="s">
        <v>15</v>
      </c>
      <c r="B24" s="40">
        <f>-[5]Нерудснаб!$G$21</f>
        <v>-14094905.6</v>
      </c>
    </row>
    <row r="25" spans="1:7" ht="18" customHeight="1" x14ac:dyDescent="0.25">
      <c r="A25" s="21" t="s">
        <v>71</v>
      </c>
      <c r="B25" s="40">
        <f>[7]АБЗ!$D$40</f>
        <v>-2000000</v>
      </c>
    </row>
    <row r="26" spans="1:7" ht="18" customHeight="1" x14ac:dyDescent="0.25">
      <c r="A26" s="21" t="s">
        <v>65</v>
      </c>
      <c r="B26" s="40">
        <f>[7]ГСН!$D$40</f>
        <v>-8600000</v>
      </c>
    </row>
    <row r="27" spans="1:7" ht="18" customHeight="1" x14ac:dyDescent="0.25">
      <c r="A27" s="21" t="s">
        <v>16</v>
      </c>
      <c r="B27" s="41">
        <f>-'[5]ИП Головлин'!$J$21</f>
        <v>-4123500</v>
      </c>
    </row>
    <row r="28" spans="1:7" ht="18" customHeight="1" x14ac:dyDescent="0.25">
      <c r="A28" s="12" t="s">
        <v>23</v>
      </c>
      <c r="B28" s="40">
        <f>-'[6]ИП Головлин'!$I$21</f>
        <v>-9840</v>
      </c>
    </row>
    <row r="29" spans="1:7" ht="18" customHeight="1" x14ac:dyDescent="0.25">
      <c r="A29" s="13" t="s">
        <v>14</v>
      </c>
      <c r="B29" s="42">
        <f>-'[5]ИП Головлин'!$H$21</f>
        <v>-103275</v>
      </c>
    </row>
    <row r="30" spans="1:7" ht="18" customHeight="1" x14ac:dyDescent="0.25">
      <c r="A30" s="13" t="s">
        <v>38</v>
      </c>
      <c r="B30" s="42">
        <f>'[7]Учр.№2 взносы'!$D$40</f>
        <v>-7990</v>
      </c>
    </row>
    <row r="31" spans="1:7" ht="18" customHeight="1" x14ac:dyDescent="0.25">
      <c r="A31" s="13" t="s">
        <v>9</v>
      </c>
      <c r="B31" s="42">
        <f>[8]Учр.№1!$D$40</f>
        <v>-80000</v>
      </c>
    </row>
    <row r="32" spans="1:7" ht="18" customHeight="1" x14ac:dyDescent="0.25">
      <c r="A32" s="13" t="s">
        <v>10</v>
      </c>
      <c r="B32" s="42">
        <f>[8]Учр.№2!$D$40</f>
        <v>-60000</v>
      </c>
    </row>
    <row r="33" spans="1:3" ht="18" customHeight="1" x14ac:dyDescent="0.25">
      <c r="A33" s="13" t="s">
        <v>11</v>
      </c>
      <c r="B33" s="42">
        <f>'[8]Учр.№3 М'!$D$40</f>
        <v>-20000</v>
      </c>
    </row>
    <row r="34" spans="1:3" ht="18" customHeight="1" x14ac:dyDescent="0.25">
      <c r="A34" s="13" t="s">
        <v>21</v>
      </c>
      <c r="B34" s="42">
        <v>1021800</v>
      </c>
    </row>
    <row r="35" spans="1:3" ht="18" customHeight="1" x14ac:dyDescent="0.25">
      <c r="A35" s="13" t="s">
        <v>12</v>
      </c>
      <c r="B35" s="42">
        <f>'[8]Учр.№3 З'!$D$40</f>
        <v>-20000</v>
      </c>
    </row>
    <row r="36" spans="1:3" ht="18" customHeight="1" x14ac:dyDescent="0.25">
      <c r="A36" s="13" t="s">
        <v>22</v>
      </c>
      <c r="B36" s="42">
        <f>'[7]Захаров зп'!$D$40</f>
        <v>899247.08</v>
      </c>
    </row>
    <row r="37" spans="1:3" ht="18" customHeight="1" thickBot="1" x14ac:dyDescent="0.3">
      <c r="A37" s="21" t="s">
        <v>13</v>
      </c>
      <c r="B37" s="40">
        <f>'[8]Учр.№3 С'!$D$40</f>
        <v>-20000</v>
      </c>
      <c r="C37" s="82"/>
    </row>
    <row r="38" spans="1:3" ht="18" customHeight="1" thickBot="1" x14ac:dyDescent="0.3">
      <c r="A38" s="14" t="s">
        <v>13</v>
      </c>
      <c r="B38" s="43">
        <v>800000</v>
      </c>
      <c r="C38" s="83">
        <f>SUM(B20:B38)</f>
        <v>-42574864.800000004</v>
      </c>
    </row>
    <row r="39" spans="1:3" ht="18" customHeight="1" x14ac:dyDescent="0.25">
      <c r="A39" s="88" t="s">
        <v>25</v>
      </c>
      <c r="B39" s="89"/>
    </row>
    <row r="40" spans="1:3" ht="18" customHeight="1" x14ac:dyDescent="0.25">
      <c r="A40" s="30" t="s">
        <v>58</v>
      </c>
      <c r="B40" s="63">
        <f>'[9]Аурум Фуд'!$I$21</f>
        <v>0</v>
      </c>
    </row>
    <row r="41" spans="1:3" ht="18" customHeight="1" x14ac:dyDescent="0.25">
      <c r="A41" s="30" t="s">
        <v>68</v>
      </c>
      <c r="B41" s="63">
        <f>-337862</f>
        <v>-337862</v>
      </c>
    </row>
    <row r="42" spans="1:3" ht="18" customHeight="1" x14ac:dyDescent="0.25">
      <c r="A42" s="30" t="s">
        <v>64</v>
      </c>
      <c r="B42" s="63">
        <f>'[9]Интернет-Решения'!$I$21</f>
        <v>9.0949470177292824E-13</v>
      </c>
    </row>
    <row r="43" spans="1:3" ht="18" customHeight="1" x14ac:dyDescent="0.25">
      <c r="A43" s="30" t="s">
        <v>70</v>
      </c>
      <c r="B43" s="63">
        <f>'[9]Лейбл Стик'!$I$21</f>
        <v>6.9999999992433004E-2</v>
      </c>
    </row>
    <row r="44" spans="1:3" ht="18" customHeight="1" x14ac:dyDescent="0.25">
      <c r="A44" s="30" t="s">
        <v>40</v>
      </c>
      <c r="B44" s="44">
        <f>'[10]ТД Л-Пак'!$J$29</f>
        <v>0</v>
      </c>
    </row>
    <row r="45" spans="1:3" ht="18" customHeight="1" x14ac:dyDescent="0.25">
      <c r="A45" s="15" t="s">
        <v>75</v>
      </c>
      <c r="B45" s="45">
        <f>[9]Тара.ру!$J$21</f>
        <v>0</v>
      </c>
    </row>
    <row r="46" spans="1:3" ht="18" customHeight="1" x14ac:dyDescent="0.25">
      <c r="A46" s="15" t="s">
        <v>34</v>
      </c>
      <c r="B46" s="45">
        <f>[9]НИКА!$I$21</f>
        <v>0</v>
      </c>
    </row>
    <row r="47" spans="1:3" ht="18" customHeight="1" x14ac:dyDescent="0.25">
      <c r="A47" s="15" t="s">
        <v>39</v>
      </c>
      <c r="B47" s="45">
        <f>'[11]Ф-Граф'!$K$25</f>
        <v>-248227.78999999998</v>
      </c>
    </row>
    <row r="48" spans="1:3" ht="18" customHeight="1" x14ac:dyDescent="0.25">
      <c r="A48" s="15" t="s">
        <v>37</v>
      </c>
      <c r="B48" s="45">
        <f>'[9]СЗ-Гофра'!$J$21</f>
        <v>0</v>
      </c>
    </row>
    <row r="49" spans="1:3" ht="18" customHeight="1" x14ac:dyDescent="0.25">
      <c r="A49" s="15" t="s">
        <v>73</v>
      </c>
      <c r="B49" s="45">
        <f>'[11]Упак Ареал'!$J$18</f>
        <v>534075</v>
      </c>
    </row>
    <row r="50" spans="1:3" ht="18" customHeight="1" x14ac:dyDescent="0.25">
      <c r="A50" s="15" t="s">
        <v>81</v>
      </c>
      <c r="B50" s="45">
        <f>[9]РусУпак!$J$20</f>
        <v>37828.5</v>
      </c>
    </row>
    <row r="51" spans="1:3" ht="18" customHeight="1" x14ac:dyDescent="0.25">
      <c r="A51" s="15" t="s">
        <v>85</v>
      </c>
      <c r="B51" s="45">
        <v>-71020</v>
      </c>
    </row>
    <row r="52" spans="1:3" ht="18" customHeight="1" thickBot="1" x14ac:dyDescent="0.3">
      <c r="A52" s="30" t="s">
        <v>63</v>
      </c>
      <c r="B52" s="44">
        <f>[9]Полимаркет!$I$21</f>
        <v>-2.9103830456733704E-11</v>
      </c>
    </row>
    <row r="53" spans="1:3" ht="18" customHeight="1" thickBot="1" x14ac:dyDescent="0.3">
      <c r="A53" s="31" t="s">
        <v>53</v>
      </c>
      <c r="B53" s="46">
        <v>-2164.1</v>
      </c>
      <c r="C53" s="66">
        <f>SUM(B40:B53)</f>
        <v>-87370.32</v>
      </c>
    </row>
    <row r="54" spans="1:3" ht="18" customHeight="1" x14ac:dyDescent="0.25">
      <c r="A54" s="88" t="s">
        <v>26</v>
      </c>
      <c r="B54" s="89"/>
    </row>
    <row r="55" spans="1:3" ht="18" customHeight="1" x14ac:dyDescent="0.25">
      <c r="A55" s="15" t="s">
        <v>24</v>
      </c>
      <c r="B55" s="45">
        <f>'[12]Агротрейд арахис'!$I$31</f>
        <v>-553975.00000000023</v>
      </c>
    </row>
    <row r="56" spans="1:3" ht="18" customHeight="1" x14ac:dyDescent="0.25">
      <c r="A56" s="15" t="s">
        <v>83</v>
      </c>
      <c r="B56" s="45">
        <f>[12]Агроимпекс!$I$21</f>
        <v>0</v>
      </c>
    </row>
    <row r="57" spans="1:3" ht="18" customHeight="1" x14ac:dyDescent="0.25">
      <c r="A57" s="30" t="s">
        <v>60</v>
      </c>
      <c r="B57" s="45">
        <f>'[13]Академия-Т'!$J$21</f>
        <v>-4.9999999989813661E-3</v>
      </c>
    </row>
    <row r="58" spans="1:3" ht="18" customHeight="1" x14ac:dyDescent="0.25">
      <c r="A58" s="67" t="s">
        <v>67</v>
      </c>
      <c r="B58" s="65">
        <f>'[13]Золотой Снек'!$I$21</f>
        <v>-214400</v>
      </c>
    </row>
    <row r="59" spans="1:3" ht="18" customHeight="1" x14ac:dyDescent="0.25">
      <c r="A59" s="30" t="s">
        <v>88</v>
      </c>
      <c r="B59" s="45">
        <f>[13]ВелторгИнгред!$J$36</f>
        <v>0</v>
      </c>
    </row>
    <row r="60" spans="1:3" ht="18" customHeight="1" x14ac:dyDescent="0.25">
      <c r="A60" s="30" t="s">
        <v>32</v>
      </c>
      <c r="B60" s="44">
        <f>'[13]ВМ Ингредиентс'!$J$36</f>
        <v>0</v>
      </c>
    </row>
    <row r="61" spans="1:3" ht="18" customHeight="1" x14ac:dyDescent="0.25">
      <c r="A61" s="30" t="s">
        <v>36</v>
      </c>
      <c r="B61" s="44">
        <f>'[13]Вито-Хаус'!$J$20</f>
        <v>0</v>
      </c>
    </row>
    <row r="62" spans="1:3" ht="18" customHeight="1" x14ac:dyDescent="0.25">
      <c r="A62" s="68" t="s">
        <v>93</v>
      </c>
      <c r="B62" s="44">
        <v>-303275</v>
      </c>
    </row>
    <row r="63" spans="1:3" ht="18" customHeight="1" x14ac:dyDescent="0.25">
      <c r="A63" s="68" t="s">
        <v>95</v>
      </c>
      <c r="B63" s="47">
        <f>[13]КрахмалПрод!$J$36</f>
        <v>0</v>
      </c>
    </row>
    <row r="64" spans="1:3" ht="18" customHeight="1" x14ac:dyDescent="0.25">
      <c r="A64" s="68" t="s">
        <v>72</v>
      </c>
      <c r="B64" s="44">
        <f>'[14]Люкс Ойл'!$I$17</f>
        <v>180800</v>
      </c>
    </row>
    <row r="65" spans="1:5" ht="18" customHeight="1" x14ac:dyDescent="0.25">
      <c r="A65" s="68" t="s">
        <v>79</v>
      </c>
      <c r="B65" s="73">
        <f>[13]НьюБио!$J$26</f>
        <v>0</v>
      </c>
    </row>
    <row r="66" spans="1:5" ht="18" customHeight="1" x14ac:dyDescent="0.25">
      <c r="A66" s="10" t="s">
        <v>27</v>
      </c>
      <c r="B66" s="48">
        <f>'[14]РесурсГр кук крахм'!$F$29</f>
        <v>13725</v>
      </c>
    </row>
    <row r="67" spans="1:5" ht="18" customHeight="1" x14ac:dyDescent="0.25">
      <c r="A67" s="10" t="s">
        <v>33</v>
      </c>
      <c r="B67" s="48">
        <f>'[14]Русская мельница'!$J$27</f>
        <v>-209250</v>
      </c>
    </row>
    <row r="68" spans="1:5" ht="18" customHeight="1" x14ac:dyDescent="0.25">
      <c r="A68" s="10" t="s">
        <v>30</v>
      </c>
      <c r="B68" s="48">
        <f>'[14]Омега Фуд Техн добавки'!$J$16</f>
        <v>-18628.750450000021</v>
      </c>
    </row>
    <row r="69" spans="1:5" ht="18" customHeight="1" x14ac:dyDescent="0.25">
      <c r="A69" s="10" t="s">
        <v>62</v>
      </c>
      <c r="B69" s="48">
        <f>'[14]Орион глутамат'!$J$9</f>
        <v>0</v>
      </c>
    </row>
    <row r="70" spans="1:5" ht="18" customHeight="1" x14ac:dyDescent="0.25">
      <c r="A70" s="10" t="s">
        <v>28</v>
      </c>
      <c r="B70" s="48">
        <f>'[15]ПродАл пальм масло'!$I$21</f>
        <v>0</v>
      </c>
    </row>
    <row r="71" spans="1:5" ht="18" customHeight="1" x14ac:dyDescent="0.25">
      <c r="A71" s="10" t="s">
        <v>31</v>
      </c>
      <c r="B71" s="48">
        <f>[14]Скип!$J$19</f>
        <v>-29184</v>
      </c>
    </row>
    <row r="72" spans="1:5" ht="18" customHeight="1" x14ac:dyDescent="0.25">
      <c r="A72" s="10" t="s">
        <v>47</v>
      </c>
      <c r="B72" s="48">
        <f>-93862.35-175721.73</f>
        <v>-269584.08</v>
      </c>
    </row>
    <row r="73" spans="1:5" ht="18" customHeight="1" x14ac:dyDescent="0.25">
      <c r="A73" s="10" t="s">
        <v>29</v>
      </c>
      <c r="B73" s="48">
        <f>'[14]ТД Виктан соль'!$J$15</f>
        <v>-7200</v>
      </c>
    </row>
    <row r="74" spans="1:5" ht="18" customHeight="1" x14ac:dyDescent="0.25">
      <c r="A74" s="10" t="s">
        <v>59</v>
      </c>
      <c r="B74" s="48">
        <f>'[14]ИП Ким'!$J$22</f>
        <v>-161980</v>
      </c>
    </row>
    <row r="75" spans="1:5" ht="18" customHeight="1" thickBot="1" x14ac:dyDescent="0.3">
      <c r="A75" s="10" t="s">
        <v>61</v>
      </c>
      <c r="B75" s="48">
        <f>[13]ЭкоРесурс!$J$20</f>
        <v>0</v>
      </c>
      <c r="E75" s="24" t="s">
        <v>41</v>
      </c>
    </row>
    <row r="76" spans="1:5" ht="18" customHeight="1" thickBot="1" x14ac:dyDescent="0.3">
      <c r="A76" s="11"/>
      <c r="B76" s="49"/>
      <c r="C76" s="81">
        <f>SUM(B55:B76)</f>
        <v>-1572951.8354500004</v>
      </c>
    </row>
    <row r="77" spans="1:5" ht="18" customHeight="1" thickBot="1" x14ac:dyDescent="0.3">
      <c r="A77" s="94" t="s">
        <v>3</v>
      </c>
      <c r="B77" s="95"/>
    </row>
    <row r="78" spans="1:5" ht="18" customHeight="1" x14ac:dyDescent="0.25">
      <c r="A78" s="16" t="s">
        <v>7</v>
      </c>
      <c r="B78" s="50">
        <v>245751.1</v>
      </c>
    </row>
    <row r="79" spans="1:5" ht="18" customHeight="1" x14ac:dyDescent="0.25">
      <c r="A79" s="60" t="s">
        <v>51</v>
      </c>
      <c r="B79" s="59">
        <f>'[16]Золотой Снек'!$K$46</f>
        <v>756825</v>
      </c>
    </row>
    <row r="80" spans="1:5" ht="18" customHeight="1" x14ac:dyDescent="0.25">
      <c r="A80" s="17" t="s">
        <v>8</v>
      </c>
      <c r="B80" s="51">
        <v>181981.93</v>
      </c>
    </row>
    <row r="81" spans="1:3" ht="18" customHeight="1" x14ac:dyDescent="0.25">
      <c r="A81" s="17" t="s">
        <v>35</v>
      </c>
      <c r="B81" s="51">
        <v>-32446.92</v>
      </c>
    </row>
    <row r="82" spans="1:3" ht="16.149999999999999" customHeight="1" x14ac:dyDescent="0.25">
      <c r="A82" s="17" t="s">
        <v>43</v>
      </c>
      <c r="B82" s="51">
        <v>-69053.3</v>
      </c>
      <c r="C82" s="84"/>
    </row>
    <row r="83" spans="1:3" ht="16.149999999999999" customHeight="1" thickBot="1" x14ac:dyDescent="0.3">
      <c r="A83" s="61" t="s">
        <v>89</v>
      </c>
      <c r="B83" s="74">
        <f>'[17]30.04'!$F$176</f>
        <v>2916756</v>
      </c>
      <c r="C83" s="84"/>
    </row>
    <row r="84" spans="1:3" ht="16.149999999999999" customHeight="1" thickBot="1" x14ac:dyDescent="0.3">
      <c r="A84" s="61" t="s">
        <v>90</v>
      </c>
      <c r="B84" s="74">
        <f>'[17]30.04'!$K$132</f>
        <v>995136</v>
      </c>
      <c r="C84" s="66">
        <f>SUM(B78:B84)</f>
        <v>4994949.8100000005</v>
      </c>
    </row>
    <row r="85" spans="1:3" ht="16.5" thickBot="1" x14ac:dyDescent="0.3">
      <c r="A85" s="92" t="s">
        <v>4</v>
      </c>
      <c r="B85" s="93"/>
      <c r="C85" s="84"/>
    </row>
    <row r="86" spans="1:3" x14ac:dyDescent="0.25">
      <c r="A86" s="57" t="s">
        <v>42</v>
      </c>
      <c r="B86" s="50">
        <f>'[18]Золотой Снек'!$J$37</f>
        <v>0</v>
      </c>
      <c r="C86" s="84"/>
    </row>
    <row r="87" spans="1:3" ht="16.5" thickBot="1" x14ac:dyDescent="0.3">
      <c r="A87" s="64" t="s">
        <v>66</v>
      </c>
      <c r="B87" s="59">
        <f>[19]Акваэлемент!$J$55</f>
        <v>0</v>
      </c>
      <c r="C87" s="84"/>
    </row>
    <row r="88" spans="1:3" ht="16.5" thickBot="1" x14ac:dyDescent="0.3">
      <c r="A88" s="58" t="s">
        <v>48</v>
      </c>
      <c r="B88" s="52">
        <f>[19]ОптТорг!$J$55</f>
        <v>850</v>
      </c>
      <c r="C88" s="66">
        <f>SUM(B86:B88)</f>
        <v>850</v>
      </c>
    </row>
    <row r="89" spans="1:3" ht="16.5" thickBot="1" x14ac:dyDescent="0.3">
      <c r="A89" s="86" t="s">
        <v>5</v>
      </c>
      <c r="B89" s="87"/>
    </row>
    <row r="90" spans="1:3" ht="18" customHeight="1" x14ac:dyDescent="0.25">
      <c r="A90" s="18" t="s">
        <v>49</v>
      </c>
      <c r="B90" s="53">
        <v>0</v>
      </c>
    </row>
    <row r="91" spans="1:3" ht="18" customHeight="1" x14ac:dyDescent="0.25">
      <c r="A91" s="18" t="s">
        <v>94</v>
      </c>
      <c r="B91" s="53">
        <v>0</v>
      </c>
    </row>
    <row r="92" spans="1:3" ht="18" customHeight="1" x14ac:dyDescent="0.25">
      <c r="A92" s="77" t="s">
        <v>91</v>
      </c>
      <c r="B92" s="78">
        <f>'[2]ЭлТр Монетка'!$U$74</f>
        <v>-239125.89311999999</v>
      </c>
    </row>
    <row r="93" spans="1:3" ht="18" customHeight="1" x14ac:dyDescent="0.25">
      <c r="A93" s="18" t="s">
        <v>45</v>
      </c>
      <c r="B93" s="54">
        <f>-[20]Лист1!$I$177</f>
        <v>167570.61700000011</v>
      </c>
    </row>
    <row r="94" spans="1:3" ht="18" customHeight="1" x14ac:dyDescent="0.25">
      <c r="A94" s="18" t="s">
        <v>96</v>
      </c>
      <c r="B94" s="54">
        <f>[20]Лист1!$M$163</f>
        <v>915.04649999999992</v>
      </c>
    </row>
    <row r="95" spans="1:3" ht="18" customHeight="1" x14ac:dyDescent="0.25">
      <c r="A95" s="18" t="s">
        <v>77</v>
      </c>
      <c r="B95" s="54">
        <f>'[21]ИП Камалов'!$J$57</f>
        <v>0</v>
      </c>
    </row>
    <row r="96" spans="1:3" ht="18" customHeight="1" x14ac:dyDescent="0.25">
      <c r="A96" s="18" t="s">
        <v>82</v>
      </c>
      <c r="B96" s="54">
        <f>'[22]ИП Савин'!$I$28</f>
        <v>-30000</v>
      </c>
    </row>
    <row r="97" spans="1:3" ht="18" customHeight="1" x14ac:dyDescent="0.25">
      <c r="A97" s="18" t="s">
        <v>78</v>
      </c>
      <c r="B97" s="54">
        <f>'[22]Итеко России'!$I$27</f>
        <v>68946</v>
      </c>
    </row>
    <row r="98" spans="1:3" ht="18" customHeight="1" x14ac:dyDescent="0.25">
      <c r="A98" s="18" t="s">
        <v>92</v>
      </c>
      <c r="B98" s="54">
        <f>-'[22]ФМ логистик'!$I$59</f>
        <v>-409040</v>
      </c>
    </row>
    <row r="99" spans="1:3" ht="18" customHeight="1" x14ac:dyDescent="0.25">
      <c r="A99" s="19" t="s">
        <v>50</v>
      </c>
      <c r="B99" s="55">
        <f>[22]Промстеклосн!$I$63</f>
        <v>-546000</v>
      </c>
    </row>
    <row r="100" spans="1:3" ht="18" customHeight="1" thickBot="1" x14ac:dyDescent="0.3">
      <c r="A100" s="61" t="s">
        <v>57</v>
      </c>
      <c r="B100" s="62">
        <f>-[21]ПЭК!$J$56+3802.1</f>
        <v>-106.56015999999954</v>
      </c>
    </row>
    <row r="101" spans="1:3" ht="18" customHeight="1" thickBot="1" x14ac:dyDescent="0.3">
      <c r="A101" s="20" t="s">
        <v>56</v>
      </c>
      <c r="B101" s="56">
        <f>'[21]ИП Козырева'!$J$56</f>
        <v>0</v>
      </c>
      <c r="C101" s="66">
        <f>SUM(B90:B101)</f>
        <v>-986840.78977999988</v>
      </c>
    </row>
    <row r="102" spans="1:3" ht="15" customHeight="1" x14ac:dyDescent="0.25"/>
  </sheetData>
  <mergeCells count="7">
    <mergeCell ref="A89:B89"/>
    <mergeCell ref="A54:B54"/>
    <mergeCell ref="A5:B5"/>
    <mergeCell ref="A19:B19"/>
    <mergeCell ref="A39:B39"/>
    <mergeCell ref="A77:B77"/>
    <mergeCell ref="A85:B85"/>
  </mergeCells>
  <pageMargins left="0" right="0" top="0" bottom="0" header="0.31496062992125984" footer="0.31496062992125984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27,06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2025-09-24T12:50:00Z</dcterms:modified>
</cp:coreProperties>
</file>