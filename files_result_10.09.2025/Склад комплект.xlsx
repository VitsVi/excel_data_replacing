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E17915E7-67A4-4827-A3AC-CA0BE336879F}" xr6:coauthVersionLast="47" xr6:coauthVersionMax="47" xr10:uidLastSave="{00000000-0000-0000-0000-000000000000}"/>
  <bookViews>
    <workbookView xWindow="-120" yWindow="-120" windowWidth="29040" windowHeight="15720" tabRatio="930" xr2:uid="{00000000-000D-0000-FFFF-FFFF00000000}"/>
  </bookViews>
  <sheets>
    <sheet name="склад" sheetId="1" r:id="rId1"/>
    <sheet name="АурумФуд" sheetId="11" r:id="rId2"/>
    <sheet name="Золотой Снек" sheetId="13" r:id="rId3"/>
    <sheet name="ИП Тришина" sheetId="6" r:id="rId4"/>
    <sheet name="Концепт" sheetId="7" r:id="rId5"/>
    <sheet name="ЛейблСтик" sheetId="8" r:id="rId6"/>
    <sheet name="ТД-Л Пак" sheetId="5" r:id="rId7"/>
    <sheet name="Ника" sheetId="2" r:id="rId8"/>
    <sheet name="СЗ-Гофра" sheetId="4" r:id="rId9"/>
    <sheet name="УпакАреал" sheetId="15" r:id="rId10"/>
    <sheet name="РусУпак" sheetId="16" r:id="rId11"/>
    <sheet name="Пластик" sheetId="17" r:id="rId12"/>
    <sheet name="Приопак" sheetId="10" r:id="rId13"/>
    <sheet name="Полимаркет" sheetId="14" r:id="rId14"/>
    <sheet name="Ф-Граф" sheetId="3" r:id="rId15"/>
    <sheet name="чл" sheetId="9" r:id="rId16"/>
    <sheet name="Озон" sheetId="12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2" i="1"/>
  <c r="U36" i="15"/>
  <c r="U37" i="15"/>
  <c r="F24" i="17"/>
  <c r="F25" i="17"/>
  <c r="F26" i="17"/>
  <c r="F27" i="17"/>
  <c r="F28" i="17"/>
  <c r="F29" i="17"/>
  <c r="F20" i="17"/>
  <c r="F21" i="17"/>
  <c r="F23" i="17"/>
  <c r="J39" i="10"/>
  <c r="S39" i="15"/>
  <c r="I15" i="2" l="1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F17" i="17" l="1"/>
  <c r="F18" i="17"/>
  <c r="F19" i="17"/>
  <c r="Y4" i="3" l="1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2" i="3"/>
  <c r="Y53" i="3"/>
  <c r="Y54" i="3"/>
  <c r="Y55" i="3"/>
  <c r="Y56" i="3"/>
  <c r="Y57" i="3"/>
  <c r="Y58" i="3"/>
  <c r="Y59" i="3"/>
  <c r="Y60" i="3"/>
  <c r="Y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2" i="3"/>
  <c r="L53" i="3"/>
  <c r="L54" i="3"/>
  <c r="L55" i="3"/>
  <c r="L56" i="3"/>
  <c r="L57" i="3"/>
  <c r="L58" i="3"/>
  <c r="L59" i="3"/>
  <c r="L60" i="3"/>
  <c r="L3" i="3"/>
  <c r="W61" i="3"/>
  <c r="J61" i="3"/>
  <c r="AI2" i="3" l="1"/>
  <c r="G10" i="1"/>
  <c r="G12" i="1" s="1"/>
  <c r="AI4" i="3"/>
  <c r="N26" i="13" l="1"/>
  <c r="N28" i="13"/>
  <c r="N29" i="13"/>
  <c r="N30" i="13"/>
  <c r="N31" i="13"/>
  <c r="N32" i="13"/>
  <c r="N33" i="13"/>
  <c r="N34" i="13"/>
  <c r="N35" i="13"/>
  <c r="N36" i="13"/>
  <c r="N37" i="13"/>
  <c r="N38" i="13"/>
  <c r="F25" i="13"/>
  <c r="F26" i="13"/>
  <c r="F28" i="13"/>
  <c r="F29" i="13"/>
  <c r="F30" i="13"/>
  <c r="F31" i="13"/>
  <c r="F32" i="13"/>
  <c r="F33" i="13"/>
  <c r="F34" i="13"/>
  <c r="F35" i="13"/>
  <c r="F36" i="13"/>
  <c r="F37" i="13"/>
  <c r="F38" i="13"/>
  <c r="F23" i="13"/>
  <c r="F24" i="13"/>
  <c r="F16" i="17"/>
  <c r="F22" i="13"/>
  <c r="Q93" i="5" l="1"/>
  <c r="Q94" i="5"/>
  <c r="Q95" i="5"/>
  <c r="Q96" i="5"/>
  <c r="Q97" i="5"/>
  <c r="Q99" i="5"/>
  <c r="Q100" i="5"/>
  <c r="Q101" i="5"/>
  <c r="Q102" i="5"/>
  <c r="Q87" i="5"/>
  <c r="Q88" i="5"/>
  <c r="Q89" i="5"/>
  <c r="Q90" i="5"/>
  <c r="Q91" i="5"/>
  <c r="Q92" i="5"/>
  <c r="H87" i="5"/>
  <c r="H88" i="5"/>
  <c r="H89" i="5"/>
  <c r="H90" i="5"/>
  <c r="H91" i="5"/>
  <c r="H92" i="5"/>
  <c r="H93" i="5"/>
  <c r="H94" i="5"/>
  <c r="H95" i="5"/>
  <c r="H96" i="5"/>
  <c r="H97" i="5"/>
  <c r="H99" i="5"/>
  <c r="H100" i="5"/>
  <c r="H101" i="5"/>
  <c r="H102" i="5"/>
  <c r="F5" i="17"/>
  <c r="F6" i="17"/>
  <c r="F7" i="17"/>
  <c r="F8" i="17"/>
  <c r="K30" i="17"/>
  <c r="J30" i="17"/>
  <c r="I30" i="17"/>
  <c r="D30" i="17"/>
  <c r="C30" i="17"/>
  <c r="B30" i="17"/>
  <c r="M29" i="17"/>
  <c r="M28" i="17"/>
  <c r="M27" i="17"/>
  <c r="M26" i="17"/>
  <c r="M25" i="17"/>
  <c r="M24" i="17"/>
  <c r="M23" i="17"/>
  <c r="M21" i="17"/>
  <c r="M20" i="17"/>
  <c r="M19" i="17"/>
  <c r="M18" i="17"/>
  <c r="M17" i="17"/>
  <c r="M16" i="17"/>
  <c r="M15" i="17"/>
  <c r="M14" i="17"/>
  <c r="M13" i="17"/>
  <c r="M12" i="17"/>
  <c r="M11" i="17"/>
  <c r="M10" i="17"/>
  <c r="M9" i="17"/>
  <c r="M8" i="17"/>
  <c r="M7" i="17"/>
  <c r="M6" i="17"/>
  <c r="M5" i="17"/>
  <c r="M4" i="17"/>
  <c r="F4" i="17"/>
  <c r="M3" i="17"/>
  <c r="F3" i="17"/>
  <c r="Q2" i="17" l="1"/>
  <c r="Q4" i="17" s="1"/>
  <c r="P2" i="17"/>
  <c r="P4" i="17" s="1"/>
  <c r="C4" i="1"/>
  <c r="C6" i="1" s="1"/>
  <c r="N18" i="13"/>
  <c r="N19" i="13"/>
  <c r="N20" i="13"/>
  <c r="N22" i="13"/>
  <c r="N23" i="13"/>
  <c r="N24" i="13"/>
  <c r="N25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V32" i="10" l="1"/>
  <c r="V33" i="10"/>
  <c r="V34" i="10"/>
  <c r="V35" i="10"/>
  <c r="V36" i="10"/>
  <c r="V37" i="10"/>
  <c r="V39" i="10"/>
  <c r="V40" i="10"/>
  <c r="J32" i="10"/>
  <c r="J33" i="10"/>
  <c r="J34" i="10"/>
  <c r="J35" i="10"/>
  <c r="J36" i="10"/>
  <c r="J37" i="10"/>
  <c r="J41" i="10"/>
  <c r="S36" i="16"/>
  <c r="R36" i="16"/>
  <c r="Q36" i="16"/>
  <c r="P36" i="16"/>
  <c r="O36" i="16"/>
  <c r="N36" i="16"/>
  <c r="M36" i="16"/>
  <c r="H36" i="16"/>
  <c r="G36" i="16"/>
  <c r="F36" i="16"/>
  <c r="AB2" i="16" s="1"/>
  <c r="AB4" i="16" s="1"/>
  <c r="E36" i="16"/>
  <c r="D36" i="16"/>
  <c r="C36" i="16"/>
  <c r="B36" i="16"/>
  <c r="U35" i="16"/>
  <c r="J35" i="16"/>
  <c r="U34" i="16"/>
  <c r="J34" i="16"/>
  <c r="U33" i="16"/>
  <c r="J33" i="16"/>
  <c r="U32" i="16"/>
  <c r="J32" i="16"/>
  <c r="U31" i="16"/>
  <c r="J31" i="16"/>
  <c r="U30" i="16"/>
  <c r="J30" i="16"/>
  <c r="U29" i="16"/>
  <c r="J29" i="16"/>
  <c r="U28" i="16"/>
  <c r="J28" i="16"/>
  <c r="U27" i="16"/>
  <c r="J27" i="16"/>
  <c r="U26" i="16"/>
  <c r="J26" i="16"/>
  <c r="U25" i="16"/>
  <c r="J25" i="16"/>
  <c r="U24" i="16"/>
  <c r="J24" i="16"/>
  <c r="U23" i="16"/>
  <c r="J23" i="16"/>
  <c r="U22" i="16"/>
  <c r="J22" i="16"/>
  <c r="U21" i="16"/>
  <c r="J21" i="16"/>
  <c r="U20" i="16"/>
  <c r="J20" i="16"/>
  <c r="U19" i="16"/>
  <c r="J19" i="16"/>
  <c r="U18" i="16"/>
  <c r="J18" i="16"/>
  <c r="U17" i="16"/>
  <c r="J17" i="16"/>
  <c r="U16" i="16"/>
  <c r="J16" i="16"/>
  <c r="U15" i="16"/>
  <c r="J15" i="16"/>
  <c r="U14" i="16"/>
  <c r="J14" i="16"/>
  <c r="U13" i="16"/>
  <c r="J13" i="16"/>
  <c r="U12" i="16"/>
  <c r="J12" i="16"/>
  <c r="U11" i="16"/>
  <c r="J11" i="16"/>
  <c r="U10" i="16"/>
  <c r="J10" i="16"/>
  <c r="U9" i="16"/>
  <c r="J9" i="16"/>
  <c r="U8" i="16"/>
  <c r="J8" i="16"/>
  <c r="U7" i="16"/>
  <c r="J7" i="16"/>
  <c r="U6" i="16"/>
  <c r="J6" i="16"/>
  <c r="U5" i="16"/>
  <c r="J5" i="16"/>
  <c r="U4" i="16"/>
  <c r="J4" i="16"/>
  <c r="U3" i="16"/>
  <c r="J3" i="16"/>
  <c r="AC2" i="16"/>
  <c r="AC4" i="16" s="1"/>
  <c r="Y2" i="16"/>
  <c r="Z2" i="16" l="1"/>
  <c r="Z4" i="16" s="1"/>
  <c r="AD2" i="16"/>
  <c r="AD4" i="16" s="1"/>
  <c r="AA2" i="16"/>
  <c r="AA4" i="16" s="1"/>
  <c r="Y4" i="16"/>
  <c r="G4" i="1"/>
  <c r="X2" i="16"/>
  <c r="X4" i="16" s="1"/>
  <c r="C10" i="1" l="1"/>
  <c r="F103" i="5" l="1"/>
  <c r="M103" i="5"/>
  <c r="N103" i="5"/>
  <c r="O103" i="5"/>
  <c r="D103" i="5"/>
  <c r="E103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4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3" i="5"/>
  <c r="W2" i="5" l="1"/>
  <c r="N4" i="1" s="1"/>
  <c r="V2" i="5"/>
  <c r="F4" i="1" s="1"/>
  <c r="U2" i="5"/>
  <c r="E4" i="1" s="1"/>
  <c r="R39" i="15"/>
  <c r="Q39" i="15"/>
  <c r="P39" i="15"/>
  <c r="O39" i="15"/>
  <c r="N39" i="15"/>
  <c r="M39" i="15"/>
  <c r="H39" i="15"/>
  <c r="G39" i="15"/>
  <c r="F39" i="15"/>
  <c r="AB2" i="15" s="1"/>
  <c r="AB4" i="15" s="1"/>
  <c r="E39" i="15"/>
  <c r="D39" i="15"/>
  <c r="C39" i="15"/>
  <c r="B39" i="15"/>
  <c r="U38" i="15"/>
  <c r="J38" i="15"/>
  <c r="U35" i="15"/>
  <c r="J35" i="15"/>
  <c r="U34" i="15"/>
  <c r="J34" i="15"/>
  <c r="U33" i="15"/>
  <c r="J33" i="15"/>
  <c r="U32" i="15"/>
  <c r="J32" i="15"/>
  <c r="U31" i="15"/>
  <c r="J31" i="15"/>
  <c r="U30" i="15"/>
  <c r="J30" i="15"/>
  <c r="U29" i="15"/>
  <c r="J29" i="15"/>
  <c r="U28" i="15"/>
  <c r="J28" i="15"/>
  <c r="U26" i="15"/>
  <c r="J26" i="15"/>
  <c r="U25" i="15"/>
  <c r="J25" i="15"/>
  <c r="U24" i="15"/>
  <c r="J24" i="15"/>
  <c r="U23" i="15"/>
  <c r="J23" i="15"/>
  <c r="U22" i="15"/>
  <c r="J22" i="15"/>
  <c r="U21" i="15"/>
  <c r="J21" i="15"/>
  <c r="U20" i="15"/>
  <c r="J20" i="15"/>
  <c r="U19" i="15"/>
  <c r="J19" i="15"/>
  <c r="U18" i="15"/>
  <c r="J18" i="15"/>
  <c r="U17" i="15"/>
  <c r="J17" i="15"/>
  <c r="U16" i="15"/>
  <c r="J16" i="15"/>
  <c r="U15" i="15"/>
  <c r="J15" i="15"/>
  <c r="U14" i="15"/>
  <c r="J14" i="15"/>
  <c r="U13" i="15"/>
  <c r="J13" i="15"/>
  <c r="U12" i="15"/>
  <c r="J12" i="15"/>
  <c r="U11" i="15"/>
  <c r="J11" i="15"/>
  <c r="U10" i="15"/>
  <c r="J10" i="15"/>
  <c r="U9" i="15"/>
  <c r="J9" i="15"/>
  <c r="U8" i="15"/>
  <c r="J8" i="15"/>
  <c r="U7" i="15"/>
  <c r="J7" i="15"/>
  <c r="U6" i="15"/>
  <c r="J6" i="15"/>
  <c r="U5" i="15"/>
  <c r="J5" i="15"/>
  <c r="U4" i="15"/>
  <c r="J4" i="15"/>
  <c r="U3" i="15"/>
  <c r="J3" i="15"/>
  <c r="Y2" i="15" l="1"/>
  <c r="Y4" i="15" s="1"/>
  <c r="AC2" i="15"/>
  <c r="AC4" i="15" s="1"/>
  <c r="AA2" i="15"/>
  <c r="AA4" i="15" s="1"/>
  <c r="X2" i="15"/>
  <c r="X4" i="15" s="1"/>
  <c r="R4" i="1"/>
  <c r="R6" i="1" s="1"/>
  <c r="Z2" i="15"/>
  <c r="AD2" i="15"/>
  <c r="AD4" i="15" s="1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3" i="14"/>
  <c r="Q4" i="1" l="1"/>
  <c r="Z4" i="15"/>
  <c r="S4" i="1"/>
  <c r="S6" i="1" s="1"/>
  <c r="C12" i="1"/>
  <c r="U61" i="3"/>
  <c r="V61" i="3"/>
  <c r="H61" i="3"/>
  <c r="I61" i="3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4" i="14"/>
  <c r="F4" i="13"/>
  <c r="N3" i="13"/>
  <c r="F3" i="13"/>
  <c r="K39" i="13"/>
  <c r="L39" i="13"/>
  <c r="C39" i="13"/>
  <c r="D39" i="13"/>
  <c r="U4" i="5"/>
  <c r="V4" i="5"/>
  <c r="W4" i="5"/>
  <c r="L52" i="14"/>
  <c r="K52" i="14"/>
  <c r="J52" i="14"/>
  <c r="D52" i="14"/>
  <c r="C52" i="14"/>
  <c r="B52" i="14"/>
  <c r="L103" i="5"/>
  <c r="C103" i="5"/>
  <c r="AH2" i="3" l="1"/>
  <c r="AG2" i="3"/>
  <c r="AG4" i="3" s="1"/>
  <c r="R2" i="13"/>
  <c r="R4" i="13" s="1"/>
  <c r="R2" i="14"/>
  <c r="AH4" i="3"/>
  <c r="B10" i="1"/>
  <c r="B12" i="1" s="1"/>
  <c r="A10" i="1"/>
  <c r="R4" i="14"/>
  <c r="O10" i="1"/>
  <c r="O12" i="1" s="1"/>
  <c r="T2" i="5"/>
  <c r="Q2" i="14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41" i="10"/>
  <c r="V42" i="10"/>
  <c r="V43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42" i="10"/>
  <c r="J43" i="10"/>
  <c r="P16" i="9"/>
  <c r="P17" i="9"/>
  <c r="P18" i="9"/>
  <c r="P19" i="9"/>
  <c r="P20" i="9"/>
  <c r="P21" i="9"/>
  <c r="P22" i="9"/>
  <c r="P23" i="9"/>
  <c r="P24" i="9"/>
  <c r="P25" i="9"/>
  <c r="G16" i="9"/>
  <c r="G17" i="9"/>
  <c r="G18" i="9"/>
  <c r="G19" i="9"/>
  <c r="G20" i="9"/>
  <c r="G21" i="9"/>
  <c r="G22" i="9"/>
  <c r="G23" i="9"/>
  <c r="G24" i="9"/>
  <c r="G25" i="9"/>
  <c r="D18" i="1" l="1"/>
  <c r="D20" i="1" s="1"/>
  <c r="Q4" i="14"/>
  <c r="N10" i="1"/>
  <c r="N12" i="1" s="1"/>
  <c r="T4" i="5"/>
  <c r="C18" i="1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J39" i="13"/>
  <c r="B39" i="13"/>
  <c r="Q2" i="13" l="1"/>
  <c r="Q4" i="13" l="1"/>
  <c r="B4" i="1"/>
  <c r="B6" i="1" s="1"/>
  <c r="N20" i="12"/>
  <c r="M20" i="12"/>
  <c r="L20" i="12"/>
  <c r="K20" i="12"/>
  <c r="E20" i="12"/>
  <c r="D20" i="12"/>
  <c r="C20" i="12"/>
  <c r="B20" i="12"/>
  <c r="S2" i="12" s="1"/>
  <c r="S4" i="12" s="1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P3" i="12"/>
  <c r="G3" i="12"/>
  <c r="T2" i="12"/>
  <c r="T4" i="12" s="1"/>
  <c r="U2" i="12" l="1"/>
  <c r="U4" i="12" s="1"/>
  <c r="F10" i="1"/>
  <c r="F12" i="1" s="1"/>
  <c r="V2" i="12"/>
  <c r="V4" i="12" s="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V4" i="10" l="1"/>
  <c r="V5" i="10"/>
  <c r="V6" i="10"/>
  <c r="V7" i="10"/>
  <c r="V8" i="10"/>
  <c r="V9" i="10"/>
  <c r="V10" i="10"/>
  <c r="V11" i="10"/>
  <c r="V12" i="10"/>
  <c r="V13" i="10"/>
  <c r="V14" i="10"/>
  <c r="V3" i="10"/>
  <c r="L36" i="11" l="1"/>
  <c r="K36" i="11"/>
  <c r="J36" i="11"/>
  <c r="D36" i="11"/>
  <c r="C36" i="11"/>
  <c r="B36" i="11"/>
  <c r="N16" i="11"/>
  <c r="F16" i="11"/>
  <c r="N15" i="11"/>
  <c r="F15" i="11"/>
  <c r="N14" i="11"/>
  <c r="F14" i="11"/>
  <c r="N13" i="11"/>
  <c r="F13" i="11"/>
  <c r="N12" i="11"/>
  <c r="F12" i="11"/>
  <c r="N11" i="11"/>
  <c r="F11" i="11"/>
  <c r="N10" i="11"/>
  <c r="F10" i="11"/>
  <c r="N9" i="11"/>
  <c r="F9" i="11"/>
  <c r="N8" i="11"/>
  <c r="F8" i="11"/>
  <c r="N7" i="11"/>
  <c r="F7" i="11"/>
  <c r="N6" i="11"/>
  <c r="F6" i="11"/>
  <c r="N5" i="11"/>
  <c r="F5" i="11"/>
  <c r="N4" i="11"/>
  <c r="F4" i="11"/>
  <c r="N3" i="11"/>
  <c r="F3" i="11"/>
  <c r="R2" i="11" l="1"/>
  <c r="R4" i="11" s="1"/>
  <c r="Q2" i="11"/>
  <c r="S2" i="11"/>
  <c r="S4" i="11" s="1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5" i="8"/>
  <c r="P4" i="9"/>
  <c r="P5" i="9"/>
  <c r="P6" i="9"/>
  <c r="P7" i="9"/>
  <c r="P8" i="9"/>
  <c r="P9" i="9"/>
  <c r="P10" i="9"/>
  <c r="P11" i="9"/>
  <c r="P12" i="9"/>
  <c r="P13" i="9"/>
  <c r="P14" i="9"/>
  <c r="P15" i="9"/>
  <c r="P3" i="9"/>
  <c r="Q4" i="11" l="1"/>
  <c r="O4" i="1"/>
  <c r="J4" i="10"/>
  <c r="J5" i="10"/>
  <c r="J6" i="10"/>
  <c r="J7" i="10"/>
  <c r="J8" i="10"/>
  <c r="J9" i="10"/>
  <c r="J10" i="10"/>
  <c r="J11" i="10"/>
  <c r="J12" i="10"/>
  <c r="J13" i="10"/>
  <c r="J14" i="10"/>
  <c r="J3" i="10"/>
  <c r="Q44" i="10"/>
  <c r="R44" i="10"/>
  <c r="S44" i="10"/>
  <c r="T44" i="10"/>
  <c r="E44" i="10"/>
  <c r="F44" i="10"/>
  <c r="G44" i="10"/>
  <c r="H44" i="10"/>
  <c r="AE2" i="10" s="1"/>
  <c r="AD2" i="10" l="1"/>
  <c r="K10" i="1" s="1"/>
  <c r="K12" i="1" s="1"/>
  <c r="AC2" i="10"/>
  <c r="AC4" i="10" s="1"/>
  <c r="AB2" i="10"/>
  <c r="AB4" i="10" s="1"/>
  <c r="I10" i="1"/>
  <c r="AE4" i="10"/>
  <c r="E10" i="1"/>
  <c r="G6" i="1"/>
  <c r="J10" i="1" l="1"/>
  <c r="J12" i="1" s="1"/>
  <c r="AD4" i="10"/>
  <c r="L26" i="9"/>
  <c r="M26" i="9"/>
  <c r="N26" i="9"/>
  <c r="C26" i="9"/>
  <c r="D26" i="9"/>
  <c r="E26" i="9"/>
  <c r="D44" i="10"/>
  <c r="O44" i="10"/>
  <c r="P44" i="10"/>
  <c r="C44" i="10"/>
  <c r="K20" i="6"/>
  <c r="L20" i="6"/>
  <c r="C20" i="6"/>
  <c r="D20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3" i="6"/>
  <c r="N44" i="10"/>
  <c r="B44" i="10"/>
  <c r="G4" i="9"/>
  <c r="G5" i="9"/>
  <c r="G6" i="9"/>
  <c r="G7" i="9"/>
  <c r="G8" i="9"/>
  <c r="G9" i="9"/>
  <c r="G10" i="9"/>
  <c r="G11" i="9"/>
  <c r="G12" i="9"/>
  <c r="G13" i="9"/>
  <c r="G14" i="9"/>
  <c r="G15" i="9"/>
  <c r="G3" i="9"/>
  <c r="AA2" i="10" l="1"/>
  <c r="K4" i="1" s="1"/>
  <c r="K6" i="1" s="1"/>
  <c r="Y2" i="10"/>
  <c r="Y4" i="10" s="1"/>
  <c r="S2" i="6"/>
  <c r="R2" i="6"/>
  <c r="V2" i="9"/>
  <c r="U2" i="9"/>
  <c r="T2" i="9"/>
  <c r="Z2" i="10"/>
  <c r="J4" i="1" s="1"/>
  <c r="J6" i="1" s="1"/>
  <c r="V4" i="9"/>
  <c r="M10" i="1"/>
  <c r="I4" i="1"/>
  <c r="O6" i="1"/>
  <c r="U4" i="9"/>
  <c r="F6" i="1"/>
  <c r="T4" i="9"/>
  <c r="N6" i="1"/>
  <c r="S4" i="6"/>
  <c r="M4" i="1"/>
  <c r="M6" i="1" s="1"/>
  <c r="R4" i="6"/>
  <c r="AA4" i="10" l="1"/>
  <c r="Z4" i="10"/>
  <c r="K26" i="9"/>
  <c r="B26" i="9"/>
  <c r="S2" i="9" l="1"/>
  <c r="S4" i="9" s="1"/>
  <c r="L20" i="8"/>
  <c r="D20" i="8"/>
  <c r="G4" i="8"/>
  <c r="G3" i="8"/>
  <c r="K20" i="8"/>
  <c r="C20" i="8"/>
  <c r="O4" i="8"/>
  <c r="O3" i="8"/>
  <c r="H20" i="7"/>
  <c r="B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D3" i="7"/>
  <c r="M2" i="7" l="1"/>
  <c r="S2" i="8"/>
  <c r="S4" i="8" s="1"/>
  <c r="R2" i="8"/>
  <c r="R4" i="8" s="1"/>
  <c r="M4" i="7"/>
  <c r="N18" i="1"/>
  <c r="N20" i="1" s="1"/>
  <c r="P18" i="1"/>
  <c r="P20" i="1" s="1"/>
  <c r="J20" i="6"/>
  <c r="B20" i="6"/>
  <c r="O18" i="1" l="1"/>
  <c r="O20" i="1" s="1"/>
  <c r="Q2" i="6"/>
  <c r="Q4" i="6" l="1"/>
  <c r="M18" i="1"/>
  <c r="K103" i="5"/>
  <c r="B103" i="5"/>
  <c r="S2" i="5" l="1"/>
  <c r="S4" i="5" s="1"/>
  <c r="Q18" i="1"/>
  <c r="M20" i="1"/>
  <c r="Q20" i="1" s="1"/>
  <c r="I5" i="2"/>
  <c r="I6" i="2"/>
  <c r="I7" i="2"/>
  <c r="I8" i="2"/>
  <c r="I9" i="2"/>
  <c r="I10" i="2"/>
  <c r="I11" i="2"/>
  <c r="I12" i="2"/>
  <c r="I13" i="2"/>
  <c r="I14" i="2"/>
  <c r="I4" i="2"/>
  <c r="B18" i="1" l="1"/>
  <c r="H20" i="4"/>
  <c r="B20" i="4"/>
  <c r="M2" i="4" s="1"/>
  <c r="D3" i="4"/>
  <c r="M4" i="4" l="1"/>
  <c r="A18" i="1"/>
  <c r="T61" i="3"/>
  <c r="S61" i="3"/>
  <c r="R61" i="3"/>
  <c r="Q61" i="3"/>
  <c r="P61" i="3"/>
  <c r="O61" i="3"/>
  <c r="G61" i="3"/>
  <c r="F61" i="3"/>
  <c r="E61" i="3"/>
  <c r="D61" i="3"/>
  <c r="C61" i="3"/>
  <c r="B61" i="3"/>
  <c r="K61" i="3"/>
  <c r="AE2" i="3" l="1"/>
  <c r="AE4" i="3" s="1"/>
  <c r="AB2" i="3"/>
  <c r="AF2" i="3"/>
  <c r="K18" i="1" s="1"/>
  <c r="K20" i="1" s="1"/>
  <c r="AF4" i="3"/>
  <c r="AA2" i="3"/>
  <c r="AC2" i="3"/>
  <c r="AC4" i="3" s="1"/>
  <c r="AD2" i="3"/>
  <c r="AB4" i="3"/>
  <c r="G18" i="1"/>
  <c r="L61" i="3"/>
  <c r="J18" i="1" l="1"/>
  <c r="J20" i="1" s="1"/>
  <c r="H18" i="1"/>
  <c r="H20" i="1" s="1"/>
  <c r="AA4" i="3"/>
  <c r="F18" i="1"/>
  <c r="F20" i="1" s="1"/>
  <c r="AD4" i="3"/>
  <c r="I18" i="1"/>
  <c r="I20" i="1" s="1"/>
  <c r="G29" i="2"/>
  <c r="B29" i="2"/>
  <c r="D3" i="2"/>
  <c r="G20" i="1"/>
  <c r="C20" i="1"/>
  <c r="E18" i="1"/>
  <c r="A20" i="1"/>
  <c r="M12" i="1"/>
  <c r="P12" i="1" s="1"/>
  <c r="L10" i="1"/>
  <c r="I12" i="1"/>
  <c r="L12" i="1" s="1"/>
  <c r="E12" i="1"/>
  <c r="H12" i="1" s="1"/>
  <c r="D10" i="1"/>
  <c r="A12" i="1"/>
  <c r="D12" i="1" s="1"/>
  <c r="Q6" i="1"/>
  <c r="T6" i="1" s="1"/>
  <c r="I6" i="1"/>
  <c r="L6" i="1" s="1"/>
  <c r="T4" i="1"/>
  <c r="P6" i="1"/>
  <c r="L4" i="1"/>
  <c r="E6" i="1"/>
  <c r="H6" i="1" s="1"/>
  <c r="L18" i="1" l="1"/>
  <c r="L2" i="2"/>
  <c r="L20" i="1"/>
  <c r="B20" i="1"/>
  <c r="E20" i="1" s="1"/>
  <c r="H4" i="1"/>
  <c r="P4" i="1"/>
  <c r="H10" i="1"/>
  <c r="P10" i="1"/>
  <c r="L4" i="2" l="1"/>
  <c r="A4" i="1"/>
  <c r="D4" i="1" l="1"/>
  <c r="A6" i="1"/>
  <c r="D6" i="1" s="1"/>
</calcChain>
</file>

<file path=xl/sharedStrings.xml><?xml version="1.0" encoding="utf-8"?>
<sst xmlns="http://schemas.openxmlformats.org/spreadsheetml/2006/main" count="534" uniqueCount="108">
  <si>
    <t>Склад комплектующих</t>
  </si>
  <si>
    <t>Лотки</t>
  </si>
  <si>
    <t>тарелка КД-404 Тарелка подорехи прозрачная</t>
  </si>
  <si>
    <t>Тарелки ТР-209/4</t>
  </si>
  <si>
    <t>Гофроящик Кедровый бор (Монетка)</t>
  </si>
  <si>
    <t>Гофроящик  h=1677 (Лента)</t>
  </si>
  <si>
    <t xml:space="preserve">ПЛЕНКА без печати ВОРР  ширина 430 </t>
  </si>
  <si>
    <t>Пакет ПНД 60*100 14 мк</t>
  </si>
  <si>
    <t xml:space="preserve">Пленка  500 мл  20 мк </t>
  </si>
  <si>
    <t>Пленка паллет 500 мм 17 мк 2,0 кг вторичная</t>
  </si>
  <si>
    <t xml:space="preserve">Пакет ПНД 46+60 30 мк </t>
  </si>
  <si>
    <t xml:space="preserve">Пленка паллет </t>
  </si>
  <si>
    <t>Пакеты вакуумные Biovak 200*300 Рет//ре 65</t>
  </si>
  <si>
    <t>Пленка Арахисовая тарелка ЧИПЛС 4 вкуса 200 г</t>
  </si>
  <si>
    <t>Пленка Арахисовая тарелка Smakky Asian Mix 200 г</t>
  </si>
  <si>
    <t>Пленка Арахисовая тарелка Smakky Classic  Mix 200г</t>
  </si>
  <si>
    <t>НИКА</t>
  </si>
  <si>
    <t>Золотой Снек</t>
  </si>
  <si>
    <t>Пластик</t>
  </si>
  <si>
    <t>ТД Л-Пак</t>
  </si>
  <si>
    <t>РусУпак</t>
  </si>
  <si>
    <t>Приопак</t>
  </si>
  <si>
    <t>ИП Тришина</t>
  </si>
  <si>
    <r>
      <rPr>
        <b/>
        <i/>
        <sz val="12"/>
        <color rgb="FFFF0000"/>
        <rFont val="Times New Roman"/>
        <family val="1"/>
        <charset val="204"/>
      </rPr>
      <t>Приопак</t>
    </r>
    <r>
      <rPr>
        <i/>
        <sz val="12"/>
        <color rgb="FF000000"/>
        <rFont val="Times New Roman"/>
        <family val="1"/>
        <charset val="204"/>
      </rPr>
      <t>/ТД Л-Пак</t>
    </r>
  </si>
  <si>
    <t>ООО "ПТК Аурумфуд"</t>
  </si>
  <si>
    <t>УпакАреал</t>
  </si>
  <si>
    <t>ПЛЕНКА БОПП 40*310</t>
  </si>
  <si>
    <t>ПЛЕНКА БОПП 40*420</t>
  </si>
  <si>
    <t>ПЛЕНКА без печати ВОРР  ширина 310 ЯндексЛ</t>
  </si>
  <si>
    <t>Мешок полипропиленовый 55*95 см серый</t>
  </si>
  <si>
    <t>Мешки пищевые белые</t>
  </si>
  <si>
    <t xml:space="preserve">Пленка КВАДРО МИКС "Тарелка" БОПП 20 мкм проз.,240*310 мм </t>
  </si>
  <si>
    <t>Пакет ПНД 45*27*60 14 мк</t>
  </si>
  <si>
    <t>Плёнка для запайки 240 мм</t>
  </si>
  <si>
    <t>Пакет бумажный  150*240</t>
  </si>
  <si>
    <t>Этикетка 57*40 мм Лицо</t>
  </si>
  <si>
    <t>Этикетка 57*40 мм Оборот</t>
  </si>
  <si>
    <t>Ф-Граф</t>
  </si>
  <si>
    <t>Озон</t>
  </si>
  <si>
    <t>ч/л</t>
  </si>
  <si>
    <t>Полимаркет</t>
  </si>
  <si>
    <t>Короб "Ласточкин хвост"</t>
  </si>
  <si>
    <t>гофроящик Н=1648 бп</t>
  </si>
  <si>
    <t>Гофроящик Н=1703 б/п (для ЯндексЛ)</t>
  </si>
  <si>
    <t>Гофрокороб 460*340*130-Т24</t>
  </si>
  <si>
    <t>Пленки</t>
  </si>
  <si>
    <t>Пакеты для фасовки</t>
  </si>
  <si>
    <t>термопленка</t>
  </si>
  <si>
    <t>этикетки</t>
  </si>
  <si>
    <t>сметана-лук</t>
  </si>
  <si>
    <t>васаби</t>
  </si>
  <si>
    <t>барбекю</t>
  </si>
  <si>
    <t>сыр</t>
  </si>
  <si>
    <t>арахис</t>
  </si>
  <si>
    <t>фисташки</t>
  </si>
  <si>
    <t>СЗ-Гофра</t>
  </si>
  <si>
    <t>Концепт</t>
  </si>
  <si>
    <t>ЛейблСтик</t>
  </si>
  <si>
    <t>Остаток комплект, на сумму</t>
  </si>
  <si>
    <t>Остаток комплект, в единицах</t>
  </si>
  <si>
    <t>дата поставки</t>
  </si>
  <si>
    <t>цена</t>
  </si>
  <si>
    <t>на сумму</t>
  </si>
  <si>
    <t>дата выдачи на пр-во</t>
  </si>
  <si>
    <t>в чей подотчет</t>
  </si>
  <si>
    <t>2024 год</t>
  </si>
  <si>
    <t>Захаров</t>
  </si>
  <si>
    <t>2025 год</t>
  </si>
  <si>
    <t>март</t>
  </si>
  <si>
    <t>пакеты</t>
  </si>
  <si>
    <t>термотрансф пленка</t>
  </si>
  <si>
    <t>этикетка 100*80</t>
  </si>
  <si>
    <t>этикетка 58*80</t>
  </si>
  <si>
    <t>пленка для палет</t>
  </si>
  <si>
    <r>
      <t xml:space="preserve">пленка для палет </t>
    </r>
    <r>
      <rPr>
        <b/>
        <i/>
        <sz val="10"/>
        <color rgb="FFFF0000"/>
        <rFont val="Times New Roman"/>
        <family val="1"/>
        <charset val="204"/>
      </rPr>
      <t>Приопак</t>
    </r>
  </si>
  <si>
    <t>апрель</t>
  </si>
  <si>
    <t>лоток 4 секции</t>
  </si>
  <si>
    <t>короб "Ласточкин хвост"</t>
  </si>
  <si>
    <t>11-14.04</t>
  </si>
  <si>
    <t>пленки сметана-лук</t>
  </si>
  <si>
    <t>пленки васаби</t>
  </si>
  <si>
    <t>пленки барбекю</t>
  </si>
  <si>
    <t>пленки сыр</t>
  </si>
  <si>
    <t xml:space="preserve">Пленка арахис КВАДРО МИКС "Тарелка" БОПП 20 мкм проз.,240*310 мм </t>
  </si>
  <si>
    <t>пленки фисташки</t>
  </si>
  <si>
    <t>цена, кг</t>
  </si>
  <si>
    <t>пленки сыр-лук</t>
  </si>
  <si>
    <t>настройка станка</t>
  </si>
  <si>
    <t>на тестир Воронеж</t>
  </si>
  <si>
    <t>пакеты для образцов</t>
  </si>
  <si>
    <t>стрейч пленка</t>
  </si>
  <si>
    <t>мешки пищевые белые</t>
  </si>
  <si>
    <t>01.-04 мая</t>
  </si>
  <si>
    <t>01-04 мая</t>
  </si>
  <si>
    <t>06 мая</t>
  </si>
  <si>
    <t>10-11 мая</t>
  </si>
  <si>
    <t>12 мая</t>
  </si>
  <si>
    <t>14 мая</t>
  </si>
  <si>
    <t>16 мая</t>
  </si>
  <si>
    <t>май</t>
  </si>
  <si>
    <t>15 мая</t>
  </si>
  <si>
    <t>18 мая</t>
  </si>
  <si>
    <t>19 мая</t>
  </si>
  <si>
    <t>20 мая</t>
  </si>
  <si>
    <t>21 мая</t>
  </si>
  <si>
    <t>22 мая</t>
  </si>
  <si>
    <t>Пленка для упаковки арахиса КВАДРОМИКС "Тарелка" 240*315</t>
  </si>
  <si>
    <t>24 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</si>
</sst>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₽&quot;;[Red]\-#,##0.00\ &quot;₽&quot;"/>
    <numFmt numFmtId="164" formatCode="#,##0.00\ &quot;₽&quot;"/>
    <numFmt numFmtId="165" formatCode="#,##0.00_ ;[Red]\-#,##0.00\ "/>
    <numFmt numFmtId="166" formatCode="0.00_ ;[Red]\-0.00\ "/>
  </numFmts>
  <fonts count="33" x14ac:knownFonts="1">
    <font>
      <sz val="11"/>
      <color theme="1"/>
      <name val="Calibri"/>
      <family val="2"/>
      <scheme val="minor"/>
    </font>
    <font>
      <b/>
      <i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6" tint="-0.499984740745262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2"/>
      <color theme="6" tint="-0.49998474074526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color theme="6" tint="-0.249977111117893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4"/>
      <color rgb="FF00000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i/>
      <sz val="10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i/>
      <sz val="11"/>
      <color rgb="FF000000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4" fillId="0" borderId="0"/>
  </cellStyleXfs>
  <cellXfs count="268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0" fontId="4" fillId="0" borderId="13" xfId="0" applyNumberFormat="1" applyFont="1" applyBorder="1"/>
    <xf numFmtId="40" fontId="4" fillId="0" borderId="14" xfId="0" applyNumberFormat="1" applyFont="1" applyBorder="1"/>
    <xf numFmtId="40" fontId="4" fillId="2" borderId="15" xfId="0" applyNumberFormat="1" applyFont="1" applyFill="1" applyBorder="1"/>
    <xf numFmtId="40" fontId="4" fillId="0" borderId="16" xfId="0" applyNumberFormat="1" applyFont="1" applyBorder="1"/>
    <xf numFmtId="40" fontId="4" fillId="0" borderId="17" xfId="0" applyNumberFormat="1" applyFont="1" applyBorder="1"/>
    <xf numFmtId="40" fontId="4" fillId="3" borderId="17" xfId="0" applyNumberFormat="1" applyFont="1" applyFill="1" applyBorder="1"/>
    <xf numFmtId="40" fontId="4" fillId="4" borderId="18" xfId="0" applyNumberFormat="1" applyFont="1" applyFill="1" applyBorder="1"/>
    <xf numFmtId="40" fontId="4" fillId="0" borderId="18" xfId="0" applyNumberFormat="1" applyFont="1" applyBorder="1"/>
    <xf numFmtId="40" fontId="4" fillId="5" borderId="17" xfId="0" applyNumberFormat="1" applyFont="1" applyFill="1" applyBorder="1"/>
    <xf numFmtId="40" fontId="4" fillId="6" borderId="17" xfId="0" applyNumberFormat="1" applyFont="1" applyFill="1" applyBorder="1"/>
    <xf numFmtId="40" fontId="4" fillId="0" borderId="0" xfId="0" applyNumberFormat="1" applyFont="1"/>
    <xf numFmtId="8" fontId="5" fillId="8" borderId="13" xfId="0" applyNumberFormat="1" applyFont="1" applyFill="1" applyBorder="1"/>
    <xf numFmtId="8" fontId="5" fillId="8" borderId="14" xfId="0" applyNumberFormat="1" applyFont="1" applyFill="1" applyBorder="1"/>
    <xf numFmtId="8" fontId="5" fillId="8" borderId="15" xfId="0" applyNumberFormat="1" applyFont="1" applyFill="1" applyBorder="1"/>
    <xf numFmtId="8" fontId="5" fillId="8" borderId="19" xfId="0" applyNumberFormat="1" applyFont="1" applyFill="1" applyBorder="1"/>
    <xf numFmtId="8" fontId="5" fillId="0" borderId="20" xfId="0" applyNumberFormat="1" applyFont="1" applyBorder="1"/>
    <xf numFmtId="8" fontId="5" fillId="0" borderId="0" xfId="0" applyNumberFormat="1" applyFont="1"/>
    <xf numFmtId="8" fontId="4" fillId="0" borderId="21" xfId="0" applyNumberFormat="1" applyFont="1" applyBorder="1"/>
    <xf numFmtId="8" fontId="4" fillId="2" borderId="23" xfId="0" applyNumberFormat="1" applyFont="1" applyFill="1" applyBorder="1" applyAlignment="1">
      <alignment vertical="center"/>
    </xf>
    <xf numFmtId="8" fontId="4" fillId="0" borderId="24" xfId="0" applyNumberFormat="1" applyFont="1" applyBorder="1" applyAlignment="1">
      <alignment vertical="center"/>
    </xf>
    <xf numFmtId="8" fontId="4" fillId="0" borderId="25" xfId="0" applyNumberFormat="1" applyFont="1" applyBorder="1" applyAlignment="1">
      <alignment vertical="center"/>
    </xf>
    <xf numFmtId="8" fontId="4" fillId="3" borderId="25" xfId="0" applyNumberFormat="1" applyFont="1" applyFill="1" applyBorder="1" applyAlignment="1">
      <alignment vertical="center"/>
    </xf>
    <xf numFmtId="8" fontId="4" fillId="4" borderId="25" xfId="0" applyNumberFormat="1" applyFont="1" applyFill="1" applyBorder="1" applyAlignment="1">
      <alignment vertical="center"/>
    </xf>
    <xf numFmtId="8" fontId="4" fillId="5" borderId="25" xfId="0" applyNumberFormat="1" applyFont="1" applyFill="1" applyBorder="1" applyAlignment="1">
      <alignment vertical="center"/>
    </xf>
    <xf numFmtId="8" fontId="4" fillId="6" borderId="25" xfId="0" applyNumberFormat="1" applyFont="1" applyFill="1" applyBorder="1" applyAlignment="1">
      <alignment vertical="center"/>
    </xf>
    <xf numFmtId="8" fontId="4" fillId="0" borderId="0" xfId="0" applyNumberFormat="1" applyFont="1"/>
    <xf numFmtId="0" fontId="6" fillId="0" borderId="0" xfId="0" applyFont="1"/>
    <xf numFmtId="0" fontId="7" fillId="0" borderId="0" xfId="0" applyFont="1"/>
    <xf numFmtId="2" fontId="6" fillId="0" borderId="0" xfId="0" applyNumberFormat="1" applyFont="1"/>
    <xf numFmtId="0" fontId="8" fillId="0" borderId="2" xfId="0" applyFont="1" applyBorder="1" applyAlignment="1">
      <alignment horizontal="center" vertical="center" wrapText="1"/>
    </xf>
    <xf numFmtId="0" fontId="9" fillId="0" borderId="0" xfId="0" applyFont="1"/>
    <xf numFmtId="2" fontId="2" fillId="0" borderId="0" xfId="0" applyNumberFormat="1" applyFont="1"/>
    <xf numFmtId="0" fontId="4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2" fontId="4" fillId="0" borderId="17" xfId="0" applyNumberFormat="1" applyFont="1" applyBorder="1"/>
    <xf numFmtId="2" fontId="4" fillId="7" borderId="17" xfId="0" applyNumberFormat="1" applyFont="1" applyFill="1" applyBorder="1"/>
    <xf numFmtId="2" fontId="4" fillId="9" borderId="17" xfId="0" applyNumberFormat="1" applyFont="1" applyFill="1" applyBorder="1"/>
    <xf numFmtId="2" fontId="4" fillId="0" borderId="5" xfId="0" applyNumberFormat="1" applyFont="1" applyBorder="1"/>
    <xf numFmtId="2" fontId="4" fillId="0" borderId="6" xfId="0" applyNumberFormat="1" applyFont="1" applyBorder="1" applyAlignment="1">
      <alignment horizontal="center" vertical="center" wrapText="1"/>
    </xf>
    <xf numFmtId="2" fontId="4" fillId="9" borderId="7" xfId="0" applyNumberFormat="1" applyFont="1" applyFill="1" applyBorder="1" applyAlignment="1">
      <alignment horizontal="center" vertical="center" wrapText="1"/>
    </xf>
    <xf numFmtId="2" fontId="4" fillId="2" borderId="7" xfId="0" applyNumberFormat="1" applyFont="1" applyFill="1" applyBorder="1" applyAlignment="1">
      <alignment horizontal="center" vertical="center" wrapText="1"/>
    </xf>
    <xf numFmtId="2" fontId="7" fillId="0" borderId="0" xfId="0" applyNumberFormat="1" applyFont="1"/>
    <xf numFmtId="40" fontId="5" fillId="8" borderId="29" xfId="0" applyNumberFormat="1" applyFont="1" applyFill="1" applyBorder="1"/>
    <xf numFmtId="40" fontId="5" fillId="8" borderId="20" xfId="0" applyNumberFormat="1" applyFont="1" applyFill="1" applyBorder="1"/>
    <xf numFmtId="40" fontId="5" fillId="8" borderId="13" xfId="0" applyNumberFormat="1" applyFont="1" applyFill="1" applyBorder="1"/>
    <xf numFmtId="40" fontId="5" fillId="8" borderId="14" xfId="0" applyNumberFormat="1" applyFont="1" applyFill="1" applyBorder="1"/>
    <xf numFmtId="40" fontId="5" fillId="8" borderId="15" xfId="0" applyNumberFormat="1" applyFont="1" applyFill="1" applyBorder="1"/>
    <xf numFmtId="164" fontId="4" fillId="0" borderId="25" xfId="0" applyNumberFormat="1" applyFont="1" applyBorder="1" applyAlignment="1">
      <alignment vertical="center"/>
    </xf>
    <xf numFmtId="164" fontId="4" fillId="7" borderId="25" xfId="0" applyNumberFormat="1" applyFont="1" applyFill="1" applyBorder="1" applyAlignment="1">
      <alignment vertical="center"/>
    </xf>
    <xf numFmtId="164" fontId="4" fillId="9" borderId="25" xfId="0" applyNumberFormat="1" applyFont="1" applyFill="1" applyBorder="1" applyAlignment="1">
      <alignment vertical="center"/>
    </xf>
    <xf numFmtId="164" fontId="4" fillId="0" borderId="21" xfId="0" applyNumberFormat="1" applyFont="1" applyBorder="1"/>
    <xf numFmtId="164" fontId="4" fillId="9" borderId="23" xfId="0" applyNumberFormat="1" applyFont="1" applyFill="1" applyBorder="1" applyAlignment="1">
      <alignment vertical="center"/>
    </xf>
    <xf numFmtId="164" fontId="4" fillId="2" borderId="23" xfId="0" applyNumberFormat="1" applyFont="1" applyFill="1" applyBorder="1" applyAlignment="1">
      <alignment vertical="center"/>
    </xf>
    <xf numFmtId="164" fontId="6" fillId="0" borderId="0" xfId="0" applyNumberFormat="1" applyFont="1"/>
    <xf numFmtId="164" fontId="7" fillId="0" borderId="0" xfId="0" applyNumberFormat="1" applyFont="1"/>
    <xf numFmtId="0" fontId="1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11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2" fontId="4" fillId="10" borderId="9" xfId="0" applyNumberFormat="1" applyFont="1" applyFill="1" applyBorder="1" applyAlignment="1">
      <alignment horizontal="center" vertical="center" wrapText="1"/>
    </xf>
    <xf numFmtId="2" fontId="4" fillId="0" borderId="12" xfId="0" applyNumberFormat="1" applyFont="1" applyBorder="1" applyAlignment="1">
      <alignment horizontal="center" vertical="center" wrapText="1"/>
    </xf>
    <xf numFmtId="2" fontId="4" fillId="11" borderId="9" xfId="0" applyNumberFormat="1" applyFont="1" applyFill="1" applyBorder="1" applyAlignment="1">
      <alignment horizontal="center" vertical="center" wrapText="1"/>
    </xf>
    <xf numFmtId="40" fontId="5" fillId="8" borderId="19" xfId="0" applyNumberFormat="1" applyFont="1" applyFill="1" applyBorder="1"/>
    <xf numFmtId="164" fontId="4" fillId="0" borderId="24" xfId="0" applyNumberFormat="1" applyFont="1" applyBorder="1" applyAlignment="1">
      <alignment vertical="center"/>
    </xf>
    <xf numFmtId="164" fontId="4" fillId="10" borderId="25" xfId="0" applyNumberFormat="1" applyFont="1" applyFill="1" applyBorder="1" applyAlignment="1">
      <alignment vertical="center"/>
    </xf>
    <xf numFmtId="164" fontId="4" fillId="0" borderId="26" xfId="0" applyNumberFormat="1" applyFont="1" applyBorder="1" applyAlignment="1">
      <alignment vertical="center"/>
    </xf>
    <xf numFmtId="164" fontId="4" fillId="11" borderId="25" xfId="0" applyNumberFormat="1" applyFont="1" applyFill="1" applyBorder="1" applyAlignment="1">
      <alignment vertical="center"/>
    </xf>
    <xf numFmtId="0" fontId="10" fillId="8" borderId="0" xfId="0" applyFont="1" applyFill="1"/>
    <xf numFmtId="8" fontId="10" fillId="8" borderId="0" xfId="0" applyNumberFormat="1" applyFont="1" applyFill="1"/>
    <xf numFmtId="0" fontId="11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12" fillId="3" borderId="14" xfId="0" applyFont="1" applyFill="1" applyBorder="1" applyAlignment="1">
      <alignment vertical="center" wrapText="1"/>
    </xf>
    <xf numFmtId="164" fontId="12" fillId="3" borderId="14" xfId="0" applyNumberFormat="1" applyFont="1" applyFill="1" applyBorder="1" applyAlignment="1">
      <alignment vertical="center" wrapText="1"/>
    </xf>
    <xf numFmtId="0" fontId="12" fillId="3" borderId="0" xfId="0" applyFont="1" applyFill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14" xfId="0" applyFont="1" applyBorder="1"/>
    <xf numFmtId="0" fontId="14" fillId="0" borderId="14" xfId="0" applyFont="1" applyBorder="1"/>
    <xf numFmtId="164" fontId="14" fillId="0" borderId="14" xfId="0" applyNumberFormat="1" applyFont="1" applyBorder="1"/>
    <xf numFmtId="164" fontId="14" fillId="3" borderId="14" xfId="0" applyNumberFormat="1" applyFont="1" applyFill="1" applyBorder="1"/>
    <xf numFmtId="0" fontId="14" fillId="0" borderId="0" xfId="0" applyFont="1"/>
    <xf numFmtId="2" fontId="14" fillId="0" borderId="0" xfId="0" applyNumberFormat="1" applyFont="1"/>
    <xf numFmtId="2" fontId="14" fillId="0" borderId="14" xfId="0" applyNumberFormat="1" applyFont="1" applyBorder="1"/>
    <xf numFmtId="16" fontId="14" fillId="0" borderId="14" xfId="0" applyNumberFormat="1" applyFont="1" applyBorder="1"/>
    <xf numFmtId="164" fontId="14" fillId="0" borderId="0" xfId="0" applyNumberFormat="1" applyFont="1"/>
    <xf numFmtId="0" fontId="16" fillId="3" borderId="14" xfId="0" applyFont="1" applyFill="1" applyBorder="1" applyAlignment="1">
      <alignment vertical="center" wrapText="1"/>
    </xf>
    <xf numFmtId="164" fontId="14" fillId="0" borderId="14" xfId="0" applyNumberFormat="1" applyFont="1" applyBorder="1" applyAlignment="1">
      <alignment vertical="center"/>
    </xf>
    <xf numFmtId="0" fontId="2" fillId="11" borderId="12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10" borderId="30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7" fillId="0" borderId="14" xfId="0" applyFont="1" applyBorder="1"/>
    <xf numFmtId="8" fontId="12" fillId="3" borderId="14" xfId="0" applyNumberFormat="1" applyFont="1" applyFill="1" applyBorder="1" applyAlignment="1">
      <alignment vertical="center" wrapText="1"/>
    </xf>
    <xf numFmtId="8" fontId="14" fillId="0" borderId="14" xfId="0" applyNumberFormat="1" applyFont="1" applyBorder="1"/>
    <xf numFmtId="8" fontId="14" fillId="0" borderId="0" xfId="0" applyNumberFormat="1" applyFont="1"/>
    <xf numFmtId="0" fontId="1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2" fontId="12" fillId="3" borderId="14" xfId="0" applyNumberFormat="1" applyFont="1" applyFill="1" applyBorder="1" applyAlignment="1">
      <alignment vertical="center" wrapText="1"/>
    </xf>
    <xf numFmtId="2" fontId="13" fillId="0" borderId="14" xfId="0" applyNumberFormat="1" applyFont="1" applyBorder="1"/>
    <xf numFmtId="0" fontId="10" fillId="3" borderId="30" xfId="0" applyFont="1" applyFill="1" applyBorder="1" applyAlignment="1">
      <alignment horizontal="center" vertical="center" wrapText="1"/>
    </xf>
    <xf numFmtId="2" fontId="4" fillId="3" borderId="32" xfId="0" applyNumberFormat="1" applyFont="1" applyFill="1" applyBorder="1" applyAlignment="1">
      <alignment horizontal="center" vertical="center" wrapText="1"/>
    </xf>
    <xf numFmtId="40" fontId="5" fillId="8" borderId="33" xfId="0" applyNumberFormat="1" applyFont="1" applyFill="1" applyBorder="1"/>
    <xf numFmtId="164" fontId="4" fillId="3" borderId="24" xfId="0" applyNumberFormat="1" applyFont="1" applyFill="1" applyBorder="1" applyAlignment="1">
      <alignment vertical="center"/>
    </xf>
    <xf numFmtId="0" fontId="6" fillId="0" borderId="17" xfId="0" applyFont="1" applyBorder="1"/>
    <xf numFmtId="2" fontId="10" fillId="0" borderId="11" xfId="0" applyNumberFormat="1" applyFont="1" applyBorder="1"/>
    <xf numFmtId="0" fontId="1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9" fillId="3" borderId="14" xfId="0" applyFont="1" applyFill="1" applyBorder="1" applyAlignment="1">
      <alignment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9" borderId="11" xfId="0" applyFont="1" applyFill="1" applyBorder="1" applyAlignment="1">
      <alignment horizontal="center" vertical="center" wrapText="1"/>
    </xf>
    <xf numFmtId="0" fontId="21" fillId="9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1" fillId="3" borderId="14" xfId="0" applyFont="1" applyFill="1" applyBorder="1" applyAlignment="1">
      <alignment vertical="center" wrapText="1"/>
    </xf>
    <xf numFmtId="14" fontId="22" fillId="0" borderId="14" xfId="0" applyNumberFormat="1" applyFont="1" applyBorder="1"/>
    <xf numFmtId="0" fontId="23" fillId="12" borderId="14" xfId="0" applyFont="1" applyFill="1" applyBorder="1"/>
    <xf numFmtId="2" fontId="23" fillId="12" borderId="14" xfId="0" applyNumberFormat="1" applyFont="1" applyFill="1" applyBorder="1"/>
    <xf numFmtId="164" fontId="23" fillId="12" borderId="14" xfId="0" applyNumberFormat="1" applyFont="1" applyFill="1" applyBorder="1"/>
    <xf numFmtId="16" fontId="23" fillId="12" borderId="14" xfId="0" applyNumberFormat="1" applyFont="1" applyFill="1" applyBorder="1"/>
    <xf numFmtId="0" fontId="8" fillId="0" borderId="14" xfId="0" applyFont="1" applyBorder="1"/>
    <xf numFmtId="0" fontId="5" fillId="0" borderId="9" xfId="0" applyFont="1" applyBorder="1" applyAlignment="1">
      <alignment horizontal="center" vertical="center" wrapText="1"/>
    </xf>
    <xf numFmtId="0" fontId="3" fillId="7" borderId="34" xfId="0" applyFont="1" applyFill="1" applyBorder="1" applyAlignment="1">
      <alignment vertical="center"/>
    </xf>
    <xf numFmtId="0" fontId="3" fillId="7" borderId="3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23" fillId="0" borderId="14" xfId="0" applyFont="1" applyBorder="1"/>
    <xf numFmtId="2" fontId="23" fillId="0" borderId="14" xfId="0" applyNumberFormat="1" applyFont="1" applyBorder="1"/>
    <xf numFmtId="164" fontId="23" fillId="0" borderId="14" xfId="0" applyNumberFormat="1" applyFont="1" applyBorder="1"/>
    <xf numFmtId="164" fontId="23" fillId="3" borderId="14" xfId="0" applyNumberFormat="1" applyFont="1" applyFill="1" applyBorder="1"/>
    <xf numFmtId="0" fontId="23" fillId="0" borderId="0" xfId="0" applyFont="1"/>
    <xf numFmtId="0" fontId="1" fillId="7" borderId="36" xfId="0" applyFont="1" applyFill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2" fontId="26" fillId="0" borderId="6" xfId="0" applyNumberFormat="1" applyFont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8" fontId="23" fillId="0" borderId="14" xfId="0" applyNumberFormat="1" applyFont="1" applyBorder="1"/>
    <xf numFmtId="0" fontId="27" fillId="7" borderId="27" xfId="0" applyFont="1" applyFill="1" applyBorder="1" applyAlignment="1">
      <alignment horizontal="center" vertical="center" wrapText="1"/>
    </xf>
    <xf numFmtId="0" fontId="27" fillId="7" borderId="28" xfId="0" applyFont="1" applyFill="1" applyBorder="1" applyAlignment="1">
      <alignment horizontal="center" vertical="center" wrapText="1"/>
    </xf>
    <xf numFmtId="165" fontId="1" fillId="7" borderId="0" xfId="0" applyNumberFormat="1" applyFont="1" applyFill="1"/>
    <xf numFmtId="0" fontId="18" fillId="3" borderId="1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6" borderId="11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164" fontId="19" fillId="3" borderId="14" xfId="0" applyNumberFormat="1" applyFont="1" applyFill="1" applyBorder="1" applyAlignment="1">
      <alignment vertical="center" wrapText="1"/>
    </xf>
    <xf numFmtId="0" fontId="19" fillId="3" borderId="0" xfId="0" applyFont="1" applyFill="1" applyAlignment="1">
      <alignment vertical="center" wrapText="1"/>
    </xf>
    <xf numFmtId="0" fontId="19" fillId="0" borderId="0" xfId="0" applyFont="1" applyAlignment="1">
      <alignment vertical="center" wrapText="1"/>
    </xf>
    <xf numFmtId="0" fontId="1" fillId="10" borderId="1" xfId="0" applyFont="1" applyFill="1" applyBorder="1" applyAlignment="1">
      <alignment horizontal="center" vertical="center" wrapText="1"/>
    </xf>
    <xf numFmtId="164" fontId="14" fillId="3" borderId="37" xfId="0" applyNumberFormat="1" applyFont="1" applyFill="1" applyBorder="1"/>
    <xf numFmtId="0" fontId="23" fillId="12" borderId="38" xfId="0" applyFont="1" applyFill="1" applyBorder="1"/>
    <xf numFmtId="2" fontId="23" fillId="12" borderId="38" xfId="0" applyNumberFormat="1" applyFont="1" applyFill="1" applyBorder="1"/>
    <xf numFmtId="164" fontId="23" fillId="12" borderId="38" xfId="0" applyNumberFormat="1" applyFont="1" applyFill="1" applyBorder="1"/>
    <xf numFmtId="16" fontId="14" fillId="0" borderId="35" xfId="0" applyNumberFormat="1" applyFont="1" applyBorder="1"/>
    <xf numFmtId="0" fontId="14" fillId="0" borderId="35" xfId="0" applyFont="1" applyBorder="1"/>
    <xf numFmtId="2" fontId="14" fillId="0" borderId="35" xfId="0" applyNumberFormat="1" applyFont="1" applyBorder="1"/>
    <xf numFmtId="164" fontId="14" fillId="0" borderId="35" xfId="0" applyNumberFormat="1" applyFont="1" applyBorder="1"/>
    <xf numFmtId="16" fontId="14" fillId="0" borderId="5" xfId="0" applyNumberFormat="1" applyFont="1" applyBorder="1"/>
    <xf numFmtId="0" fontId="14" fillId="0" borderId="6" xfId="0" applyFont="1" applyBorder="1"/>
    <xf numFmtId="2" fontId="14" fillId="0" borderId="6" xfId="0" applyNumberFormat="1" applyFont="1" applyBorder="1"/>
    <xf numFmtId="164" fontId="14" fillId="0" borderId="6" xfId="0" applyNumberFormat="1" applyFont="1" applyBorder="1"/>
    <xf numFmtId="164" fontId="14" fillId="0" borderId="7" xfId="0" applyNumberFormat="1" applyFont="1" applyBorder="1"/>
    <xf numFmtId="16" fontId="14" fillId="0" borderId="13" xfId="0" applyNumberFormat="1" applyFont="1" applyBorder="1"/>
    <xf numFmtId="164" fontId="14" fillId="0" borderId="15" xfId="0" applyNumberFormat="1" applyFont="1" applyBorder="1"/>
    <xf numFmtId="16" fontId="14" fillId="0" borderId="21" xfId="0" applyNumberFormat="1" applyFont="1" applyBorder="1"/>
    <xf numFmtId="0" fontId="14" fillId="0" borderId="22" xfId="0" applyFont="1" applyBorder="1"/>
    <xf numFmtId="2" fontId="14" fillId="0" borderId="22" xfId="0" applyNumberFormat="1" applyFont="1" applyBorder="1"/>
    <xf numFmtId="164" fontId="14" fillId="0" borderId="22" xfId="0" applyNumberFormat="1" applyFont="1" applyBorder="1"/>
    <xf numFmtId="164" fontId="14" fillId="0" borderId="23" xfId="0" applyNumberFormat="1" applyFont="1" applyBorder="1"/>
    <xf numFmtId="0" fontId="8" fillId="0" borderId="38" xfId="0" applyFont="1" applyBorder="1"/>
    <xf numFmtId="0" fontId="14" fillId="0" borderId="38" xfId="0" applyFont="1" applyBorder="1"/>
    <xf numFmtId="164" fontId="14" fillId="0" borderId="38" xfId="0" applyNumberFormat="1" applyFont="1" applyBorder="1"/>
    <xf numFmtId="16" fontId="23" fillId="12" borderId="38" xfId="0" applyNumberFormat="1" applyFont="1" applyFill="1" applyBorder="1"/>
    <xf numFmtId="16" fontId="14" fillId="0" borderId="38" xfId="0" applyNumberFormat="1" applyFont="1" applyBorder="1"/>
    <xf numFmtId="2" fontId="14" fillId="0" borderId="38" xfId="0" applyNumberFormat="1" applyFont="1" applyBorder="1"/>
    <xf numFmtId="16" fontId="14" fillId="0" borderId="27" xfId="0" applyNumberFormat="1" applyFont="1" applyBorder="1"/>
    <xf numFmtId="0" fontId="14" fillId="0" borderId="28" xfId="0" applyFont="1" applyBorder="1"/>
    <xf numFmtId="2" fontId="14" fillId="0" borderId="28" xfId="0" applyNumberFormat="1" applyFont="1" applyBorder="1"/>
    <xf numFmtId="164" fontId="14" fillId="0" borderId="28" xfId="0" applyNumberFormat="1" applyFont="1" applyBorder="1"/>
    <xf numFmtId="164" fontId="14" fillId="0" borderId="36" xfId="0" applyNumberFormat="1" applyFont="1" applyBorder="1"/>
    <xf numFmtId="0" fontId="13" fillId="0" borderId="38" xfId="0" applyFont="1" applyBorder="1"/>
    <xf numFmtId="8" fontId="14" fillId="0" borderId="7" xfId="0" applyNumberFormat="1" applyFont="1" applyBorder="1"/>
    <xf numFmtId="8" fontId="14" fillId="0" borderId="23" xfId="0" applyNumberFormat="1" applyFont="1" applyBorder="1"/>
    <xf numFmtId="0" fontId="14" fillId="0" borderId="13" xfId="0" applyFont="1" applyBorder="1"/>
    <xf numFmtId="0" fontId="14" fillId="0" borderId="39" xfId="0" applyFont="1" applyBorder="1"/>
    <xf numFmtId="164" fontId="14" fillId="0" borderId="40" xfId="0" applyNumberFormat="1" applyFont="1" applyBorder="1"/>
    <xf numFmtId="16" fontId="14" fillId="0" borderId="41" xfId="0" applyNumberFormat="1" applyFont="1" applyBorder="1"/>
    <xf numFmtId="0" fontId="14" fillId="0" borderId="21" xfId="0" applyFont="1" applyBorder="1"/>
    <xf numFmtId="16" fontId="14" fillId="0" borderId="34" xfId="0" applyNumberFormat="1" applyFont="1" applyBorder="1"/>
    <xf numFmtId="164" fontId="14" fillId="0" borderId="42" xfId="0" applyNumberFormat="1" applyFont="1" applyBorder="1"/>
    <xf numFmtId="2" fontId="14" fillId="0" borderId="39" xfId="0" applyNumberFormat="1" applyFont="1" applyBorder="1"/>
    <xf numFmtId="164" fontId="14" fillId="0" borderId="39" xfId="0" applyNumberFormat="1" applyFont="1" applyBorder="1"/>
    <xf numFmtId="164" fontId="14" fillId="0" borderId="43" xfId="0" applyNumberFormat="1" applyFont="1" applyBorder="1"/>
    <xf numFmtId="164" fontId="23" fillId="12" borderId="37" xfId="0" applyNumberFormat="1" applyFont="1" applyFill="1" applyBorder="1"/>
    <xf numFmtId="16" fontId="23" fillId="12" borderId="44" xfId="0" applyNumberFormat="1" applyFont="1" applyFill="1" applyBorder="1"/>
    <xf numFmtId="0" fontId="23" fillId="12" borderId="44" xfId="0" applyFont="1" applyFill="1" applyBorder="1"/>
    <xf numFmtId="2" fontId="23" fillId="12" borderId="44" xfId="0" applyNumberFormat="1" applyFont="1" applyFill="1" applyBorder="1"/>
    <xf numFmtId="164" fontId="23" fillId="12" borderId="44" xfId="0" applyNumberFormat="1" applyFont="1" applyFill="1" applyBorder="1"/>
    <xf numFmtId="8" fontId="14" fillId="0" borderId="35" xfId="0" applyNumberFormat="1" applyFont="1" applyBorder="1"/>
    <xf numFmtId="8" fontId="14" fillId="0" borderId="15" xfId="0" applyNumberFormat="1" applyFont="1" applyBorder="1"/>
    <xf numFmtId="16" fontId="14" fillId="0" borderId="45" xfId="0" applyNumberFormat="1" applyFont="1" applyBorder="1"/>
    <xf numFmtId="8" fontId="14" fillId="0" borderId="38" xfId="0" applyNumberFormat="1" applyFont="1" applyBorder="1"/>
    <xf numFmtId="16" fontId="28" fillId="12" borderId="14" xfId="0" applyNumberFormat="1" applyFont="1" applyFill="1" applyBorder="1"/>
    <xf numFmtId="2" fontId="28" fillId="12" borderId="14" xfId="0" applyNumberFormat="1" applyFont="1" applyFill="1" applyBorder="1"/>
    <xf numFmtId="164" fontId="28" fillId="12" borderId="14" xfId="0" applyNumberFormat="1" applyFont="1" applyFill="1" applyBorder="1"/>
    <xf numFmtId="0" fontId="21" fillId="11" borderId="3" xfId="0" applyFont="1" applyFill="1" applyBorder="1" applyAlignment="1">
      <alignment horizontal="center" vertical="center" wrapText="1"/>
    </xf>
    <xf numFmtId="2" fontId="4" fillId="12" borderId="17" xfId="0" applyNumberFormat="1" applyFont="1" applyFill="1" applyBorder="1"/>
    <xf numFmtId="166" fontId="14" fillId="0" borderId="14" xfId="0" applyNumberFormat="1" applyFont="1" applyBorder="1"/>
    <xf numFmtId="8" fontId="14" fillId="0" borderId="43" xfId="0" applyNumberFormat="1" applyFont="1" applyBorder="1"/>
    <xf numFmtId="0" fontId="1" fillId="11" borderId="1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164" fontId="14" fillId="3" borderId="35" xfId="0" applyNumberFormat="1" applyFont="1" applyFill="1" applyBorder="1"/>
    <xf numFmtId="2" fontId="31" fillId="0" borderId="46" xfId="0" applyNumberFormat="1" applyFont="1" applyBorder="1" applyAlignment="1">
      <alignment horizontal="center" vertical="center"/>
    </xf>
    <xf numFmtId="0" fontId="14" fillId="0" borderId="44" xfId="0" applyFont="1" applyBorder="1"/>
    <xf numFmtId="2" fontId="14" fillId="0" borderId="44" xfId="0" applyNumberFormat="1" applyFont="1" applyBorder="1"/>
    <xf numFmtId="164" fontId="14" fillId="0" borderId="44" xfId="0" applyNumberFormat="1" applyFont="1" applyBorder="1"/>
    <xf numFmtId="0" fontId="14" fillId="12" borderId="14" xfId="0" applyFont="1" applyFill="1" applyBorder="1"/>
    <xf numFmtId="2" fontId="14" fillId="12" borderId="14" xfId="0" applyNumberFormat="1" applyFont="1" applyFill="1" applyBorder="1"/>
    <xf numFmtId="164" fontId="14" fillId="12" borderId="14" xfId="0" applyNumberFormat="1" applyFont="1" applyFill="1" applyBorder="1"/>
    <xf numFmtId="164" fontId="14" fillId="12" borderId="37" xfId="0" applyNumberFormat="1" applyFont="1" applyFill="1" applyBorder="1"/>
    <xf numFmtId="164" fontId="14" fillId="0" borderId="47" xfId="0" applyNumberFormat="1" applyFont="1" applyBorder="1"/>
    <xf numFmtId="0" fontId="14" fillId="12" borderId="35" xfId="0" applyFont="1" applyFill="1" applyBorder="1"/>
    <xf numFmtId="2" fontId="14" fillId="12" borderId="35" xfId="0" applyNumberFormat="1" applyFont="1" applyFill="1" applyBorder="1"/>
    <xf numFmtId="164" fontId="14" fillId="12" borderId="35" xfId="0" applyNumberFormat="1" applyFont="1" applyFill="1" applyBorder="1"/>
    <xf numFmtId="16" fontId="23" fillId="12" borderId="35" xfId="0" applyNumberFormat="1" applyFont="1" applyFill="1" applyBorder="1"/>
    <xf numFmtId="16" fontId="14" fillId="0" borderId="44" xfId="0" applyNumberFormat="1" applyFont="1" applyBorder="1"/>
    <xf numFmtId="164" fontId="14" fillId="3" borderId="38" xfId="0" applyNumberFormat="1" applyFont="1" applyFill="1" applyBorder="1"/>
    <xf numFmtId="164" fontId="14" fillId="3" borderId="48" xfId="0" applyNumberFormat="1" applyFont="1" applyFill="1" applyBorder="1"/>
    <xf numFmtId="2" fontId="17" fillId="12" borderId="44" xfId="0" applyNumberFormat="1" applyFont="1" applyFill="1" applyBorder="1"/>
    <xf numFmtId="8" fontId="14" fillId="0" borderId="44" xfId="0" applyNumberFormat="1" applyFont="1" applyBorder="1"/>
    <xf numFmtId="2" fontId="17" fillId="12" borderId="14" xfId="0" applyNumberFormat="1" applyFont="1" applyFill="1" applyBorder="1"/>
    <xf numFmtId="8" fontId="14" fillId="12" borderId="14" xfId="0" applyNumberFormat="1" applyFont="1" applyFill="1" applyBorder="1"/>
    <xf numFmtId="0" fontId="1" fillId="11" borderId="1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5" fillId="0" borderId="30" xfId="0" applyFont="1" applyBorder="1" applyAlignment="1">
      <alignment horizontal="center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8669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23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80238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23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7800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23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7800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6393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6393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23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4851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23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4851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23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23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6393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6393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23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7800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23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7800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6393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7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0970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7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0970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7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4071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7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2664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7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2664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7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0970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7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0970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8669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669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8194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8194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8669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669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14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35964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14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0970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14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0970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14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40714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14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26642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14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26642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14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0970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14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0970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7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32664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15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15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15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15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14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266420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14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266420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"/>
  <sheetViews>
    <sheetView tabSelected="1" workbookViewId="0">
      <pane ySplit="1" topLeftCell="A3" activePane="bottomLeft" state="frozen"/>
      <selection pane="bottomLeft" activeCell="G22" sqref="G22"/>
    </sheetView>
  </sheetViews>
  <sheetFormatPr defaultColWidth="8.85546875" defaultRowHeight="15.75" x14ac:dyDescent="0.25"/>
  <cols>
    <col min="1" max="1" width="14.42578125" style="36" bestFit="1" customWidth="1"/>
    <col min="2" max="2" width="12.7109375" style="36" customWidth="1"/>
    <col min="3" max="3" width="15" style="36" customWidth="1"/>
    <col min="4" max="4" width="16.28515625" style="36" customWidth="1"/>
    <col min="5" max="5" width="14.7109375" style="36" customWidth="1"/>
    <col min="6" max="6" width="14.140625" style="36" customWidth="1"/>
    <col min="7" max="7" width="13.7109375" style="36" customWidth="1"/>
    <col min="8" max="8" width="15.42578125" style="36" customWidth="1"/>
    <col min="9" max="9" width="14.140625" style="36" customWidth="1"/>
    <col min="10" max="10" width="16.85546875" style="36" customWidth="1"/>
    <col min="11" max="11" width="13" style="36" bestFit="1" customWidth="1"/>
    <col min="12" max="12" width="13.42578125" style="36" customWidth="1"/>
    <col min="13" max="13" width="13.85546875" style="36" customWidth="1"/>
    <col min="14" max="14" width="13.28515625" style="36" customWidth="1"/>
    <col min="15" max="15" width="12.140625" style="36" customWidth="1"/>
    <col min="16" max="16" width="12.7109375" style="36" customWidth="1"/>
    <col min="17" max="17" width="13.140625" style="36" customWidth="1"/>
    <col min="18" max="18" width="14.28515625" style="36" customWidth="1"/>
    <col min="19" max="19" width="14" style="36" customWidth="1"/>
    <col min="20" max="20" width="14.42578125" style="36" customWidth="1"/>
    <col min="21" max="21" width="13.140625" style="36" customWidth="1"/>
    <col min="22" max="22" width="8.85546875" style="36"/>
    <col min="23" max="23" width="10.85546875" style="36" bestFit="1" customWidth="1"/>
    <col min="24" max="16384" width="8.85546875" style="36"/>
  </cols>
  <sheetData>
    <row r="1" spans="1:22" ht="20.25" thickBot="1" x14ac:dyDescent="0.4">
      <c r="A1" s="266" t="s">
        <v>0</v>
      </c>
      <c r="B1" s="266"/>
      <c r="C1" s="266"/>
      <c r="D1" s="267"/>
      <c r="E1" s="267"/>
      <c r="F1" s="267"/>
      <c r="G1" s="267"/>
      <c r="H1" s="267"/>
    </row>
    <row r="2" spans="1:22" s="5" customFormat="1" ht="64.150000000000006" customHeight="1" thickBot="1" x14ac:dyDescent="0.3">
      <c r="A2" s="155" t="s">
        <v>1</v>
      </c>
      <c r="B2" s="156" t="s">
        <v>2</v>
      </c>
      <c r="C2" s="157" t="s">
        <v>3</v>
      </c>
      <c r="D2" s="1"/>
      <c r="E2" s="178" t="s">
        <v>4</v>
      </c>
      <c r="F2" s="73" t="s">
        <v>5</v>
      </c>
      <c r="G2" s="127" t="s">
        <v>6</v>
      </c>
      <c r="H2" s="2"/>
      <c r="I2" s="128" t="s">
        <v>7</v>
      </c>
      <c r="J2" s="131" t="s">
        <v>8</v>
      </c>
      <c r="K2" s="134" t="s">
        <v>9</v>
      </c>
      <c r="L2" s="3"/>
      <c r="M2" s="129" t="s">
        <v>10</v>
      </c>
      <c r="N2" s="132" t="s">
        <v>11</v>
      </c>
      <c r="O2" s="171" t="s">
        <v>12</v>
      </c>
      <c r="P2" s="2"/>
      <c r="Q2" s="172" t="s">
        <v>13</v>
      </c>
      <c r="R2" s="173" t="s">
        <v>14</v>
      </c>
      <c r="S2" s="174" t="s">
        <v>15</v>
      </c>
      <c r="T2" s="4"/>
    </row>
    <row r="3" spans="1:22" s="9" customFormat="1" ht="32.25" thickBot="1" x14ac:dyDescent="0.3">
      <c r="A3" s="153" t="s">
        <v>16</v>
      </c>
      <c r="B3" s="154" t="s">
        <v>17</v>
      </c>
      <c r="C3" s="154" t="s">
        <v>18</v>
      </c>
      <c r="D3" s="6"/>
      <c r="E3" s="110" t="s">
        <v>19</v>
      </c>
      <c r="F3" s="110" t="s">
        <v>19</v>
      </c>
      <c r="G3" s="152" t="s">
        <v>20</v>
      </c>
      <c r="H3" s="8"/>
      <c r="I3" s="130" t="s">
        <v>21</v>
      </c>
      <c r="J3" s="130" t="s">
        <v>21</v>
      </c>
      <c r="K3" s="130" t="s">
        <v>21</v>
      </c>
      <c r="L3" s="7"/>
      <c r="M3" s="117" t="s">
        <v>22</v>
      </c>
      <c r="N3" s="117" t="s">
        <v>23</v>
      </c>
      <c r="O3" s="137" t="s">
        <v>24</v>
      </c>
      <c r="P3" s="7"/>
      <c r="Q3" s="152" t="s">
        <v>25</v>
      </c>
      <c r="R3" s="152" t="s">
        <v>25</v>
      </c>
      <c r="S3" s="152" t="s">
        <v>25</v>
      </c>
      <c r="T3" s="7"/>
    </row>
    <row r="4" spans="1:22" s="20" customFormat="1" x14ac:dyDescent="0.25">
      <c r="A4" s="10">
        <f>Ника!L2</f>
        <v>4607</v>
      </c>
      <c r="B4" s="11">
        <f>'Золотой Снек'!Q2</f>
        <v>0</v>
      </c>
      <c r="C4" s="11">
        <f>Пластик!P2</f>
        <v>47400</v>
      </c>
      <c r="D4" s="12">
        <f>A4+B4+C4</f>
        <v>52007</v>
      </c>
      <c r="E4" s="13">
        <f>'ТД-Л Пак'!U2</f>
        <v>1300</v>
      </c>
      <c r="F4" s="14">
        <f>'ТД-Л Пак'!V2</f>
        <v>932</v>
      </c>
      <c r="G4" s="14">
        <f>РусУпак!Y2</f>
        <v>165.99999999999997</v>
      </c>
      <c r="H4" s="15">
        <f>E4+F4+G4</f>
        <v>2398</v>
      </c>
      <c r="I4" s="14">
        <f>Приопак!Y2</f>
        <v>492</v>
      </c>
      <c r="J4" s="14">
        <f>Приопак!Z2</f>
        <v>0</v>
      </c>
      <c r="K4" s="14">
        <f>Приопак!AA2</f>
        <v>29</v>
      </c>
      <c r="L4" s="16">
        <f>I4+J4+K4</f>
        <v>521</v>
      </c>
      <c r="M4" s="17">
        <f>'ИП Тришина'!R2</f>
        <v>0</v>
      </c>
      <c r="N4" s="17">
        <f>'ТД-Л Пак'!W2</f>
        <v>54</v>
      </c>
      <c r="O4" s="14">
        <f>АурумФуд!Q2</f>
        <v>1400</v>
      </c>
      <c r="P4" s="18">
        <f>M4+N4+O4</f>
        <v>1454</v>
      </c>
      <c r="Q4" s="14">
        <f>УпакАреал!X2</f>
        <v>574.34999999999991</v>
      </c>
      <c r="R4" s="14">
        <f>УпакАреал!Y2</f>
        <v>245.41000000000003</v>
      </c>
      <c r="S4" s="14">
        <f>УпакАреал!Z2</f>
        <v>261.44</v>
      </c>
      <c r="T4" s="19">
        <f>Q4+R4+S4</f>
        <v>1081.2</v>
      </c>
    </row>
    <row r="5" spans="1:22" s="26" customFormat="1" x14ac:dyDescent="0.25">
      <c r="A5" s="21">
        <v>5</v>
      </c>
      <c r="B5" s="22">
        <v>4.95</v>
      </c>
      <c r="C5" s="22">
        <v>5.3</v>
      </c>
      <c r="D5" s="23"/>
      <c r="E5" s="24">
        <v>25.776</v>
      </c>
      <c r="F5" s="21">
        <v>24.744</v>
      </c>
      <c r="G5" s="21">
        <v>280</v>
      </c>
      <c r="H5" s="21"/>
      <c r="I5" s="21">
        <v>4</v>
      </c>
      <c r="J5" s="21">
        <v>446.12</v>
      </c>
      <c r="K5" s="21">
        <v>441.6866</v>
      </c>
      <c r="L5" s="21"/>
      <c r="M5" s="21">
        <v>4.25</v>
      </c>
      <c r="N5" s="21">
        <v>432.82</v>
      </c>
      <c r="O5" s="21">
        <v>3.86</v>
      </c>
      <c r="P5" s="21"/>
      <c r="Q5" s="21">
        <v>715</v>
      </c>
      <c r="R5" s="21">
        <v>850</v>
      </c>
      <c r="S5" s="21">
        <v>850</v>
      </c>
      <c r="T5" s="25"/>
    </row>
    <row r="6" spans="1:22" s="35" customFormat="1" ht="16.5" thickBot="1" x14ac:dyDescent="0.3">
      <c r="A6" s="27">
        <f>A4*A5</f>
        <v>23035</v>
      </c>
      <c r="B6" s="27">
        <f>B4*B5</f>
        <v>0</v>
      </c>
      <c r="C6" s="27">
        <f>C4*C5</f>
        <v>251220</v>
      </c>
      <c r="D6" s="28">
        <f>A6+B6+C6</f>
        <v>274255</v>
      </c>
      <c r="E6" s="29">
        <f>E4*E5</f>
        <v>33508.800000000003</v>
      </c>
      <c r="F6" s="29">
        <f>F4*F5</f>
        <v>23061.407999999999</v>
      </c>
      <c r="G6" s="29">
        <f>G4*G5</f>
        <v>46479.999999999993</v>
      </c>
      <c r="H6" s="31">
        <f>E6+F6+G6</f>
        <v>103050.20799999998</v>
      </c>
      <c r="I6" s="30">
        <f>I4*I5</f>
        <v>1968</v>
      </c>
      <c r="J6" s="30">
        <f>J4*J5</f>
        <v>0</v>
      </c>
      <c r="K6" s="30">
        <f>K4*K5</f>
        <v>12808.911400000001</v>
      </c>
      <c r="L6" s="32">
        <f>I6+J6+K6</f>
        <v>14776.911400000001</v>
      </c>
      <c r="M6" s="30">
        <f>M4*M5</f>
        <v>0</v>
      </c>
      <c r="N6" s="30">
        <f>N4*N5</f>
        <v>23372.28</v>
      </c>
      <c r="O6" s="30">
        <f>O4*O5</f>
        <v>5404</v>
      </c>
      <c r="P6" s="33">
        <f>M6+N6+O6</f>
        <v>28776.28</v>
      </c>
      <c r="Q6" s="30">
        <f>Q4*Q5</f>
        <v>410660.24999999994</v>
      </c>
      <c r="R6" s="30">
        <f t="shared" ref="R6:S6" si="0">R4*R5</f>
        <v>208598.50000000003</v>
      </c>
      <c r="S6" s="30">
        <f t="shared" si="0"/>
        <v>222224</v>
      </c>
      <c r="T6" s="34">
        <f>Q6+R6+S6</f>
        <v>841482.75</v>
      </c>
    </row>
    <row r="7" spans="1:22" ht="16.5" thickBot="1" x14ac:dyDescent="0.3">
      <c r="S7" s="37"/>
      <c r="V7" s="38"/>
    </row>
    <row r="8" spans="1:22" s="5" customFormat="1" ht="72" customHeight="1" thickBot="1" x14ac:dyDescent="0.3">
      <c r="A8" s="168" t="s">
        <v>26</v>
      </c>
      <c r="B8" s="169" t="s">
        <v>27</v>
      </c>
      <c r="C8" s="163" t="s">
        <v>28</v>
      </c>
      <c r="D8" s="39"/>
      <c r="E8" s="139" t="s">
        <v>29</v>
      </c>
      <c r="F8" s="143" t="s">
        <v>30</v>
      </c>
      <c r="G8" s="235" t="s">
        <v>31</v>
      </c>
      <c r="H8" s="39"/>
      <c r="I8" s="139" t="s">
        <v>32</v>
      </c>
      <c r="J8" s="140" t="s">
        <v>32</v>
      </c>
      <c r="K8" s="141" t="s">
        <v>33</v>
      </c>
      <c r="L8" s="1"/>
      <c r="M8" s="135" t="s">
        <v>34</v>
      </c>
      <c r="N8" s="142" t="s">
        <v>35</v>
      </c>
      <c r="O8" s="136" t="s">
        <v>36</v>
      </c>
      <c r="P8" s="1"/>
      <c r="S8" s="40"/>
      <c r="V8" s="41"/>
    </row>
    <row r="9" spans="1:22" ht="30.75" thickBot="1" x14ac:dyDescent="0.3">
      <c r="A9" s="152" t="s">
        <v>37</v>
      </c>
      <c r="B9" s="152" t="s">
        <v>37</v>
      </c>
      <c r="C9" s="152" t="s">
        <v>20</v>
      </c>
      <c r="D9" s="42"/>
      <c r="E9" s="130" t="s">
        <v>21</v>
      </c>
      <c r="F9" s="152" t="s">
        <v>38</v>
      </c>
      <c r="G9" s="152" t="s">
        <v>37</v>
      </c>
      <c r="H9" s="42"/>
      <c r="I9" s="130" t="s">
        <v>21</v>
      </c>
      <c r="J9" s="130" t="s">
        <v>21</v>
      </c>
      <c r="K9" s="130" t="s">
        <v>21</v>
      </c>
      <c r="L9" s="43"/>
      <c r="M9" s="144" t="s">
        <v>39</v>
      </c>
      <c r="N9" s="164" t="s">
        <v>40</v>
      </c>
      <c r="O9" s="164" t="s">
        <v>40</v>
      </c>
      <c r="P9" s="44"/>
      <c r="S9" s="37"/>
      <c r="V9" s="38"/>
    </row>
    <row r="10" spans="1:22" s="38" customFormat="1" x14ac:dyDescent="0.25">
      <c r="A10" s="45">
        <f>'Ф-Граф'!AG2</f>
        <v>0</v>
      </c>
      <c r="B10" s="45">
        <f>'Ф-Граф'!AH2</f>
        <v>25.449999999999989</v>
      </c>
      <c r="C10" s="45">
        <f>РусУпак!X2</f>
        <v>139.20000000000002</v>
      </c>
      <c r="D10" s="46">
        <f>A10+B10+C10</f>
        <v>164.65</v>
      </c>
      <c r="E10" s="45">
        <f>Приопак!AE2</f>
        <v>0</v>
      </c>
      <c r="F10" s="45">
        <f>Озон!S2</f>
        <v>0</v>
      </c>
      <c r="G10" s="236">
        <f>'Ф-Граф'!AI2</f>
        <v>434.12</v>
      </c>
      <c r="H10" s="47">
        <f>E10+F10+G10</f>
        <v>434.12</v>
      </c>
      <c r="I10" s="48">
        <f>Приопак!AB2</f>
        <v>1580</v>
      </c>
      <c r="J10" s="49">
        <f>Приопак!AC2</f>
        <v>0</v>
      </c>
      <c r="K10" s="49">
        <f>Приопак!AD2</f>
        <v>3.6500000000000004</v>
      </c>
      <c r="L10" s="50">
        <f>I10+J10+K10</f>
        <v>1583.65</v>
      </c>
      <c r="M10" s="48">
        <f>чл!V2</f>
        <v>0</v>
      </c>
      <c r="N10" s="165">
        <f>Полимаркет!Q2</f>
        <v>0</v>
      </c>
      <c r="O10" s="49">
        <f>Полимаркет!R2</f>
        <v>0</v>
      </c>
      <c r="P10" s="51">
        <f>M10+N10+O10</f>
        <v>0</v>
      </c>
      <c r="S10" s="52"/>
    </row>
    <row r="11" spans="1:22" x14ac:dyDescent="0.25">
      <c r="A11" s="53">
        <v>414</v>
      </c>
      <c r="B11" s="53">
        <v>414</v>
      </c>
      <c r="C11" s="53">
        <v>290</v>
      </c>
      <c r="D11" s="54"/>
      <c r="E11" s="54">
        <v>18</v>
      </c>
      <c r="F11" s="54">
        <v>20.239999999999998</v>
      </c>
      <c r="G11" s="54">
        <v>625</v>
      </c>
      <c r="H11" s="54"/>
      <c r="I11" s="55">
        <v>2.9</v>
      </c>
      <c r="J11" s="56">
        <v>2.86</v>
      </c>
      <c r="K11" s="56">
        <v>499.4</v>
      </c>
      <c r="L11" s="57"/>
      <c r="M11" s="55">
        <v>12.59</v>
      </c>
      <c r="N11" s="56">
        <v>0.54</v>
      </c>
      <c r="O11" s="56">
        <v>0.54</v>
      </c>
      <c r="P11" s="57"/>
      <c r="S11" s="37"/>
      <c r="V11" s="38"/>
    </row>
    <row r="12" spans="1:22" s="64" customFormat="1" ht="16.5" thickBot="1" x14ac:dyDescent="0.3">
      <c r="A12" s="58">
        <f>A10*A11</f>
        <v>0</v>
      </c>
      <c r="B12" s="58">
        <f t="shared" ref="B12:C12" si="1">B10*B11</f>
        <v>10536.299999999996</v>
      </c>
      <c r="C12" s="58">
        <f t="shared" si="1"/>
        <v>40368.000000000007</v>
      </c>
      <c r="D12" s="59">
        <f>A12+B12+C12</f>
        <v>50904.3</v>
      </c>
      <c r="E12" s="58">
        <f>E10*E11</f>
        <v>0</v>
      </c>
      <c r="F12" s="58">
        <f>F10*F11</f>
        <v>0</v>
      </c>
      <c r="G12" s="58">
        <f>G10*G11</f>
        <v>271325</v>
      </c>
      <c r="H12" s="60">
        <f>E12+F12+G12</f>
        <v>271325</v>
      </c>
      <c r="I12" s="61">
        <f>I10*I11</f>
        <v>4582</v>
      </c>
      <c r="J12" s="61">
        <f t="shared" ref="J12:K12" si="2">J10*J11</f>
        <v>0</v>
      </c>
      <c r="K12" s="61">
        <f t="shared" si="2"/>
        <v>1822.8100000000002</v>
      </c>
      <c r="L12" s="62">
        <f>I12+J12+K12</f>
        <v>6404.81</v>
      </c>
      <c r="M12" s="61">
        <f>M10*M11</f>
        <v>0</v>
      </c>
      <c r="N12" s="61">
        <f t="shared" ref="N12:O12" si="3">N10*N11</f>
        <v>0</v>
      </c>
      <c r="O12" s="61">
        <f t="shared" si="3"/>
        <v>0</v>
      </c>
      <c r="P12" s="63">
        <f>M12+N12+O12</f>
        <v>0</v>
      </c>
      <c r="S12" s="65"/>
    </row>
    <row r="13" spans="1:22" x14ac:dyDescent="0.25">
      <c r="S13" s="37"/>
      <c r="V13" s="38"/>
    </row>
    <row r="14" spans="1:22" ht="7.9" customHeight="1" thickBot="1" x14ac:dyDescent="0.3">
      <c r="S14" s="37"/>
      <c r="V14" s="38"/>
    </row>
    <row r="15" spans="1:22" s="5" customFormat="1" ht="30" customHeight="1" thickBot="1" x14ac:dyDescent="0.3">
      <c r="A15" s="108" t="s">
        <v>41</v>
      </c>
      <c r="B15" s="73" t="s">
        <v>42</v>
      </c>
      <c r="C15" s="73" t="s">
        <v>43</v>
      </c>
      <c r="D15" s="109" t="s">
        <v>44</v>
      </c>
      <c r="E15" s="3"/>
      <c r="F15" s="263" t="s">
        <v>45</v>
      </c>
      <c r="G15" s="264"/>
      <c r="H15" s="264"/>
      <c r="I15" s="264"/>
      <c r="J15" s="264"/>
      <c r="K15" s="265"/>
      <c r="L15" s="4"/>
      <c r="M15" s="116" t="s">
        <v>46</v>
      </c>
      <c r="N15" s="116" t="s">
        <v>47</v>
      </c>
      <c r="O15" s="111" t="s">
        <v>48</v>
      </c>
      <c r="P15" s="116" t="s">
        <v>48</v>
      </c>
      <c r="Q15" s="4"/>
      <c r="S15" s="40"/>
      <c r="V15" s="41"/>
    </row>
    <row r="16" spans="1:22" s="5" customFormat="1" ht="32.25" thickBot="1" x14ac:dyDescent="0.3">
      <c r="A16" s="106"/>
      <c r="B16" s="66"/>
      <c r="C16" s="66"/>
      <c r="D16" s="67"/>
      <c r="E16" s="68"/>
      <c r="F16" s="239" t="s">
        <v>49</v>
      </c>
      <c r="G16" s="69" t="s">
        <v>50</v>
      </c>
      <c r="H16" s="240" t="s">
        <v>51</v>
      </c>
      <c r="I16" s="239" t="s">
        <v>52</v>
      </c>
      <c r="J16" s="69" t="s">
        <v>53</v>
      </c>
      <c r="K16" s="241" t="s">
        <v>54</v>
      </c>
      <c r="L16" s="67"/>
      <c r="M16" s="70"/>
      <c r="N16" s="71"/>
      <c r="O16" s="71"/>
      <c r="P16" s="121"/>
      <c r="Q16" s="72"/>
      <c r="S16" s="40"/>
      <c r="V16" s="41"/>
    </row>
    <row r="17" spans="1:22" s="5" customFormat="1" ht="32.25" thickBot="1" x14ac:dyDescent="0.3">
      <c r="A17" s="107" t="s">
        <v>55</v>
      </c>
      <c r="B17" s="110" t="s">
        <v>19</v>
      </c>
      <c r="C17" s="110" t="s">
        <v>19</v>
      </c>
      <c r="D17" s="166" t="s">
        <v>17</v>
      </c>
      <c r="E17" s="68"/>
      <c r="F17" s="105" t="s">
        <v>37</v>
      </c>
      <c r="G17" s="105" t="s">
        <v>37</v>
      </c>
      <c r="H17" s="105" t="s">
        <v>37</v>
      </c>
      <c r="I17" s="105" t="s">
        <v>37</v>
      </c>
      <c r="J17" s="105" t="s">
        <v>37</v>
      </c>
      <c r="K17" s="105" t="s">
        <v>37</v>
      </c>
      <c r="L17" s="67"/>
      <c r="M17" s="117" t="s">
        <v>22</v>
      </c>
      <c r="N17" s="118" t="s">
        <v>56</v>
      </c>
      <c r="O17" s="118" t="s">
        <v>57</v>
      </c>
      <c r="P17" s="118" t="s">
        <v>57</v>
      </c>
      <c r="Q17" s="72"/>
      <c r="S17" s="40"/>
      <c r="V17" s="41"/>
    </row>
    <row r="18" spans="1:22" s="38" customFormat="1" ht="16.5" thickBot="1" x14ac:dyDescent="0.3">
      <c r="A18" s="74">
        <f>'СЗ-Гофра'!M2</f>
        <v>17435</v>
      </c>
      <c r="B18" s="75">
        <f>'ТД-Л Пак'!S2</f>
        <v>4200</v>
      </c>
      <c r="C18" s="76">
        <f>'ТД-Л Пак'!T2</f>
        <v>0</v>
      </c>
      <c r="D18" s="76">
        <f>'Золотой Снек'!R2</f>
        <v>290</v>
      </c>
      <c r="E18" s="77">
        <f>A18+B18+C18+D18</f>
        <v>21925</v>
      </c>
      <c r="F18" s="78">
        <f>'Ф-Граф'!AA2</f>
        <v>210.2</v>
      </c>
      <c r="G18" s="76">
        <f>'Ф-Граф'!AB2</f>
        <v>204.85</v>
      </c>
      <c r="H18" s="76">
        <f>'Ф-Граф'!AC2</f>
        <v>222.25</v>
      </c>
      <c r="I18" s="76">
        <f>'Ф-Граф'!AD2</f>
        <v>222.9</v>
      </c>
      <c r="J18" s="76">
        <f>'Ф-Граф'!AE2</f>
        <v>-181.85999999999996</v>
      </c>
      <c r="K18" s="76">
        <f>'Ф-Граф'!AF2</f>
        <v>266</v>
      </c>
      <c r="L18" s="79">
        <f>F18+G18+H18+I18+J18+K18</f>
        <v>944.33999999999992</v>
      </c>
      <c r="M18" s="76">
        <f>'ИП Тришина'!Q2</f>
        <v>0</v>
      </c>
      <c r="N18" s="76">
        <f>Концепт!M2</f>
        <v>0</v>
      </c>
      <c r="O18" s="78">
        <f>ЛейблСтик!R2</f>
        <v>0</v>
      </c>
      <c r="P18" s="126">
        <f>ЛейблСтик!S2</f>
        <v>0</v>
      </c>
      <c r="Q18" s="122">
        <f>M18+N18+O18+P18</f>
        <v>0</v>
      </c>
      <c r="S18" s="52"/>
    </row>
    <row r="19" spans="1:22" x14ac:dyDescent="0.25">
      <c r="A19" s="80">
        <v>17.399999999999999</v>
      </c>
      <c r="B19" s="55">
        <v>24.995999999999999</v>
      </c>
      <c r="C19" s="55">
        <v>13.788</v>
      </c>
      <c r="D19" s="55">
        <v>33</v>
      </c>
      <c r="E19" s="55"/>
      <c r="F19" s="55">
        <v>605</v>
      </c>
      <c r="G19" s="55">
        <v>605</v>
      </c>
      <c r="H19" s="55">
        <v>605</v>
      </c>
      <c r="I19" s="55">
        <v>605</v>
      </c>
      <c r="J19" s="55">
        <v>682</v>
      </c>
      <c r="K19" s="55">
        <v>692</v>
      </c>
      <c r="L19" s="54"/>
      <c r="M19" s="55">
        <v>3.1</v>
      </c>
      <c r="N19" s="55">
        <v>145</v>
      </c>
      <c r="O19" s="53">
        <v>5.8333300000000001</v>
      </c>
      <c r="P19" s="125">
        <v>3.4143500000000002</v>
      </c>
      <c r="Q19" s="123"/>
      <c r="S19" s="37"/>
      <c r="V19" s="38"/>
    </row>
    <row r="20" spans="1:22" s="64" customFormat="1" ht="16.5" thickBot="1" x14ac:dyDescent="0.3">
      <c r="A20" s="81">
        <f>A18*A19</f>
        <v>303369</v>
      </c>
      <c r="B20" s="81">
        <f t="shared" ref="B20:D20" si="4">B18*B19</f>
        <v>104983.2</v>
      </c>
      <c r="C20" s="81">
        <f t="shared" si="4"/>
        <v>0</v>
      </c>
      <c r="D20" s="81">
        <f t="shared" si="4"/>
        <v>9570</v>
      </c>
      <c r="E20" s="82">
        <f>A20+B20+C20+D20</f>
        <v>417922.2</v>
      </c>
      <c r="F20" s="83">
        <f>F18*F19</f>
        <v>127171</v>
      </c>
      <c r="G20" s="83">
        <f>G18*G19</f>
        <v>123934.25</v>
      </c>
      <c r="H20" s="83">
        <f t="shared" ref="H20:K20" si="5">H18*H19</f>
        <v>134461.25</v>
      </c>
      <c r="I20" s="83">
        <f t="shared" si="5"/>
        <v>134854.5</v>
      </c>
      <c r="J20" s="83">
        <f t="shared" si="5"/>
        <v>-124028.51999999997</v>
      </c>
      <c r="K20" s="83">
        <f t="shared" si="5"/>
        <v>184072</v>
      </c>
      <c r="L20" s="84">
        <f>F20+G20+H20+I20+J20+K20</f>
        <v>580464.48</v>
      </c>
      <c r="M20" s="58">
        <f>M18*M19</f>
        <v>0</v>
      </c>
      <c r="N20" s="58">
        <f>N18*N19</f>
        <v>0</v>
      </c>
      <c r="O20" s="58">
        <f t="shared" ref="O20:P20" si="6">O18*O19</f>
        <v>0</v>
      </c>
      <c r="P20" s="58">
        <f t="shared" si="6"/>
        <v>0</v>
      </c>
      <c r="Q20" s="124">
        <f>M20+N20+O20+P20</f>
        <v>0</v>
      </c>
      <c r="S20" s="65"/>
    </row>
    <row r="21" spans="1:22" x14ac:dyDescent="0.25">
      <c r="S21" s="37"/>
      <c r="V21" s="38"/>
    </row>
    <row r="22" spans="1:22" x14ac:dyDescent="0.25">
      <c r="A22" s="85" t="s">
        <v>58</v>
      </c>
      <c r="D22" s="86">
        <f>D6+H6+L6+P6+T6+D12+H12+L12+P12+E20+L20+Q20+-32526.75</f>
        <v>2556835.1894</v>
      </c>
    </row>
    <row r="23" spans="1:22" x14ac:dyDescent="0.25">
      <c r="S23" s="87"/>
    </row>
    <row r="24" spans="1:22" x14ac:dyDescent="0.25">
      <c r="A24" s="85" t="s">
        <v>59</v>
      </c>
      <c r="D24" s="170">
        <f>D4+H4+L4+P4+T4+E18+L18+Q18+L10+P10+H10+D10+0-4222.35</f>
        <v>78290.609999999971</v>
      </c>
    </row>
    <row r="25" spans="1:22" x14ac:dyDescent="0.25">
      <c r="N25" s="88"/>
    </row>
    <row r="26" spans="1:22" x14ac:dyDescent="0.25">
      <c r="E26" s="88"/>
      <c r="F26" s="88"/>
      <c r="G26" s="88"/>
      <c r="H26" s="88"/>
      <c r="I26" s="88"/>
      <c r="J26" s="88"/>
      <c r="K26" s="88"/>
      <c r="L26" s="88"/>
      <c r="M26" s="88"/>
      <c r="N26" s="88"/>
    </row>
    <row r="27" spans="1:22" x14ac:dyDescent="0.25">
      <c r="E27" s="88"/>
      <c r="F27" s="88"/>
      <c r="G27" s="88"/>
      <c r="H27" s="88"/>
      <c r="I27" s="88"/>
      <c r="J27" s="88"/>
      <c r="K27" s="88"/>
      <c r="L27" s="88"/>
      <c r="M27" s="88"/>
      <c r="N27" s="89"/>
    </row>
    <row r="28" spans="1:22" x14ac:dyDescent="0.25">
      <c r="N28" s="89"/>
    </row>
    <row r="29" spans="1:22" x14ac:dyDescent="0.25">
      <c r="N29" s="89"/>
    </row>
  </sheetData>
  <mergeCells count="2">
    <mergeCell ref="F15:K15"/>
    <mergeCell ref="A1:H1"/>
  </mergeCells>
  <pageMargins left="0" right="0" top="0" bottom="0" header="0.31496062992125984" footer="0.31496062992125984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workbookViewId="0">
      <pane ySplit="1" topLeftCell="A8" activePane="bottomLeft" state="frozen"/>
      <selection pane="bottomLeft" activeCell="Q31" sqref="Q31"/>
    </sheetView>
  </sheetViews>
  <sheetFormatPr defaultColWidth="8.85546875" defaultRowHeight="15.75" x14ac:dyDescent="0.25"/>
  <cols>
    <col min="1" max="4" width="11.1406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9" width="13.7109375" style="98" customWidth="1"/>
    <col min="10" max="12" width="11.28515625" style="98" customWidth="1"/>
    <col min="13" max="13" width="10.5703125" style="102" customWidth="1"/>
    <col min="14" max="14" width="14.42578125" style="102" bestFit="1" customWidth="1"/>
    <col min="15" max="16" width="8.85546875" style="98"/>
    <col min="17" max="17" width="14.42578125" style="98" bestFit="1" customWidth="1"/>
    <col min="18" max="18" width="11.28515625" style="98" customWidth="1"/>
    <col min="19" max="19" width="11.5703125" style="98" customWidth="1"/>
    <col min="20" max="16384" width="8.85546875" style="98"/>
  </cols>
  <sheetData>
    <row r="1" spans="1:25" s="93" customFormat="1" ht="68.25" thickBot="1" x14ac:dyDescent="0.3">
      <c r="A1" s="90" t="s">
        <v>60</v>
      </c>
      <c r="B1" s="138" t="s">
        <v>12</v>
      </c>
      <c r="C1" s="90"/>
      <c r="D1" s="90"/>
      <c r="E1" s="91" t="s">
        <v>61</v>
      </c>
      <c r="F1" s="91" t="s">
        <v>62</v>
      </c>
      <c r="G1" s="91"/>
      <c r="H1" s="90" t="s">
        <v>63</v>
      </c>
      <c r="I1" s="90" t="s">
        <v>64</v>
      </c>
      <c r="J1" s="138" t="s">
        <v>12</v>
      </c>
      <c r="K1" s="90"/>
      <c r="L1" s="90"/>
      <c r="M1" s="91" t="s">
        <v>61</v>
      </c>
      <c r="N1" s="91" t="s">
        <v>62</v>
      </c>
      <c r="O1" s="92"/>
      <c r="P1" s="92"/>
      <c r="Q1" s="138" t="s">
        <v>12</v>
      </c>
      <c r="R1" s="90"/>
      <c r="S1" s="90"/>
      <c r="T1" s="90"/>
      <c r="U1" s="90"/>
    </row>
    <row r="2" spans="1:25" x14ac:dyDescent="0.25">
      <c r="A2" s="94" t="s">
        <v>65</v>
      </c>
      <c r="B2" s="95"/>
      <c r="C2" s="95"/>
      <c r="D2" s="95"/>
      <c r="E2" s="96"/>
      <c r="F2" s="96"/>
      <c r="G2" s="97"/>
      <c r="H2" s="94" t="s">
        <v>65</v>
      </c>
      <c r="I2" s="95"/>
      <c r="J2" s="95"/>
      <c r="K2" s="95"/>
      <c r="L2" s="95"/>
      <c r="M2" s="96"/>
      <c r="N2" s="96"/>
      <c r="P2" s="99"/>
      <c r="Q2" s="100">
        <f>0+B36-J36</f>
        <v>1400</v>
      </c>
      <c r="R2" s="100">
        <f>0+C36-K36</f>
        <v>0</v>
      </c>
      <c r="S2" s="100">
        <f>0+D36-L36</f>
        <v>0</v>
      </c>
      <c r="T2" s="100"/>
      <c r="U2" s="100"/>
      <c r="V2" s="99"/>
      <c r="W2" s="99"/>
      <c r="X2" s="99"/>
      <c r="Y2" s="99"/>
    </row>
    <row r="3" spans="1:25" x14ac:dyDescent="0.25">
      <c r="A3" s="101">
        <v>45635</v>
      </c>
      <c r="B3" s="100">
        <v>10000</v>
      </c>
      <c r="C3" s="100"/>
      <c r="D3" s="100"/>
      <c r="E3" s="96">
        <v>3.86</v>
      </c>
      <c r="F3" s="96">
        <f>B3*E3+C3*E3+D3*E3</f>
        <v>38600</v>
      </c>
      <c r="G3" s="97"/>
      <c r="H3" s="101">
        <v>45636</v>
      </c>
      <c r="I3" s="95" t="s">
        <v>66</v>
      </c>
      <c r="J3" s="100">
        <v>126</v>
      </c>
      <c r="K3" s="100"/>
      <c r="L3" s="100"/>
      <c r="M3" s="96">
        <v>3.86</v>
      </c>
      <c r="N3" s="96">
        <f>J3*M3+K3*M3+L3*M3</f>
        <v>486.35999999999996</v>
      </c>
      <c r="Q3" s="96">
        <v>3.86</v>
      </c>
      <c r="R3" s="96">
        <v>4.25</v>
      </c>
      <c r="S3" s="96">
        <v>408.2</v>
      </c>
      <c r="T3" s="96"/>
      <c r="U3" s="96"/>
      <c r="V3" s="102"/>
      <c r="W3" s="102"/>
      <c r="X3" s="102"/>
    </row>
    <row r="4" spans="1:25" x14ac:dyDescent="0.25">
      <c r="A4" s="101"/>
      <c r="B4" s="100"/>
      <c r="C4" s="100"/>
      <c r="D4" s="100"/>
      <c r="E4" s="96"/>
      <c r="F4" s="96">
        <f t="shared" ref="F4:F35" si="0">B4*E4+C4*E4+D4*E4</f>
        <v>0</v>
      </c>
      <c r="G4" s="97"/>
      <c r="H4" s="101">
        <v>45637</v>
      </c>
      <c r="I4" s="95" t="s">
        <v>66</v>
      </c>
      <c r="J4" s="100">
        <v>777</v>
      </c>
      <c r="K4" s="100"/>
      <c r="L4" s="100"/>
      <c r="M4" s="96">
        <v>3.86</v>
      </c>
      <c r="N4" s="96">
        <f t="shared" ref="N4:N35" si="1">J4*M4+K4*M4+L4*M4</f>
        <v>2999.22</v>
      </c>
      <c r="Q4" s="96">
        <f>Q2*Q3</f>
        <v>5404</v>
      </c>
      <c r="R4" s="96">
        <f>R2*R3</f>
        <v>0</v>
      </c>
      <c r="S4" s="96">
        <f>S2*S3</f>
        <v>0</v>
      </c>
      <c r="T4" s="96"/>
      <c r="U4" s="96"/>
      <c r="V4" s="102"/>
      <c r="W4" s="102"/>
      <c r="X4" s="102"/>
    </row>
    <row r="5" spans="1:25" x14ac:dyDescent="0.25">
      <c r="A5" s="95"/>
      <c r="B5" s="100"/>
      <c r="C5" s="100"/>
      <c r="D5" s="100"/>
      <c r="E5" s="96"/>
      <c r="F5" s="96">
        <f t="shared" si="0"/>
        <v>0</v>
      </c>
      <c r="G5" s="97"/>
      <c r="H5" s="101">
        <v>45638</v>
      </c>
      <c r="I5" s="95" t="s">
        <v>66</v>
      </c>
      <c r="J5" s="100">
        <v>932</v>
      </c>
      <c r="K5" s="100"/>
      <c r="L5" s="100"/>
      <c r="M5" s="96">
        <v>3.86</v>
      </c>
      <c r="N5" s="96">
        <f t="shared" si="1"/>
        <v>3597.52</v>
      </c>
    </row>
    <row r="6" spans="1:25" x14ac:dyDescent="0.25">
      <c r="A6" s="95"/>
      <c r="B6" s="100"/>
      <c r="C6" s="100"/>
      <c r="D6" s="100"/>
      <c r="E6" s="96"/>
      <c r="F6" s="96">
        <f t="shared" si="0"/>
        <v>0</v>
      </c>
      <c r="G6" s="97"/>
      <c r="H6" s="101">
        <v>45642</v>
      </c>
      <c r="I6" s="95" t="s">
        <v>66</v>
      </c>
      <c r="J6" s="100">
        <v>322</v>
      </c>
      <c r="K6" s="100"/>
      <c r="L6" s="100"/>
      <c r="M6" s="96">
        <v>3.86</v>
      </c>
      <c r="N6" s="96">
        <f t="shared" si="1"/>
        <v>1242.92</v>
      </c>
    </row>
    <row r="7" spans="1:25" x14ac:dyDescent="0.25">
      <c r="A7" s="95"/>
      <c r="B7" s="100"/>
      <c r="C7" s="100"/>
      <c r="D7" s="100"/>
      <c r="E7" s="96"/>
      <c r="F7" s="96">
        <f t="shared" si="0"/>
        <v>0</v>
      </c>
      <c r="G7" s="97"/>
      <c r="H7" s="101">
        <v>45643</v>
      </c>
      <c r="I7" s="95" t="s">
        <v>66</v>
      </c>
      <c r="J7" s="100">
        <v>322</v>
      </c>
      <c r="K7" s="100"/>
      <c r="L7" s="100"/>
      <c r="M7" s="96">
        <v>3.86</v>
      </c>
      <c r="N7" s="96">
        <f t="shared" si="1"/>
        <v>1242.92</v>
      </c>
    </row>
    <row r="8" spans="1:25" x14ac:dyDescent="0.25">
      <c r="A8" s="95"/>
      <c r="B8" s="100"/>
      <c r="C8" s="100"/>
      <c r="D8" s="100"/>
      <c r="E8" s="96"/>
      <c r="F8" s="96">
        <f t="shared" si="0"/>
        <v>0</v>
      </c>
      <c r="G8" s="97"/>
      <c r="H8" s="101">
        <v>45644</v>
      </c>
      <c r="I8" s="95" t="s">
        <v>66</v>
      </c>
      <c r="J8" s="100">
        <v>322</v>
      </c>
      <c r="K8" s="100"/>
      <c r="L8" s="100"/>
      <c r="M8" s="96">
        <v>3.86</v>
      </c>
      <c r="N8" s="96">
        <f t="shared" si="1"/>
        <v>1242.92</v>
      </c>
    </row>
    <row r="9" spans="1:25" x14ac:dyDescent="0.25">
      <c r="A9" s="95"/>
      <c r="B9" s="100"/>
      <c r="C9" s="100"/>
      <c r="D9" s="100"/>
      <c r="E9" s="96"/>
      <c r="F9" s="96">
        <f t="shared" si="0"/>
        <v>0</v>
      </c>
      <c r="G9" s="97"/>
      <c r="H9" s="101">
        <v>45646</v>
      </c>
      <c r="I9" s="95" t="s">
        <v>66</v>
      </c>
      <c r="J9" s="100">
        <v>490</v>
      </c>
      <c r="K9" s="100"/>
      <c r="L9" s="100"/>
      <c r="M9" s="96">
        <v>3.86</v>
      </c>
      <c r="N9" s="96">
        <f t="shared" si="1"/>
        <v>1891.3999999999999</v>
      </c>
    </row>
    <row r="10" spans="1:25" x14ac:dyDescent="0.25">
      <c r="A10" s="101"/>
      <c r="B10" s="100"/>
      <c r="C10" s="100"/>
      <c r="D10" s="100"/>
      <c r="E10" s="96"/>
      <c r="F10" s="96">
        <f t="shared" si="0"/>
        <v>0</v>
      </c>
      <c r="G10" s="97"/>
      <c r="H10" s="101">
        <v>45649</v>
      </c>
      <c r="I10" s="95" t="s">
        <v>66</v>
      </c>
      <c r="J10" s="100">
        <v>161</v>
      </c>
      <c r="K10" s="100"/>
      <c r="L10" s="100"/>
      <c r="M10" s="96">
        <v>3.86</v>
      </c>
      <c r="N10" s="96">
        <f t="shared" si="1"/>
        <v>621.46</v>
      </c>
    </row>
    <row r="11" spans="1:25" x14ac:dyDescent="0.25">
      <c r="A11" s="95"/>
      <c r="B11" s="100"/>
      <c r="C11" s="100"/>
      <c r="D11" s="100"/>
      <c r="E11" s="96"/>
      <c r="F11" s="96">
        <f t="shared" si="0"/>
        <v>0</v>
      </c>
      <c r="G11" s="97"/>
      <c r="H11" s="146">
        <v>45651</v>
      </c>
      <c r="I11" s="95" t="s">
        <v>66</v>
      </c>
      <c r="J11" s="100">
        <v>1302</v>
      </c>
      <c r="K11" s="100"/>
      <c r="L11" s="100"/>
      <c r="M11" s="96">
        <v>3.86</v>
      </c>
      <c r="N11" s="96">
        <f t="shared" si="1"/>
        <v>5025.72</v>
      </c>
    </row>
    <row r="12" spans="1:25" x14ac:dyDescent="0.25">
      <c r="A12" s="95"/>
      <c r="B12" s="100"/>
      <c r="C12" s="100"/>
      <c r="D12" s="100"/>
      <c r="E12" s="96"/>
      <c r="F12" s="96">
        <f t="shared" si="0"/>
        <v>0</v>
      </c>
      <c r="G12" s="97"/>
      <c r="H12" s="146">
        <v>45652</v>
      </c>
      <c r="I12" s="95" t="s">
        <v>66</v>
      </c>
      <c r="J12" s="100">
        <v>1092</v>
      </c>
      <c r="K12" s="100"/>
      <c r="L12" s="100"/>
      <c r="M12" s="96">
        <v>3.86</v>
      </c>
      <c r="N12" s="96">
        <f t="shared" si="1"/>
        <v>4215.12</v>
      </c>
    </row>
    <row r="13" spans="1:25" x14ac:dyDescent="0.25">
      <c r="A13" s="147"/>
      <c r="B13" s="148"/>
      <c r="C13" s="148"/>
      <c r="D13" s="148"/>
      <c r="E13" s="149"/>
      <c r="F13" s="149">
        <f t="shared" si="0"/>
        <v>0</v>
      </c>
      <c r="G13" s="149"/>
      <c r="H13" s="147" t="s">
        <v>67</v>
      </c>
      <c r="I13" s="147"/>
      <c r="J13" s="148"/>
      <c r="K13" s="148"/>
      <c r="L13" s="148"/>
      <c r="M13" s="149"/>
      <c r="N13" s="149">
        <f t="shared" si="1"/>
        <v>0</v>
      </c>
    </row>
    <row r="14" spans="1:25" x14ac:dyDescent="0.25">
      <c r="A14" s="95"/>
      <c r="B14" s="100"/>
      <c r="C14" s="100"/>
      <c r="D14" s="100"/>
      <c r="E14" s="96"/>
      <c r="F14" s="96">
        <f t="shared" si="0"/>
        <v>0</v>
      </c>
      <c r="G14" s="97"/>
      <c r="H14" s="101">
        <v>45666</v>
      </c>
      <c r="I14" s="95" t="s">
        <v>66</v>
      </c>
      <c r="J14" s="100">
        <v>266</v>
      </c>
      <c r="K14" s="100"/>
      <c r="L14" s="100"/>
      <c r="M14" s="96">
        <v>3.86</v>
      </c>
      <c r="N14" s="96">
        <f t="shared" si="1"/>
        <v>1026.76</v>
      </c>
    </row>
    <row r="15" spans="1:25" x14ac:dyDescent="0.25">
      <c r="A15" s="95"/>
      <c r="B15" s="100"/>
      <c r="C15" s="100"/>
      <c r="D15" s="100"/>
      <c r="E15" s="96"/>
      <c r="F15" s="96">
        <f t="shared" si="0"/>
        <v>0</v>
      </c>
      <c r="G15" s="97"/>
      <c r="H15" s="101">
        <v>45667</v>
      </c>
      <c r="I15" s="95" t="s">
        <v>66</v>
      </c>
      <c r="J15" s="100">
        <v>259</v>
      </c>
      <c r="K15" s="100"/>
      <c r="L15" s="100"/>
      <c r="M15" s="96">
        <v>3.86</v>
      </c>
      <c r="N15" s="96">
        <f t="shared" si="1"/>
        <v>999.74</v>
      </c>
    </row>
    <row r="16" spans="1:25" x14ac:dyDescent="0.25">
      <c r="A16" s="95"/>
      <c r="B16" s="100"/>
      <c r="C16" s="100"/>
      <c r="D16" s="100"/>
      <c r="E16" s="96"/>
      <c r="F16" s="96">
        <f t="shared" si="0"/>
        <v>0</v>
      </c>
      <c r="G16" s="97"/>
      <c r="H16" s="101">
        <v>45670</v>
      </c>
      <c r="I16" s="95" t="s">
        <v>66</v>
      </c>
      <c r="J16" s="100">
        <v>392</v>
      </c>
      <c r="K16" s="100"/>
      <c r="L16" s="100"/>
      <c r="M16" s="96">
        <v>3.86</v>
      </c>
      <c r="N16" s="96">
        <f t="shared" si="1"/>
        <v>1513.12</v>
      </c>
    </row>
    <row r="17" spans="1:14" x14ac:dyDescent="0.25">
      <c r="A17" s="95"/>
      <c r="B17" s="100"/>
      <c r="C17" s="100"/>
      <c r="D17" s="100"/>
      <c r="E17" s="96"/>
      <c r="F17" s="96">
        <f t="shared" si="0"/>
        <v>0</v>
      </c>
      <c r="G17" s="97"/>
      <c r="H17" s="101">
        <v>45671</v>
      </c>
      <c r="I17" s="95" t="s">
        <v>66</v>
      </c>
      <c r="J17" s="100">
        <v>882</v>
      </c>
      <c r="K17" s="100"/>
      <c r="L17" s="100"/>
      <c r="M17" s="96">
        <v>3.86</v>
      </c>
      <c r="N17" s="96">
        <f t="shared" si="1"/>
        <v>3404.52</v>
      </c>
    </row>
    <row r="18" spans="1:14" x14ac:dyDescent="0.25">
      <c r="A18" s="95"/>
      <c r="B18" s="100"/>
      <c r="C18" s="100"/>
      <c r="D18" s="100"/>
      <c r="E18" s="96"/>
      <c r="F18" s="96">
        <f t="shared" si="0"/>
        <v>0</v>
      </c>
      <c r="G18" s="97"/>
      <c r="H18" s="101">
        <v>45672</v>
      </c>
      <c r="I18" s="95" t="s">
        <v>66</v>
      </c>
      <c r="J18" s="100">
        <v>238</v>
      </c>
      <c r="K18" s="100"/>
      <c r="L18" s="100"/>
      <c r="M18" s="96">
        <v>3.86</v>
      </c>
      <c r="N18" s="96">
        <f t="shared" si="1"/>
        <v>918.68</v>
      </c>
    </row>
    <row r="19" spans="1:14" x14ac:dyDescent="0.25">
      <c r="A19" s="95"/>
      <c r="B19" s="100"/>
      <c r="C19" s="100"/>
      <c r="D19" s="100"/>
      <c r="E19" s="96"/>
      <c r="F19" s="96">
        <f t="shared" si="0"/>
        <v>0</v>
      </c>
      <c r="G19" s="97"/>
      <c r="H19" s="101">
        <v>45673</v>
      </c>
      <c r="I19" s="95" t="s">
        <v>66</v>
      </c>
      <c r="J19" s="100">
        <v>217</v>
      </c>
      <c r="K19" s="100"/>
      <c r="L19" s="100"/>
      <c r="M19" s="96">
        <v>3.86</v>
      </c>
      <c r="N19" s="96">
        <f t="shared" si="1"/>
        <v>837.62</v>
      </c>
    </row>
    <row r="20" spans="1:14" x14ac:dyDescent="0.25">
      <c r="A20" s="95"/>
      <c r="B20" s="100"/>
      <c r="C20" s="100"/>
      <c r="D20" s="100"/>
      <c r="E20" s="96"/>
      <c r="F20" s="96">
        <f t="shared" si="0"/>
        <v>0</v>
      </c>
      <c r="G20" s="97"/>
      <c r="H20" s="101">
        <v>45674</v>
      </c>
      <c r="I20" s="95" t="s">
        <v>66</v>
      </c>
      <c r="J20" s="100">
        <v>1900</v>
      </c>
      <c r="K20" s="100"/>
      <c r="L20" s="100"/>
      <c r="M20" s="96">
        <v>3.86</v>
      </c>
      <c r="N20" s="96">
        <f t="shared" si="1"/>
        <v>7334</v>
      </c>
    </row>
    <row r="21" spans="1:14" x14ac:dyDescent="0.25">
      <c r="A21" s="101">
        <v>45707</v>
      </c>
      <c r="B21" s="100">
        <v>5000</v>
      </c>
      <c r="C21" s="100"/>
      <c r="D21" s="100"/>
      <c r="E21" s="96">
        <v>3.86</v>
      </c>
      <c r="F21" s="96">
        <f t="shared" si="0"/>
        <v>19300</v>
      </c>
      <c r="G21" s="97"/>
      <c r="H21" s="101"/>
      <c r="I21" s="95"/>
      <c r="J21" s="100"/>
      <c r="K21" s="100"/>
      <c r="L21" s="100"/>
      <c r="M21" s="96"/>
      <c r="N21" s="96">
        <f t="shared" si="1"/>
        <v>0</v>
      </c>
    </row>
    <row r="22" spans="1:14" ht="16.5" thickBot="1" x14ac:dyDescent="0.3">
      <c r="A22" s="147"/>
      <c r="B22" s="148"/>
      <c r="C22" s="148"/>
      <c r="D22" s="148"/>
      <c r="E22" s="149"/>
      <c r="F22" s="149">
        <f t="shared" si="0"/>
        <v>0</v>
      </c>
      <c r="G22" s="149"/>
      <c r="H22" s="202" t="s">
        <v>68</v>
      </c>
      <c r="I22" s="180"/>
      <c r="J22" s="181"/>
      <c r="K22" s="181"/>
      <c r="L22" s="181"/>
      <c r="M22" s="182"/>
      <c r="N22" s="182">
        <f t="shared" si="1"/>
        <v>0</v>
      </c>
    </row>
    <row r="23" spans="1:14" ht="16.5" thickBot="1" x14ac:dyDescent="0.3">
      <c r="A23" s="95"/>
      <c r="B23" s="100"/>
      <c r="C23" s="100"/>
      <c r="D23" s="100"/>
      <c r="E23" s="96"/>
      <c r="F23" s="96">
        <f t="shared" si="0"/>
        <v>0</v>
      </c>
      <c r="G23" s="179"/>
      <c r="H23" s="205">
        <v>45741</v>
      </c>
      <c r="I23" s="206" t="s">
        <v>66</v>
      </c>
      <c r="J23" s="207">
        <v>1800</v>
      </c>
      <c r="K23" s="207"/>
      <c r="L23" s="207"/>
      <c r="M23" s="208">
        <v>3.86</v>
      </c>
      <c r="N23" s="209">
        <f t="shared" si="1"/>
        <v>6948</v>
      </c>
    </row>
    <row r="24" spans="1:14" x14ac:dyDescent="0.25">
      <c r="A24" s="255" t="s">
        <v>99</v>
      </c>
      <c r="B24" s="248"/>
      <c r="C24" s="248"/>
      <c r="D24" s="248"/>
      <c r="E24" s="249"/>
      <c r="F24" s="249">
        <f t="shared" si="0"/>
        <v>0</v>
      </c>
      <c r="G24" s="249"/>
      <c r="H24" s="255" t="s">
        <v>99</v>
      </c>
      <c r="I24" s="252"/>
      <c r="J24" s="253"/>
      <c r="K24" s="253"/>
      <c r="L24" s="253"/>
      <c r="M24" s="254"/>
      <c r="N24" s="254">
        <f t="shared" si="1"/>
        <v>0</v>
      </c>
    </row>
    <row r="25" spans="1:14" x14ac:dyDescent="0.25">
      <c r="A25" s="95"/>
      <c r="B25" s="100"/>
      <c r="C25" s="100"/>
      <c r="D25" s="100"/>
      <c r="E25" s="96"/>
      <c r="F25" s="96">
        <f t="shared" si="0"/>
        <v>0</v>
      </c>
      <c r="G25" s="97"/>
      <c r="H25" s="101"/>
      <c r="I25" s="95"/>
      <c r="J25" s="100">
        <v>1800</v>
      </c>
      <c r="K25" s="100"/>
      <c r="L25" s="100"/>
      <c r="M25" s="96">
        <v>3.86</v>
      </c>
      <c r="N25" s="96">
        <f t="shared" si="1"/>
        <v>6948</v>
      </c>
    </row>
    <row r="26" spans="1:14" x14ac:dyDescent="0.25">
      <c r="A26" s="95"/>
      <c r="B26" s="100"/>
      <c r="C26" s="100"/>
      <c r="D26" s="100"/>
      <c r="E26" s="96"/>
      <c r="F26" s="96">
        <f t="shared" si="0"/>
        <v>0</v>
      </c>
      <c r="G26" s="97"/>
      <c r="H26" s="101"/>
      <c r="I26" s="95"/>
      <c r="J26" s="100"/>
      <c r="K26" s="100"/>
      <c r="L26" s="100"/>
      <c r="M26" s="96"/>
      <c r="N26" s="96">
        <f t="shared" si="1"/>
        <v>0</v>
      </c>
    </row>
    <row r="27" spans="1:14" x14ac:dyDescent="0.25">
      <c r="A27" s="95"/>
      <c r="B27" s="100"/>
      <c r="C27" s="100"/>
      <c r="D27" s="100"/>
      <c r="E27" s="96"/>
      <c r="F27" s="96">
        <f t="shared" si="0"/>
        <v>0</v>
      </c>
      <c r="G27" s="97"/>
      <c r="H27" s="101"/>
      <c r="I27" s="95"/>
      <c r="J27" s="100"/>
      <c r="K27" s="100"/>
      <c r="L27" s="100"/>
      <c r="M27" s="96"/>
      <c r="N27" s="96">
        <f t="shared" si="1"/>
        <v>0</v>
      </c>
    </row>
    <row r="28" spans="1:14" x14ac:dyDescent="0.25">
      <c r="A28" s="95"/>
      <c r="B28" s="100"/>
      <c r="C28" s="100"/>
      <c r="D28" s="100"/>
      <c r="E28" s="96"/>
      <c r="F28" s="96">
        <f t="shared" si="0"/>
        <v>0</v>
      </c>
      <c r="G28" s="97"/>
      <c r="H28" s="101"/>
      <c r="I28" s="95"/>
      <c r="J28" s="100"/>
      <c r="K28" s="100"/>
      <c r="L28" s="100"/>
      <c r="M28" s="96"/>
      <c r="N28" s="96">
        <f t="shared" si="1"/>
        <v>0</v>
      </c>
    </row>
    <row r="29" spans="1:14" x14ac:dyDescent="0.25">
      <c r="A29" s="95"/>
      <c r="B29" s="100"/>
      <c r="C29" s="100"/>
      <c r="D29" s="100"/>
      <c r="E29" s="96"/>
      <c r="F29" s="96">
        <f t="shared" si="0"/>
        <v>0</v>
      </c>
      <c r="G29" s="97"/>
      <c r="H29" s="101"/>
      <c r="I29" s="95"/>
      <c r="J29" s="100"/>
      <c r="K29" s="100"/>
      <c r="L29" s="100"/>
      <c r="M29" s="96"/>
      <c r="N29" s="96">
        <f t="shared" si="1"/>
        <v>0</v>
      </c>
    </row>
    <row r="30" spans="1:14" x14ac:dyDescent="0.25">
      <c r="A30" s="95"/>
      <c r="B30" s="100"/>
      <c r="C30" s="100"/>
      <c r="D30" s="100"/>
      <c r="E30" s="96"/>
      <c r="F30" s="96">
        <f t="shared" si="0"/>
        <v>0</v>
      </c>
      <c r="G30" s="97"/>
      <c r="H30" s="101"/>
      <c r="I30" s="95"/>
      <c r="J30" s="100"/>
      <c r="K30" s="100"/>
      <c r="L30" s="100"/>
      <c r="M30" s="96"/>
      <c r="N30" s="96">
        <f t="shared" si="1"/>
        <v>0</v>
      </c>
    </row>
    <row r="31" spans="1:14" x14ac:dyDescent="0.25">
      <c r="A31" s="95"/>
      <c r="B31" s="100"/>
      <c r="C31" s="100"/>
      <c r="D31" s="100"/>
      <c r="E31" s="96"/>
      <c r="F31" s="96">
        <f t="shared" si="0"/>
        <v>0</v>
      </c>
      <c r="G31" s="97"/>
      <c r="H31" s="101"/>
      <c r="I31" s="95"/>
      <c r="J31" s="100"/>
      <c r="K31" s="100"/>
      <c r="L31" s="100"/>
      <c r="M31" s="96"/>
      <c r="N31" s="96">
        <f t="shared" si="1"/>
        <v>0</v>
      </c>
    </row>
    <row r="32" spans="1:14" x14ac:dyDescent="0.25">
      <c r="A32" s="95"/>
      <c r="B32" s="100"/>
      <c r="C32" s="100"/>
      <c r="D32" s="100"/>
      <c r="E32" s="96"/>
      <c r="F32" s="96">
        <f t="shared" si="0"/>
        <v>0</v>
      </c>
      <c r="G32" s="97"/>
      <c r="H32" s="101"/>
      <c r="I32" s="95"/>
      <c r="J32" s="100"/>
      <c r="K32" s="100"/>
      <c r="L32" s="100"/>
      <c r="M32" s="96"/>
      <c r="N32" s="96">
        <f t="shared" si="1"/>
        <v>0</v>
      </c>
    </row>
    <row r="33" spans="1:14" x14ac:dyDescent="0.25">
      <c r="A33" s="95"/>
      <c r="B33" s="100"/>
      <c r="C33" s="100"/>
      <c r="D33" s="100"/>
      <c r="E33" s="96"/>
      <c r="F33" s="96">
        <f t="shared" si="0"/>
        <v>0</v>
      </c>
      <c r="G33" s="97"/>
      <c r="H33" s="95"/>
      <c r="I33" s="95"/>
      <c r="J33" s="100"/>
      <c r="K33" s="100"/>
      <c r="L33" s="100"/>
      <c r="M33" s="96"/>
      <c r="N33" s="96">
        <f t="shared" si="1"/>
        <v>0</v>
      </c>
    </row>
    <row r="34" spans="1:14" x14ac:dyDescent="0.25">
      <c r="A34" s="95"/>
      <c r="B34" s="100"/>
      <c r="C34" s="100"/>
      <c r="D34" s="100"/>
      <c r="E34" s="96"/>
      <c r="F34" s="96">
        <f t="shared" si="0"/>
        <v>0</v>
      </c>
      <c r="G34" s="97"/>
      <c r="H34" s="95"/>
      <c r="I34" s="95"/>
      <c r="J34" s="100"/>
      <c r="K34" s="100"/>
      <c r="L34" s="100"/>
      <c r="M34" s="96"/>
      <c r="N34" s="96">
        <f t="shared" si="1"/>
        <v>0</v>
      </c>
    </row>
    <row r="35" spans="1:14" x14ac:dyDescent="0.25">
      <c r="A35" s="95"/>
      <c r="B35" s="100"/>
      <c r="C35" s="100"/>
      <c r="D35" s="100"/>
      <c r="E35" s="96"/>
      <c r="F35" s="96">
        <f t="shared" si="0"/>
        <v>0</v>
      </c>
      <c r="G35" s="97"/>
      <c r="H35" s="95"/>
      <c r="I35" s="95"/>
      <c r="J35" s="100"/>
      <c r="K35" s="100"/>
      <c r="L35" s="100"/>
      <c r="M35" s="96"/>
      <c r="N35" s="96">
        <f t="shared" si="1"/>
        <v>0</v>
      </c>
    </row>
    <row r="36" spans="1:14" x14ac:dyDescent="0.25">
      <c r="A36" s="95"/>
      <c r="B36" s="100">
        <f>SUM(B3:B35)</f>
        <v>15000</v>
      </c>
      <c r="C36" s="100">
        <f t="shared" ref="C36:D36" si="2">SUM(C3:C35)</f>
        <v>0</v>
      </c>
      <c r="D36" s="100">
        <f t="shared" si="2"/>
        <v>0</v>
      </c>
      <c r="E36" s="96"/>
      <c r="F36" s="96"/>
      <c r="G36" s="97"/>
      <c r="H36" s="95"/>
      <c r="I36" s="95"/>
      <c r="J36" s="100">
        <f>SUM(J3:J35)</f>
        <v>13600</v>
      </c>
      <c r="K36" s="100">
        <f t="shared" ref="K36:L36" si="3">SUM(K3:K35)</f>
        <v>0</v>
      </c>
      <c r="L36" s="100">
        <f t="shared" si="3"/>
        <v>0</v>
      </c>
      <c r="M36" s="96"/>
      <c r="N36" s="9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9"/>
  <sheetViews>
    <sheetView workbookViewId="0">
      <pane ySplit="1" topLeftCell="A17" activePane="bottomLeft" state="frozen"/>
      <selection pane="bottomLeft" activeCell="P44" sqref="P44"/>
    </sheetView>
  </sheetViews>
  <sheetFormatPr defaultColWidth="8.85546875" defaultRowHeight="15.75" x14ac:dyDescent="0.25"/>
  <cols>
    <col min="1" max="1" width="11.140625" style="98" customWidth="1"/>
    <col min="2" max="4" width="12.425781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9" width="13.7109375" style="98" customWidth="1"/>
    <col min="10" max="12" width="13.28515625" style="98" customWidth="1"/>
    <col min="13" max="13" width="10.5703125" style="102" customWidth="1"/>
    <col min="14" max="14" width="14.42578125" style="102" bestFit="1" customWidth="1"/>
    <col min="15" max="16" width="8.85546875" style="98"/>
    <col min="17" max="17" width="14.42578125" style="98" bestFit="1" customWidth="1"/>
    <col min="18" max="18" width="12.7109375" style="98" customWidth="1"/>
    <col min="19" max="16384" width="8.85546875" style="98"/>
  </cols>
  <sheetData>
    <row r="1" spans="1:25" s="93" customFormat="1" ht="71.25" x14ac:dyDescent="0.25">
      <c r="A1" s="90" t="s">
        <v>60</v>
      </c>
      <c r="B1" s="90" t="s">
        <v>2</v>
      </c>
      <c r="C1" s="90" t="s">
        <v>44</v>
      </c>
      <c r="D1" s="90"/>
      <c r="E1" s="91" t="s">
        <v>61</v>
      </c>
      <c r="F1" s="91" t="s">
        <v>62</v>
      </c>
      <c r="G1" s="91"/>
      <c r="H1" s="90" t="s">
        <v>63</v>
      </c>
      <c r="I1" s="90" t="s">
        <v>64</v>
      </c>
      <c r="J1" s="90" t="s">
        <v>2</v>
      </c>
      <c r="K1" s="90" t="s">
        <v>44</v>
      </c>
      <c r="L1" s="90"/>
      <c r="M1" s="91" t="s">
        <v>61</v>
      </c>
      <c r="N1" s="91" t="s">
        <v>62</v>
      </c>
      <c r="O1" s="92"/>
      <c r="P1" s="92"/>
      <c r="Q1" s="90" t="s">
        <v>2</v>
      </c>
      <c r="R1" s="90" t="s">
        <v>44</v>
      </c>
      <c r="S1" s="90"/>
      <c r="T1" s="90"/>
      <c r="U1" s="90"/>
    </row>
    <row r="2" spans="1:25" ht="16.5" thickBot="1" x14ac:dyDescent="0.3">
      <c r="A2" s="151" t="s">
        <v>67</v>
      </c>
      <c r="B2" s="95"/>
      <c r="C2" s="95"/>
      <c r="D2" s="95"/>
      <c r="E2" s="96"/>
      <c r="F2" s="96"/>
      <c r="G2" s="97"/>
      <c r="H2" s="199" t="s">
        <v>67</v>
      </c>
      <c r="I2" s="200"/>
      <c r="J2" s="200"/>
      <c r="K2" s="200"/>
      <c r="L2" s="200"/>
      <c r="M2" s="201"/>
      <c r="N2" s="201"/>
      <c r="P2" s="99"/>
      <c r="Q2" s="100">
        <f>0+B39-J39</f>
        <v>0</v>
      </c>
      <c r="R2" s="100">
        <f>0+C39-K39</f>
        <v>290</v>
      </c>
      <c r="S2" s="100"/>
      <c r="T2" s="100"/>
      <c r="U2" s="100"/>
      <c r="V2" s="99"/>
      <c r="W2" s="99"/>
      <c r="X2" s="99"/>
      <c r="Y2" s="99"/>
    </row>
    <row r="3" spans="1:25" x14ac:dyDescent="0.25">
      <c r="A3" s="101">
        <v>45674</v>
      </c>
      <c r="B3" s="100">
        <v>59760</v>
      </c>
      <c r="C3" s="100"/>
      <c r="D3" s="100"/>
      <c r="E3" s="96">
        <v>4.95</v>
      </c>
      <c r="F3" s="96">
        <f>B3*E3+C3*E3+D3*E3</f>
        <v>295812</v>
      </c>
      <c r="G3" s="179"/>
      <c r="H3" s="187">
        <v>45719</v>
      </c>
      <c r="I3" s="188" t="s">
        <v>66</v>
      </c>
      <c r="J3" s="189">
        <v>2070</v>
      </c>
      <c r="K3" s="189"/>
      <c r="L3" s="189"/>
      <c r="M3" s="190">
        <v>4.95</v>
      </c>
      <c r="N3" s="191">
        <f>J3*M3+K3*M3+L3*M3</f>
        <v>10246.5</v>
      </c>
      <c r="Q3" s="96">
        <v>4.95</v>
      </c>
      <c r="R3" s="96">
        <v>33</v>
      </c>
      <c r="S3" s="96"/>
      <c r="T3" s="96"/>
      <c r="U3" s="96"/>
      <c r="V3" s="102"/>
      <c r="W3" s="102"/>
      <c r="X3" s="102"/>
    </row>
    <row r="4" spans="1:25" x14ac:dyDescent="0.25">
      <c r="A4" s="101">
        <v>45686</v>
      </c>
      <c r="B4" s="100"/>
      <c r="C4" s="100">
        <v>250</v>
      </c>
      <c r="D4" s="100"/>
      <c r="E4" s="96">
        <v>36.200000000000003</v>
      </c>
      <c r="F4" s="96">
        <f>B4*E4+C4*E4+D4*E4</f>
        <v>9050</v>
      </c>
      <c r="G4" s="179"/>
      <c r="H4" s="192">
        <v>45720</v>
      </c>
      <c r="I4" s="95" t="s">
        <v>66</v>
      </c>
      <c r="J4" s="100">
        <v>2160</v>
      </c>
      <c r="K4" s="100"/>
      <c r="L4" s="100"/>
      <c r="M4" s="96">
        <v>4.95</v>
      </c>
      <c r="N4" s="193">
        <f t="shared" ref="N4:N38" si="0">J4*M4+K4*M4+L4*M4</f>
        <v>10692</v>
      </c>
      <c r="Q4" s="160">
        <f>Q2*Q3</f>
        <v>0</v>
      </c>
      <c r="R4" s="160">
        <f>R2*R3</f>
        <v>9570</v>
      </c>
      <c r="S4" s="160"/>
      <c r="T4" s="160"/>
      <c r="U4" s="160"/>
      <c r="V4" s="102"/>
      <c r="W4" s="102"/>
      <c r="X4" s="102"/>
    </row>
    <row r="5" spans="1:25" x14ac:dyDescent="0.25">
      <c r="A5" s="95"/>
      <c r="B5" s="100"/>
      <c r="C5" s="100"/>
      <c r="D5" s="100"/>
      <c r="E5" s="96"/>
      <c r="F5" s="96"/>
      <c r="G5" s="179"/>
      <c r="H5" s="192">
        <v>45721</v>
      </c>
      <c r="I5" s="95" t="s">
        <v>66</v>
      </c>
      <c r="J5" s="100">
        <v>1440</v>
      </c>
      <c r="K5" s="100"/>
      <c r="L5" s="100"/>
      <c r="M5" s="96">
        <v>4.95</v>
      </c>
      <c r="N5" s="193">
        <f t="shared" si="0"/>
        <v>7128</v>
      </c>
    </row>
    <row r="6" spans="1:25" x14ac:dyDescent="0.25">
      <c r="A6" s="95"/>
      <c r="B6" s="100"/>
      <c r="C6" s="100"/>
      <c r="D6" s="100"/>
      <c r="E6" s="96"/>
      <c r="F6" s="96"/>
      <c r="G6" s="179"/>
      <c r="H6" s="192">
        <v>45722</v>
      </c>
      <c r="I6" s="95" t="s">
        <v>66</v>
      </c>
      <c r="J6" s="100">
        <v>2200</v>
      </c>
      <c r="K6" s="100"/>
      <c r="L6" s="100"/>
      <c r="M6" s="96">
        <v>4.95</v>
      </c>
      <c r="N6" s="193">
        <f t="shared" si="0"/>
        <v>10890</v>
      </c>
    </row>
    <row r="7" spans="1:25" ht="16.5" thickBot="1" x14ac:dyDescent="0.3">
      <c r="A7" s="95"/>
      <c r="B7" s="100"/>
      <c r="C7" s="100"/>
      <c r="D7" s="100"/>
      <c r="E7" s="96"/>
      <c r="F7" s="96"/>
      <c r="G7" s="179"/>
      <c r="H7" s="194">
        <v>45723</v>
      </c>
      <c r="I7" s="195" t="s">
        <v>66</v>
      </c>
      <c r="J7" s="196">
        <v>2880</v>
      </c>
      <c r="K7" s="196"/>
      <c r="L7" s="196"/>
      <c r="M7" s="197">
        <v>4.95</v>
      </c>
      <c r="N7" s="198">
        <f t="shared" si="0"/>
        <v>14256</v>
      </c>
    </row>
    <row r="8" spans="1:25" x14ac:dyDescent="0.25">
      <c r="A8" s="95"/>
      <c r="B8" s="100"/>
      <c r="C8" s="100"/>
      <c r="D8" s="100"/>
      <c r="E8" s="96"/>
      <c r="F8" s="96"/>
      <c r="G8" s="179"/>
      <c r="H8" s="187">
        <v>45726</v>
      </c>
      <c r="I8" s="188" t="s">
        <v>66</v>
      </c>
      <c r="J8" s="189">
        <v>2160</v>
      </c>
      <c r="K8" s="189"/>
      <c r="L8" s="189"/>
      <c r="M8" s="190">
        <v>4.95</v>
      </c>
      <c r="N8" s="191">
        <f t="shared" si="0"/>
        <v>10692</v>
      </c>
    </row>
    <row r="9" spans="1:25" x14ac:dyDescent="0.25">
      <c r="A9" s="95"/>
      <c r="B9" s="100"/>
      <c r="C9" s="100"/>
      <c r="D9" s="100"/>
      <c r="E9" s="96"/>
      <c r="F9" s="96"/>
      <c r="G9" s="179"/>
      <c r="H9" s="192">
        <v>45727</v>
      </c>
      <c r="I9" s="95" t="s">
        <v>66</v>
      </c>
      <c r="J9" s="100">
        <v>2880</v>
      </c>
      <c r="K9" s="100"/>
      <c r="L9" s="100"/>
      <c r="M9" s="96">
        <v>4.95</v>
      </c>
      <c r="N9" s="193">
        <f t="shared" si="0"/>
        <v>14256</v>
      </c>
    </row>
    <row r="10" spans="1:25" x14ac:dyDescent="0.25">
      <c r="A10" s="95"/>
      <c r="B10" s="100"/>
      <c r="C10" s="100"/>
      <c r="D10" s="100"/>
      <c r="E10" s="96"/>
      <c r="F10" s="96"/>
      <c r="G10" s="179"/>
      <c r="H10" s="192">
        <v>45728</v>
      </c>
      <c r="I10" s="95" t="s">
        <v>66</v>
      </c>
      <c r="J10" s="100">
        <v>3600</v>
      </c>
      <c r="K10" s="100"/>
      <c r="L10" s="100"/>
      <c r="M10" s="96">
        <v>4.95</v>
      </c>
      <c r="N10" s="193">
        <f t="shared" si="0"/>
        <v>17820</v>
      </c>
    </row>
    <row r="11" spans="1:25" x14ac:dyDescent="0.25">
      <c r="A11" s="95"/>
      <c r="B11" s="100"/>
      <c r="C11" s="100"/>
      <c r="D11" s="100"/>
      <c r="E11" s="96"/>
      <c r="F11" s="96"/>
      <c r="G11" s="179"/>
      <c r="H11" s="192">
        <v>45729</v>
      </c>
      <c r="I11" s="95" t="s">
        <v>66</v>
      </c>
      <c r="J11" s="100">
        <v>7200</v>
      </c>
      <c r="K11" s="100"/>
      <c r="L11" s="100"/>
      <c r="M11" s="96">
        <v>4.95</v>
      </c>
      <c r="N11" s="193">
        <f t="shared" si="0"/>
        <v>35640</v>
      </c>
    </row>
    <row r="12" spans="1:25" ht="16.5" thickBot="1" x14ac:dyDescent="0.3">
      <c r="A12" s="95"/>
      <c r="B12" s="100"/>
      <c r="C12" s="100"/>
      <c r="D12" s="100"/>
      <c r="E12" s="96"/>
      <c r="F12" s="96"/>
      <c r="G12" s="179"/>
      <c r="H12" s="194">
        <v>45730</v>
      </c>
      <c r="I12" s="195" t="s">
        <v>66</v>
      </c>
      <c r="J12" s="196">
        <v>3600</v>
      </c>
      <c r="K12" s="196"/>
      <c r="L12" s="196"/>
      <c r="M12" s="197">
        <v>4.95</v>
      </c>
      <c r="N12" s="198">
        <f t="shared" si="0"/>
        <v>17820</v>
      </c>
    </row>
    <row r="13" spans="1:25" x14ac:dyDescent="0.25">
      <c r="A13" s="95"/>
      <c r="B13" s="100"/>
      <c r="C13" s="100"/>
      <c r="D13" s="100"/>
      <c r="E13" s="96"/>
      <c r="F13" s="96"/>
      <c r="G13" s="179"/>
      <c r="H13" s="187">
        <v>45733</v>
      </c>
      <c r="I13" s="188" t="s">
        <v>66</v>
      </c>
      <c r="J13" s="189">
        <v>1440</v>
      </c>
      <c r="K13" s="189"/>
      <c r="L13" s="189"/>
      <c r="M13" s="190">
        <v>4.95</v>
      </c>
      <c r="N13" s="191">
        <f t="shared" si="0"/>
        <v>7128</v>
      </c>
    </row>
    <row r="14" spans="1:25" x14ac:dyDescent="0.25">
      <c r="A14" s="95"/>
      <c r="B14" s="100"/>
      <c r="C14" s="100"/>
      <c r="D14" s="100"/>
      <c r="E14" s="96"/>
      <c r="F14" s="96"/>
      <c r="G14" s="179"/>
      <c r="H14" s="213"/>
      <c r="I14" s="184" t="s">
        <v>66</v>
      </c>
      <c r="J14" s="100"/>
      <c r="K14" s="100">
        <v>250</v>
      </c>
      <c r="L14" s="100"/>
      <c r="M14" s="96">
        <v>36.200000000000003</v>
      </c>
      <c r="N14" s="193">
        <f t="shared" si="0"/>
        <v>9050</v>
      </c>
    </row>
    <row r="15" spans="1:25" x14ac:dyDescent="0.25">
      <c r="A15" s="95"/>
      <c r="B15" s="100"/>
      <c r="C15" s="100"/>
      <c r="D15" s="100"/>
      <c r="E15" s="96"/>
      <c r="F15" s="96"/>
      <c r="G15" s="179"/>
      <c r="H15" s="192">
        <v>45734</v>
      </c>
      <c r="I15" s="184" t="s">
        <v>66</v>
      </c>
      <c r="J15" s="100">
        <v>5760</v>
      </c>
      <c r="K15" s="100"/>
      <c r="L15" s="100"/>
      <c r="M15" s="96">
        <v>4.95</v>
      </c>
      <c r="N15" s="193">
        <f t="shared" si="0"/>
        <v>28512</v>
      </c>
    </row>
    <row r="16" spans="1:25" x14ac:dyDescent="0.25">
      <c r="A16" s="95"/>
      <c r="B16" s="100"/>
      <c r="C16" s="100"/>
      <c r="D16" s="100"/>
      <c r="E16" s="96"/>
      <c r="F16" s="96"/>
      <c r="G16" s="179"/>
      <c r="H16" s="192">
        <v>45735</v>
      </c>
      <c r="I16" s="184" t="s">
        <v>66</v>
      </c>
      <c r="J16" s="100">
        <v>720</v>
      </c>
      <c r="K16" s="100"/>
      <c r="L16" s="100"/>
      <c r="M16" s="96">
        <v>4.95</v>
      </c>
      <c r="N16" s="193">
        <f t="shared" si="0"/>
        <v>3564</v>
      </c>
    </row>
    <row r="17" spans="1:14" x14ac:dyDescent="0.25">
      <c r="A17" s="95"/>
      <c r="B17" s="100"/>
      <c r="C17" s="100"/>
      <c r="D17" s="100"/>
      <c r="E17" s="96"/>
      <c r="F17" s="96"/>
      <c r="G17" s="179"/>
      <c r="H17" s="192">
        <v>45736</v>
      </c>
      <c r="I17" s="184" t="s">
        <v>66</v>
      </c>
      <c r="J17" s="100">
        <v>5760</v>
      </c>
      <c r="K17" s="100"/>
      <c r="L17" s="100"/>
      <c r="M17" s="96">
        <v>4.95</v>
      </c>
      <c r="N17" s="193">
        <f t="shared" si="0"/>
        <v>28512</v>
      </c>
    </row>
    <row r="18" spans="1:14" ht="16.5" thickBot="1" x14ac:dyDescent="0.3">
      <c r="A18" s="95"/>
      <c r="B18" s="100"/>
      <c r="C18" s="100"/>
      <c r="D18" s="100"/>
      <c r="E18" s="96"/>
      <c r="F18" s="96"/>
      <c r="G18" s="179"/>
      <c r="H18" s="194">
        <v>45737</v>
      </c>
      <c r="I18" s="214" t="s">
        <v>66</v>
      </c>
      <c r="J18" s="196">
        <v>3650</v>
      </c>
      <c r="K18" s="196"/>
      <c r="L18" s="196"/>
      <c r="M18" s="197">
        <v>4.95</v>
      </c>
      <c r="N18" s="198">
        <f t="shared" si="0"/>
        <v>18067.5</v>
      </c>
    </row>
    <row r="19" spans="1:14" x14ac:dyDescent="0.25">
      <c r="A19" s="95"/>
      <c r="B19" s="100"/>
      <c r="C19" s="100"/>
      <c r="D19" s="100"/>
      <c r="E19" s="96"/>
      <c r="F19" s="96"/>
      <c r="G19" s="179"/>
      <c r="H19" s="187">
        <v>45740</v>
      </c>
      <c r="I19" s="188" t="s">
        <v>66</v>
      </c>
      <c r="J19" s="189">
        <v>6480</v>
      </c>
      <c r="K19" s="189"/>
      <c r="L19" s="189"/>
      <c r="M19" s="190">
        <v>4.95</v>
      </c>
      <c r="N19" s="191">
        <f t="shared" si="0"/>
        <v>32076</v>
      </c>
    </row>
    <row r="20" spans="1:14" ht="16.5" thickBot="1" x14ac:dyDescent="0.3">
      <c r="A20" s="95"/>
      <c r="B20" s="100"/>
      <c r="C20" s="100"/>
      <c r="D20" s="100"/>
      <c r="E20" s="96"/>
      <c r="F20" s="96"/>
      <c r="G20" s="179"/>
      <c r="H20" s="216">
        <v>45741</v>
      </c>
      <c r="I20" s="214" t="s">
        <v>66</v>
      </c>
      <c r="J20" s="196">
        <v>5760</v>
      </c>
      <c r="K20" s="196"/>
      <c r="L20" s="196"/>
      <c r="M20" s="197">
        <v>4.95</v>
      </c>
      <c r="N20" s="198">
        <f t="shared" si="0"/>
        <v>28512</v>
      </c>
    </row>
    <row r="21" spans="1:14" ht="16.5" thickBot="1" x14ac:dyDescent="0.3">
      <c r="A21" s="147"/>
      <c r="B21" s="148"/>
      <c r="C21" s="148"/>
      <c r="D21" s="148"/>
      <c r="E21" s="149"/>
      <c r="F21" s="149"/>
      <c r="G21" s="223"/>
      <c r="H21" s="224"/>
      <c r="I21" s="225"/>
      <c r="J21" s="226"/>
      <c r="K21" s="226"/>
      <c r="L21" s="226"/>
      <c r="M21" s="227"/>
      <c r="N21" s="227"/>
    </row>
    <row r="22" spans="1:14" x14ac:dyDescent="0.25">
      <c r="A22" s="101">
        <v>45757</v>
      </c>
      <c r="B22" s="100"/>
      <c r="C22" s="100">
        <v>500</v>
      </c>
      <c r="D22" s="100"/>
      <c r="E22" s="96">
        <v>33</v>
      </c>
      <c r="F22" s="96">
        <f>B22*E22+C22*E22+D22*E22</f>
        <v>16500</v>
      </c>
      <c r="G22" s="179"/>
      <c r="H22" s="187">
        <v>45757</v>
      </c>
      <c r="I22" s="188" t="s">
        <v>66</v>
      </c>
      <c r="J22" s="189"/>
      <c r="K22" s="189">
        <v>250</v>
      </c>
      <c r="L22" s="189"/>
      <c r="M22" s="190">
        <v>33</v>
      </c>
      <c r="N22" s="191">
        <f t="shared" si="0"/>
        <v>8250</v>
      </c>
    </row>
    <row r="23" spans="1:14" x14ac:dyDescent="0.25">
      <c r="A23" s="95"/>
      <c r="B23" s="100"/>
      <c r="C23" s="100"/>
      <c r="D23" s="100"/>
      <c r="E23" s="96"/>
      <c r="F23" s="96">
        <f t="shared" ref="F23:F38" si="1">B23*E23+C23*E23+D23*E23</f>
        <v>0</v>
      </c>
      <c r="G23" s="179"/>
      <c r="H23" s="192">
        <v>45762</v>
      </c>
      <c r="I23" s="184" t="s">
        <v>66</v>
      </c>
      <c r="J23" s="100"/>
      <c r="K23" s="100">
        <v>250</v>
      </c>
      <c r="L23" s="100"/>
      <c r="M23" s="96">
        <v>33</v>
      </c>
      <c r="N23" s="193">
        <f t="shared" si="0"/>
        <v>8250</v>
      </c>
    </row>
    <row r="24" spans="1:14" x14ac:dyDescent="0.25">
      <c r="A24" s="101">
        <v>45763</v>
      </c>
      <c r="B24" s="100"/>
      <c r="C24" s="100">
        <v>500</v>
      </c>
      <c r="D24" s="100"/>
      <c r="E24" s="96">
        <v>33</v>
      </c>
      <c r="F24" s="96">
        <f t="shared" si="1"/>
        <v>16500</v>
      </c>
      <c r="G24" s="179"/>
      <c r="H24" s="192">
        <v>45763</v>
      </c>
      <c r="I24" s="184" t="s">
        <v>66</v>
      </c>
      <c r="J24" s="100"/>
      <c r="K24" s="100">
        <v>100</v>
      </c>
      <c r="L24" s="100"/>
      <c r="M24" s="96">
        <v>33</v>
      </c>
      <c r="N24" s="193">
        <f t="shared" si="0"/>
        <v>3300</v>
      </c>
    </row>
    <row r="25" spans="1:14" x14ac:dyDescent="0.25">
      <c r="A25" s="95"/>
      <c r="B25" s="100"/>
      <c r="C25" s="100"/>
      <c r="D25" s="100"/>
      <c r="E25" s="96"/>
      <c r="F25" s="96">
        <f t="shared" si="1"/>
        <v>0</v>
      </c>
      <c r="G25" s="179"/>
      <c r="H25" s="192">
        <v>45764</v>
      </c>
      <c r="I25" s="184" t="s">
        <v>66</v>
      </c>
      <c r="J25" s="100"/>
      <c r="K25" s="100">
        <v>150</v>
      </c>
      <c r="L25" s="100"/>
      <c r="M25" s="96">
        <v>33</v>
      </c>
      <c r="N25" s="193">
        <f t="shared" si="0"/>
        <v>4950</v>
      </c>
    </row>
    <row r="26" spans="1:14" x14ac:dyDescent="0.25">
      <c r="A26" s="200"/>
      <c r="B26" s="204"/>
      <c r="C26" s="204"/>
      <c r="D26" s="204"/>
      <c r="E26" s="201"/>
      <c r="F26" s="201">
        <f t="shared" si="1"/>
        <v>0</v>
      </c>
      <c r="G26" s="258"/>
      <c r="H26" s="230">
        <v>45765</v>
      </c>
      <c r="I26" s="244" t="s">
        <v>66</v>
      </c>
      <c r="J26" s="204"/>
      <c r="K26" s="204">
        <v>250</v>
      </c>
      <c r="L26" s="204"/>
      <c r="M26" s="201">
        <v>33</v>
      </c>
      <c r="N26" s="251">
        <f t="shared" si="0"/>
        <v>8250</v>
      </c>
    </row>
    <row r="27" spans="1:14" x14ac:dyDescent="0.25">
      <c r="A27" s="147" t="s">
        <v>99</v>
      </c>
      <c r="B27" s="248"/>
      <c r="C27" s="248"/>
      <c r="D27" s="248"/>
      <c r="E27" s="249"/>
      <c r="F27" s="249"/>
      <c r="G27" s="249"/>
      <c r="H27" s="150" t="s">
        <v>99</v>
      </c>
      <c r="I27" s="247"/>
      <c r="J27" s="248"/>
      <c r="K27" s="248"/>
      <c r="L27" s="248"/>
      <c r="M27" s="249"/>
      <c r="N27" s="249"/>
    </row>
    <row r="28" spans="1:14" ht="16.5" thickBot="1" x14ac:dyDescent="0.3">
      <c r="A28" s="184" t="s">
        <v>97</v>
      </c>
      <c r="B28" s="185"/>
      <c r="C28" s="185">
        <v>1500</v>
      </c>
      <c r="D28" s="185"/>
      <c r="E28" s="186">
        <v>33</v>
      </c>
      <c r="F28" s="186">
        <f t="shared" si="1"/>
        <v>49500</v>
      </c>
      <c r="G28" s="242"/>
      <c r="H28" s="183" t="s">
        <v>102</v>
      </c>
      <c r="I28" s="184" t="s">
        <v>66</v>
      </c>
      <c r="J28" s="185"/>
      <c r="K28" s="185">
        <v>550</v>
      </c>
      <c r="L28" s="185"/>
      <c r="M28" s="221">
        <v>33</v>
      </c>
      <c r="N28" s="186">
        <f t="shared" si="0"/>
        <v>18150</v>
      </c>
    </row>
    <row r="29" spans="1:14" ht="16.5" thickBot="1" x14ac:dyDescent="0.3">
      <c r="A29" s="95"/>
      <c r="B29" s="100"/>
      <c r="C29" s="100"/>
      <c r="D29" s="100"/>
      <c r="E29" s="96"/>
      <c r="F29" s="96">
        <f t="shared" si="1"/>
        <v>0</v>
      </c>
      <c r="G29" s="97"/>
      <c r="H29" s="101" t="s">
        <v>103</v>
      </c>
      <c r="I29" s="184" t="s">
        <v>66</v>
      </c>
      <c r="J29" s="100"/>
      <c r="K29" s="100">
        <v>660</v>
      </c>
      <c r="L29" s="100"/>
      <c r="M29" s="221">
        <v>33</v>
      </c>
      <c r="N29" s="96">
        <f t="shared" si="0"/>
        <v>21780</v>
      </c>
    </row>
    <row r="30" spans="1:14" x14ac:dyDescent="0.25">
      <c r="A30" s="95"/>
      <c r="B30" s="100"/>
      <c r="C30" s="100"/>
      <c r="D30" s="100"/>
      <c r="E30" s="96"/>
      <c r="F30" s="96">
        <f t="shared" si="1"/>
        <v>0</v>
      </c>
      <c r="G30" s="97"/>
      <c r="H30" s="101"/>
      <c r="I30" s="184" t="s">
        <v>66</v>
      </c>
      <c r="J30" s="100"/>
      <c r="K30" s="100"/>
      <c r="L30" s="100"/>
      <c r="M30" s="96"/>
      <c r="N30" s="96">
        <f t="shared" si="0"/>
        <v>0</v>
      </c>
    </row>
    <row r="31" spans="1:14" x14ac:dyDescent="0.25">
      <c r="A31" s="95"/>
      <c r="B31" s="100"/>
      <c r="C31" s="100"/>
      <c r="D31" s="100"/>
      <c r="E31" s="96"/>
      <c r="F31" s="96">
        <f t="shared" si="1"/>
        <v>0</v>
      </c>
      <c r="G31" s="97"/>
      <c r="H31" s="101"/>
      <c r="I31" s="184" t="s">
        <v>66</v>
      </c>
      <c r="J31" s="100"/>
      <c r="K31" s="100"/>
      <c r="L31" s="100"/>
      <c r="M31" s="96"/>
      <c r="N31" s="96">
        <f t="shared" si="0"/>
        <v>0</v>
      </c>
    </row>
    <row r="32" spans="1:14" x14ac:dyDescent="0.25">
      <c r="A32" s="95"/>
      <c r="B32" s="100"/>
      <c r="C32" s="100"/>
      <c r="D32" s="100"/>
      <c r="E32" s="96"/>
      <c r="F32" s="96">
        <f t="shared" si="1"/>
        <v>0</v>
      </c>
      <c r="G32" s="97"/>
      <c r="H32" s="101"/>
      <c r="I32" s="184" t="s">
        <v>66</v>
      </c>
      <c r="J32" s="100"/>
      <c r="K32" s="100"/>
      <c r="L32" s="100"/>
      <c r="M32" s="96"/>
      <c r="N32" s="96">
        <f t="shared" si="0"/>
        <v>0</v>
      </c>
    </row>
    <row r="33" spans="1:14" x14ac:dyDescent="0.25">
      <c r="A33" s="95"/>
      <c r="B33" s="100"/>
      <c r="C33" s="100"/>
      <c r="D33" s="100"/>
      <c r="E33" s="96"/>
      <c r="F33" s="96">
        <f t="shared" si="1"/>
        <v>0</v>
      </c>
      <c r="G33" s="97"/>
      <c r="H33" s="101"/>
      <c r="I33" s="184" t="s">
        <v>66</v>
      </c>
      <c r="J33" s="100"/>
      <c r="K33" s="100"/>
      <c r="L33" s="100"/>
      <c r="M33" s="96"/>
      <c r="N33" s="96">
        <f t="shared" si="0"/>
        <v>0</v>
      </c>
    </row>
    <row r="34" spans="1:14" x14ac:dyDescent="0.25">
      <c r="A34" s="95"/>
      <c r="B34" s="100"/>
      <c r="C34" s="100"/>
      <c r="D34" s="100"/>
      <c r="E34" s="96"/>
      <c r="F34" s="96">
        <f t="shared" si="1"/>
        <v>0</v>
      </c>
      <c r="G34" s="97"/>
      <c r="H34" s="101"/>
      <c r="I34" s="184" t="s">
        <v>66</v>
      </c>
      <c r="J34" s="100"/>
      <c r="K34" s="100"/>
      <c r="L34" s="100"/>
      <c r="M34" s="96"/>
      <c r="N34" s="96">
        <f t="shared" si="0"/>
        <v>0</v>
      </c>
    </row>
    <row r="35" spans="1:14" x14ac:dyDescent="0.25">
      <c r="A35" s="95"/>
      <c r="B35" s="100"/>
      <c r="C35" s="100"/>
      <c r="D35" s="100"/>
      <c r="E35" s="96"/>
      <c r="F35" s="96">
        <f t="shared" si="1"/>
        <v>0</v>
      </c>
      <c r="G35" s="97"/>
      <c r="H35" s="101"/>
      <c r="I35" s="184" t="s">
        <v>66</v>
      </c>
      <c r="J35" s="100"/>
      <c r="K35" s="100"/>
      <c r="L35" s="100"/>
      <c r="M35" s="96"/>
      <c r="N35" s="96">
        <f t="shared" si="0"/>
        <v>0</v>
      </c>
    </row>
    <row r="36" spans="1:14" x14ac:dyDescent="0.25">
      <c r="A36" s="95"/>
      <c r="B36" s="100"/>
      <c r="C36" s="100"/>
      <c r="D36" s="100"/>
      <c r="E36" s="96"/>
      <c r="F36" s="96">
        <f t="shared" si="1"/>
        <v>0</v>
      </c>
      <c r="G36" s="97"/>
      <c r="H36" s="101"/>
      <c r="I36" s="184" t="s">
        <v>66</v>
      </c>
      <c r="J36" s="100"/>
      <c r="K36" s="100"/>
      <c r="L36" s="100"/>
      <c r="M36" s="96"/>
      <c r="N36" s="96">
        <f t="shared" si="0"/>
        <v>0</v>
      </c>
    </row>
    <row r="37" spans="1:14" x14ac:dyDescent="0.25">
      <c r="A37" s="95"/>
      <c r="B37" s="100"/>
      <c r="C37" s="100"/>
      <c r="D37" s="100"/>
      <c r="E37" s="96"/>
      <c r="F37" s="96">
        <f t="shared" si="1"/>
        <v>0</v>
      </c>
      <c r="G37" s="97"/>
      <c r="H37" s="95"/>
      <c r="I37" s="184" t="s">
        <v>66</v>
      </c>
      <c r="J37" s="100"/>
      <c r="K37" s="100"/>
      <c r="L37" s="100"/>
      <c r="M37" s="96"/>
      <c r="N37" s="96">
        <f t="shared" si="0"/>
        <v>0</v>
      </c>
    </row>
    <row r="38" spans="1:14" x14ac:dyDescent="0.25">
      <c r="A38" s="95"/>
      <c r="B38" s="100"/>
      <c r="C38" s="100"/>
      <c r="D38" s="100"/>
      <c r="E38" s="96"/>
      <c r="F38" s="96">
        <f t="shared" si="1"/>
        <v>0</v>
      </c>
      <c r="G38" s="97"/>
      <c r="H38" s="95"/>
      <c r="I38" s="95"/>
      <c r="J38" s="100"/>
      <c r="K38" s="100"/>
      <c r="L38" s="100"/>
      <c r="M38" s="96"/>
      <c r="N38" s="96">
        <f t="shared" si="0"/>
        <v>0</v>
      </c>
    </row>
    <row r="39" spans="1:14" s="162" customFormat="1" x14ac:dyDescent="0.25">
      <c r="A39" s="158"/>
      <c r="B39" s="159">
        <f>SUM(B3:B38)</f>
        <v>59760</v>
      </c>
      <c r="C39" s="159">
        <f t="shared" ref="C39:D39" si="2">SUM(C3:C38)</f>
        <v>2750</v>
      </c>
      <c r="D39" s="159">
        <f t="shared" si="2"/>
        <v>0</v>
      </c>
      <c r="E39" s="160"/>
      <c r="F39" s="160"/>
      <c r="G39" s="161"/>
      <c r="H39" s="158"/>
      <c r="I39" s="158"/>
      <c r="J39" s="159">
        <f>SUM(J3:J38)</f>
        <v>59760</v>
      </c>
      <c r="K39" s="159">
        <f t="shared" ref="K39:L39" si="3">SUM(K3:K38)</f>
        <v>2460</v>
      </c>
      <c r="L39" s="159">
        <f t="shared" si="3"/>
        <v>0</v>
      </c>
      <c r="M39" s="160"/>
      <c r="N39" s="1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0"/>
  <sheetViews>
    <sheetView topLeftCell="A4" workbookViewId="0">
      <selection activeCell="K17" sqref="K17"/>
    </sheetView>
  </sheetViews>
  <sheetFormatPr defaultColWidth="8.85546875" defaultRowHeight="15.75" x14ac:dyDescent="0.25"/>
  <cols>
    <col min="1" max="4" width="11.1406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9" width="13.7109375" style="98" customWidth="1"/>
    <col min="10" max="12" width="11.28515625" style="98" customWidth="1"/>
    <col min="13" max="13" width="10.5703125" style="102" customWidth="1"/>
    <col min="14" max="14" width="14.42578125" style="102" bestFit="1" customWidth="1"/>
    <col min="15" max="16" width="8.85546875" style="98"/>
    <col min="17" max="17" width="14.42578125" style="98" bestFit="1" customWidth="1"/>
    <col min="18" max="18" width="11.28515625" style="98" customWidth="1"/>
    <col min="19" max="19" width="11.5703125" style="98" customWidth="1"/>
    <col min="20" max="16384" width="8.85546875" style="98"/>
  </cols>
  <sheetData>
    <row r="1" spans="1:25" s="93" customFormat="1" ht="85.5" x14ac:dyDescent="0.25">
      <c r="A1" s="90" t="s">
        <v>60</v>
      </c>
      <c r="B1" s="90" t="s">
        <v>69</v>
      </c>
      <c r="C1" s="90" t="s">
        <v>10</v>
      </c>
      <c r="D1" s="90" t="s">
        <v>9</v>
      </c>
      <c r="E1" s="91" t="s">
        <v>61</v>
      </c>
      <c r="F1" s="91" t="s">
        <v>62</v>
      </c>
      <c r="G1" s="91"/>
      <c r="H1" s="90" t="s">
        <v>63</v>
      </c>
      <c r="I1" s="90" t="s">
        <v>64</v>
      </c>
      <c r="J1" s="90" t="s">
        <v>69</v>
      </c>
      <c r="K1" s="90" t="s">
        <v>10</v>
      </c>
      <c r="L1" s="90" t="s">
        <v>9</v>
      </c>
      <c r="M1" s="91" t="s">
        <v>61</v>
      </c>
      <c r="N1" s="91" t="s">
        <v>62</v>
      </c>
      <c r="O1" s="92"/>
      <c r="P1" s="92"/>
      <c r="Q1" s="90" t="s">
        <v>69</v>
      </c>
      <c r="R1" s="90" t="s">
        <v>10</v>
      </c>
      <c r="S1" s="90" t="s">
        <v>9</v>
      </c>
      <c r="T1" s="90"/>
      <c r="U1" s="90"/>
    </row>
    <row r="2" spans="1:25" x14ac:dyDescent="0.25">
      <c r="A2" s="94" t="s">
        <v>65</v>
      </c>
      <c r="B2" s="95"/>
      <c r="C2" s="95"/>
      <c r="D2" s="95"/>
      <c r="E2" s="96"/>
      <c r="F2" s="96"/>
      <c r="G2" s="97"/>
      <c r="H2" s="94" t="s">
        <v>65</v>
      </c>
      <c r="I2" s="95"/>
      <c r="J2" s="95"/>
      <c r="K2" s="95"/>
      <c r="L2" s="95"/>
      <c r="M2" s="96"/>
      <c r="N2" s="96"/>
      <c r="P2" s="99"/>
      <c r="Q2" s="100">
        <f>0+B20-J20</f>
        <v>0</v>
      </c>
      <c r="R2" s="100">
        <f>0+C20-K20</f>
        <v>0</v>
      </c>
      <c r="S2" s="100">
        <f>0+D20-L20</f>
        <v>0</v>
      </c>
      <c r="T2" s="100"/>
      <c r="U2" s="100"/>
      <c r="V2" s="99"/>
      <c r="W2" s="99"/>
      <c r="X2" s="99"/>
      <c r="Y2" s="99"/>
    </row>
    <row r="3" spans="1:25" x14ac:dyDescent="0.25">
      <c r="A3" s="101">
        <v>45573</v>
      </c>
      <c r="B3" s="100">
        <v>300</v>
      </c>
      <c r="C3" s="100"/>
      <c r="D3" s="100"/>
      <c r="E3" s="96">
        <v>3.1</v>
      </c>
      <c r="F3" s="96">
        <f>B3*E3+C3*E3+D3*E3</f>
        <v>930</v>
      </c>
      <c r="G3" s="97"/>
      <c r="H3" s="101">
        <v>45573</v>
      </c>
      <c r="I3" s="95" t="s">
        <v>66</v>
      </c>
      <c r="J3" s="100">
        <v>114</v>
      </c>
      <c r="K3" s="100"/>
      <c r="L3" s="100"/>
      <c r="M3" s="96">
        <v>3.1</v>
      </c>
      <c r="N3" s="96">
        <f>J3*M3+K3*M3+L3*M3</f>
        <v>353.40000000000003</v>
      </c>
      <c r="Q3" s="96">
        <v>3.1</v>
      </c>
      <c r="R3" s="96">
        <v>4.25</v>
      </c>
      <c r="S3" s="96">
        <v>408.2</v>
      </c>
      <c r="T3" s="96"/>
      <c r="U3" s="96"/>
      <c r="V3" s="102"/>
      <c r="W3" s="102"/>
      <c r="X3" s="102"/>
    </row>
    <row r="4" spans="1:25" x14ac:dyDescent="0.25">
      <c r="A4" s="101">
        <v>45583</v>
      </c>
      <c r="B4" s="100">
        <v>500</v>
      </c>
      <c r="C4" s="100"/>
      <c r="D4" s="100"/>
      <c r="E4" s="96">
        <v>3.1</v>
      </c>
      <c r="F4" s="96">
        <f t="shared" ref="F4:F19" si="0">B4*E4+C4*E4+D4*E4</f>
        <v>1550</v>
      </c>
      <c r="G4" s="97"/>
      <c r="H4" s="101">
        <v>45587</v>
      </c>
      <c r="I4" s="95" t="s">
        <v>66</v>
      </c>
      <c r="J4" s="100">
        <v>282</v>
      </c>
      <c r="K4" s="100"/>
      <c r="L4" s="100"/>
      <c r="M4" s="96">
        <v>3.1</v>
      </c>
      <c r="N4" s="96">
        <f t="shared" ref="N4:N19" si="1">J4*M4+K4*M4+L4*M4</f>
        <v>874.2</v>
      </c>
      <c r="Q4" s="96">
        <f>Q2*Q3</f>
        <v>0</v>
      </c>
      <c r="R4" s="96">
        <f>R2*R3</f>
        <v>0</v>
      </c>
      <c r="S4" s="96">
        <f>S2*S3</f>
        <v>0</v>
      </c>
      <c r="T4" s="96"/>
      <c r="U4" s="96"/>
      <c r="V4" s="102"/>
      <c r="W4" s="102"/>
      <c r="X4" s="102"/>
    </row>
    <row r="5" spans="1:25" x14ac:dyDescent="0.25">
      <c r="A5" s="95"/>
      <c r="B5" s="100"/>
      <c r="C5" s="100"/>
      <c r="D5" s="100"/>
      <c r="E5" s="96"/>
      <c r="F5" s="96">
        <f t="shared" si="0"/>
        <v>0</v>
      </c>
      <c r="G5" s="97"/>
      <c r="H5" s="101">
        <v>45595</v>
      </c>
      <c r="I5" s="95" t="s">
        <v>66</v>
      </c>
      <c r="J5" s="100">
        <v>103</v>
      </c>
      <c r="K5" s="100"/>
      <c r="L5" s="100"/>
      <c r="M5" s="96">
        <v>3.1</v>
      </c>
      <c r="N5" s="96">
        <f t="shared" si="1"/>
        <v>319.3</v>
      </c>
    </row>
    <row r="6" spans="1:25" x14ac:dyDescent="0.25">
      <c r="A6" s="95"/>
      <c r="B6" s="100"/>
      <c r="C6" s="100"/>
      <c r="D6" s="100"/>
      <c r="E6" s="96"/>
      <c r="F6" s="96">
        <f t="shared" si="0"/>
        <v>0</v>
      </c>
      <c r="G6" s="97"/>
      <c r="H6" s="101">
        <v>45596</v>
      </c>
      <c r="I6" s="95" t="s">
        <v>66</v>
      </c>
      <c r="J6" s="100">
        <v>17</v>
      </c>
      <c r="K6" s="100"/>
      <c r="L6" s="100"/>
      <c r="M6" s="96">
        <v>3.1</v>
      </c>
      <c r="N6" s="96">
        <f t="shared" si="1"/>
        <v>52.7</v>
      </c>
    </row>
    <row r="7" spans="1:25" x14ac:dyDescent="0.25">
      <c r="A7" s="95"/>
      <c r="B7" s="100"/>
      <c r="C7" s="100"/>
      <c r="D7" s="100"/>
      <c r="E7" s="96"/>
      <c r="F7" s="96">
        <f t="shared" si="0"/>
        <v>0</v>
      </c>
      <c r="G7" s="97"/>
      <c r="H7" s="101">
        <v>45598</v>
      </c>
      <c r="I7" s="95" t="s">
        <v>66</v>
      </c>
      <c r="J7" s="100">
        <v>44</v>
      </c>
      <c r="K7" s="100"/>
      <c r="L7" s="100"/>
      <c r="M7" s="96">
        <v>3.1</v>
      </c>
      <c r="N7" s="96">
        <f t="shared" si="1"/>
        <v>136.4</v>
      </c>
    </row>
    <row r="8" spans="1:25" x14ac:dyDescent="0.25">
      <c r="A8" s="95"/>
      <c r="B8" s="100"/>
      <c r="C8" s="100"/>
      <c r="D8" s="100"/>
      <c r="E8" s="96"/>
      <c r="F8" s="96">
        <f t="shared" si="0"/>
        <v>0</v>
      </c>
      <c r="G8" s="97"/>
      <c r="H8" s="101">
        <v>45601</v>
      </c>
      <c r="I8" s="95" t="s">
        <v>66</v>
      </c>
      <c r="J8" s="100">
        <v>154</v>
      </c>
      <c r="K8" s="100"/>
      <c r="L8" s="100"/>
      <c r="M8" s="96">
        <v>3.1</v>
      </c>
      <c r="N8" s="96">
        <f t="shared" si="1"/>
        <v>477.40000000000003</v>
      </c>
    </row>
    <row r="9" spans="1:25" x14ac:dyDescent="0.25">
      <c r="A9" s="95"/>
      <c r="B9" s="100"/>
      <c r="C9" s="100"/>
      <c r="D9" s="100"/>
      <c r="E9" s="96"/>
      <c r="F9" s="96">
        <f t="shared" si="0"/>
        <v>0</v>
      </c>
      <c r="G9" s="97"/>
      <c r="H9" s="101">
        <v>45602</v>
      </c>
      <c r="I9" s="95" t="s">
        <v>66</v>
      </c>
      <c r="J9" s="100">
        <v>86</v>
      </c>
      <c r="K9" s="100"/>
      <c r="L9" s="100"/>
      <c r="M9" s="96">
        <v>3.1</v>
      </c>
      <c r="N9" s="96">
        <f t="shared" si="1"/>
        <v>266.60000000000002</v>
      </c>
    </row>
    <row r="10" spans="1:25" x14ac:dyDescent="0.25">
      <c r="A10" s="101">
        <v>45603</v>
      </c>
      <c r="B10" s="100"/>
      <c r="C10" s="100">
        <v>500</v>
      </c>
      <c r="D10" s="100"/>
      <c r="E10" s="96">
        <v>4.25</v>
      </c>
      <c r="F10" s="96">
        <f t="shared" si="0"/>
        <v>2125</v>
      </c>
      <c r="G10" s="97"/>
      <c r="H10" s="101">
        <v>45603</v>
      </c>
      <c r="I10" s="95" t="s">
        <v>66</v>
      </c>
      <c r="J10" s="100"/>
      <c r="K10" s="100">
        <v>151</v>
      </c>
      <c r="L10" s="100"/>
      <c r="M10" s="96">
        <v>4.25</v>
      </c>
      <c r="N10" s="96">
        <f t="shared" si="1"/>
        <v>641.75</v>
      </c>
    </row>
    <row r="11" spans="1:25" x14ac:dyDescent="0.25">
      <c r="A11" s="95"/>
      <c r="B11" s="100"/>
      <c r="C11" s="100"/>
      <c r="D11" s="100">
        <v>2</v>
      </c>
      <c r="E11" s="96">
        <v>408.2</v>
      </c>
      <c r="F11" s="96">
        <f t="shared" si="0"/>
        <v>816.4</v>
      </c>
      <c r="G11" s="97"/>
      <c r="H11" s="95"/>
      <c r="I11" s="95" t="s">
        <v>66</v>
      </c>
      <c r="J11" s="100"/>
      <c r="K11" s="100"/>
      <c r="L11" s="100">
        <v>1</v>
      </c>
      <c r="M11" s="96">
        <v>408.2</v>
      </c>
      <c r="N11" s="96">
        <f t="shared" si="1"/>
        <v>408.2</v>
      </c>
    </row>
    <row r="12" spans="1:25" x14ac:dyDescent="0.25">
      <c r="A12" s="95"/>
      <c r="B12" s="100"/>
      <c r="C12" s="100"/>
      <c r="D12" s="100"/>
      <c r="E12" s="96"/>
      <c r="F12" s="96">
        <f t="shared" si="0"/>
        <v>0</v>
      </c>
      <c r="G12" s="97"/>
      <c r="H12" s="101">
        <v>45607</v>
      </c>
      <c r="I12" s="95" t="s">
        <v>66</v>
      </c>
      <c r="J12" s="100"/>
      <c r="K12" s="100">
        <v>111</v>
      </c>
      <c r="L12" s="100"/>
      <c r="M12" s="96"/>
      <c r="N12" s="96">
        <f t="shared" si="1"/>
        <v>0</v>
      </c>
    </row>
    <row r="13" spans="1:25" x14ac:dyDescent="0.25">
      <c r="A13" s="95"/>
      <c r="B13" s="100"/>
      <c r="C13" s="100"/>
      <c r="D13" s="100"/>
      <c r="E13" s="96"/>
      <c r="F13" s="96">
        <f t="shared" si="0"/>
        <v>0</v>
      </c>
      <c r="G13" s="97"/>
      <c r="H13" s="95"/>
      <c r="I13" s="95"/>
      <c r="J13" s="100"/>
      <c r="K13" s="100"/>
      <c r="L13" s="100">
        <v>1</v>
      </c>
      <c r="M13" s="96">
        <v>408.2</v>
      </c>
      <c r="N13" s="96">
        <f t="shared" si="1"/>
        <v>408.2</v>
      </c>
    </row>
    <row r="14" spans="1:25" ht="16.5" thickBot="1" x14ac:dyDescent="0.3">
      <c r="A14" s="147"/>
      <c r="B14" s="148"/>
      <c r="C14" s="148"/>
      <c r="D14" s="148"/>
      <c r="E14" s="149"/>
      <c r="F14" s="149">
        <f t="shared" si="0"/>
        <v>0</v>
      </c>
      <c r="G14" s="149"/>
      <c r="H14" s="180" t="s">
        <v>67</v>
      </c>
      <c r="I14" s="180"/>
      <c r="J14" s="181"/>
      <c r="K14" s="181"/>
      <c r="L14" s="181"/>
      <c r="M14" s="182"/>
      <c r="N14" s="182">
        <f t="shared" si="1"/>
        <v>0</v>
      </c>
    </row>
    <row r="15" spans="1:25" ht="16.5" thickBot="1" x14ac:dyDescent="0.3">
      <c r="A15" s="95"/>
      <c r="B15" s="100"/>
      <c r="C15" s="100"/>
      <c r="D15" s="100"/>
      <c r="E15" s="96"/>
      <c r="F15" s="96">
        <f t="shared" si="0"/>
        <v>0</v>
      </c>
      <c r="G15" s="179"/>
      <c r="H15" s="205">
        <v>45741</v>
      </c>
      <c r="I15" s="206" t="s">
        <v>66</v>
      </c>
      <c r="J15" s="207"/>
      <c r="K15" s="207">
        <v>238</v>
      </c>
      <c r="L15" s="207"/>
      <c r="M15" s="208">
        <v>4.25</v>
      </c>
      <c r="N15" s="209">
        <f t="shared" si="1"/>
        <v>1011.5</v>
      </c>
    </row>
    <row r="16" spans="1:25" x14ac:dyDescent="0.25">
      <c r="A16" s="95"/>
      <c r="B16" s="100"/>
      <c r="C16" s="100"/>
      <c r="D16" s="100"/>
      <c r="E16" s="96"/>
      <c r="F16" s="96">
        <f t="shared" si="0"/>
        <v>0</v>
      </c>
      <c r="G16" s="97"/>
      <c r="H16" s="184"/>
      <c r="I16" s="184"/>
      <c r="J16" s="185"/>
      <c r="K16" s="185"/>
      <c r="L16" s="185"/>
      <c r="M16" s="186"/>
      <c r="N16" s="186">
        <f t="shared" si="1"/>
        <v>0</v>
      </c>
    </row>
    <row r="17" spans="1:14" x14ac:dyDescent="0.25">
      <c r="A17" s="95"/>
      <c r="B17" s="100"/>
      <c r="C17" s="100"/>
      <c r="D17" s="100"/>
      <c r="E17" s="96"/>
      <c r="F17" s="96">
        <f t="shared" si="0"/>
        <v>0</v>
      </c>
      <c r="G17" s="97"/>
      <c r="H17" s="95"/>
      <c r="I17" s="95"/>
      <c r="J17" s="100"/>
      <c r="K17" s="100"/>
      <c r="L17" s="100"/>
      <c r="M17" s="96"/>
      <c r="N17" s="96">
        <f t="shared" si="1"/>
        <v>0</v>
      </c>
    </row>
    <row r="18" spans="1:14" x14ac:dyDescent="0.25">
      <c r="A18" s="95"/>
      <c r="B18" s="100"/>
      <c r="C18" s="100"/>
      <c r="D18" s="100"/>
      <c r="E18" s="96"/>
      <c r="F18" s="96">
        <f t="shared" si="0"/>
        <v>0</v>
      </c>
      <c r="G18" s="97"/>
      <c r="H18" s="95"/>
      <c r="I18" s="95"/>
      <c r="J18" s="100"/>
      <c r="K18" s="100"/>
      <c r="L18" s="100"/>
      <c r="M18" s="96"/>
      <c r="N18" s="96">
        <f t="shared" si="1"/>
        <v>0</v>
      </c>
    </row>
    <row r="19" spans="1:14" x14ac:dyDescent="0.25">
      <c r="A19" s="95"/>
      <c r="B19" s="100"/>
      <c r="C19" s="100"/>
      <c r="D19" s="100"/>
      <c r="E19" s="96"/>
      <c r="F19" s="96">
        <f t="shared" si="0"/>
        <v>0</v>
      </c>
      <c r="G19" s="97"/>
      <c r="H19" s="95"/>
      <c r="I19" s="95"/>
      <c r="J19" s="100"/>
      <c r="K19" s="100"/>
      <c r="L19" s="100"/>
      <c r="M19" s="96"/>
      <c r="N19" s="96">
        <f t="shared" si="1"/>
        <v>0</v>
      </c>
    </row>
    <row r="20" spans="1:14" x14ac:dyDescent="0.25">
      <c r="A20" s="95"/>
      <c r="B20" s="100">
        <f>SUM(B3:B19)</f>
        <v>800</v>
      </c>
      <c r="C20" s="100">
        <f t="shared" ref="C20:D20" si="2">SUM(C3:C19)</f>
        <v>500</v>
      </c>
      <c r="D20" s="100">
        <f t="shared" si="2"/>
        <v>2</v>
      </c>
      <c r="E20" s="96"/>
      <c r="F20" s="96"/>
      <c r="G20" s="97"/>
      <c r="H20" s="95"/>
      <c r="I20" s="95"/>
      <c r="J20" s="100">
        <f>SUM(J3:J19)</f>
        <v>800</v>
      </c>
      <c r="K20" s="100">
        <f t="shared" ref="K20:L20" si="3">SUM(K3:K19)</f>
        <v>500</v>
      </c>
      <c r="L20" s="100">
        <f t="shared" si="3"/>
        <v>2</v>
      </c>
      <c r="M20" s="96"/>
      <c r="N20" s="9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0"/>
  <sheetViews>
    <sheetView workbookViewId="0">
      <pane ySplit="1" topLeftCell="A2" activePane="bottomLeft" state="frozen"/>
      <selection pane="bottomLeft" activeCell="I7" sqref="I7"/>
    </sheetView>
  </sheetViews>
  <sheetFormatPr defaultColWidth="8.85546875" defaultRowHeight="15.75" x14ac:dyDescent="0.25"/>
  <cols>
    <col min="1" max="2" width="11.140625" style="98" customWidth="1"/>
    <col min="3" max="3" width="10.5703125" style="102" customWidth="1"/>
    <col min="4" max="4" width="14.42578125" style="102" bestFit="1" customWidth="1"/>
    <col min="5" max="5" width="4.140625" style="102" customWidth="1"/>
    <col min="6" max="6" width="10.42578125" style="98" customWidth="1"/>
    <col min="7" max="7" width="13.7109375" style="98" customWidth="1"/>
    <col min="8" max="8" width="11.28515625" style="98" customWidth="1"/>
    <col min="9" max="9" width="10.5703125" style="102" customWidth="1"/>
    <col min="10" max="10" width="14.42578125" style="102" bestFit="1" customWidth="1"/>
    <col min="11" max="12" width="8.85546875" style="98"/>
    <col min="13" max="13" width="14.42578125" style="98" bestFit="1" customWidth="1"/>
    <col min="14" max="16384" width="8.85546875" style="98"/>
  </cols>
  <sheetData>
    <row r="1" spans="1:21" s="93" customFormat="1" ht="42.75" x14ac:dyDescent="0.25">
      <c r="A1" s="90" t="s">
        <v>60</v>
      </c>
      <c r="B1" s="90" t="s">
        <v>70</v>
      </c>
      <c r="C1" s="91" t="s">
        <v>61</v>
      </c>
      <c r="D1" s="91" t="s">
        <v>62</v>
      </c>
      <c r="E1" s="91"/>
      <c r="F1" s="90" t="s">
        <v>63</v>
      </c>
      <c r="G1" s="90" t="s">
        <v>64</v>
      </c>
      <c r="H1" s="90" t="s">
        <v>70</v>
      </c>
      <c r="I1" s="91" t="s">
        <v>61</v>
      </c>
      <c r="J1" s="91" t="s">
        <v>62</v>
      </c>
      <c r="K1" s="92"/>
      <c r="L1" s="92"/>
      <c r="M1" s="90" t="s">
        <v>70</v>
      </c>
      <c r="N1" s="90"/>
      <c r="O1" s="90"/>
      <c r="P1" s="90"/>
      <c r="Q1" s="90"/>
    </row>
    <row r="2" spans="1:21" x14ac:dyDescent="0.25">
      <c r="A2" s="94" t="s">
        <v>65</v>
      </c>
      <c r="B2" s="95"/>
      <c r="C2" s="96"/>
      <c r="D2" s="96"/>
      <c r="E2" s="97"/>
      <c r="F2" s="94" t="s">
        <v>65</v>
      </c>
      <c r="G2" s="95"/>
      <c r="H2" s="95"/>
      <c r="I2" s="96"/>
      <c r="J2" s="96"/>
      <c r="L2" s="99"/>
      <c r="M2" s="100">
        <f>0+B20-H20</f>
        <v>0</v>
      </c>
      <c r="N2" s="100"/>
      <c r="O2" s="100"/>
      <c r="P2" s="100"/>
      <c r="Q2" s="100"/>
      <c r="R2" s="99"/>
      <c r="S2" s="99"/>
      <c r="T2" s="99"/>
      <c r="U2" s="99"/>
    </row>
    <row r="3" spans="1:21" x14ac:dyDescent="0.25">
      <c r="A3" s="101">
        <v>45582</v>
      </c>
      <c r="B3" s="100">
        <v>5</v>
      </c>
      <c r="C3" s="96">
        <v>145</v>
      </c>
      <c r="D3" s="96">
        <f>B3*C3</f>
        <v>725</v>
      </c>
      <c r="E3" s="97"/>
      <c r="F3" s="101"/>
      <c r="G3" s="95"/>
      <c r="H3" s="100"/>
      <c r="I3" s="96"/>
      <c r="J3" s="96">
        <f>H3*I3</f>
        <v>0</v>
      </c>
      <c r="M3" s="96">
        <v>145</v>
      </c>
      <c r="N3" s="96"/>
      <c r="O3" s="96"/>
      <c r="P3" s="96"/>
      <c r="Q3" s="96"/>
      <c r="R3" s="102"/>
      <c r="S3" s="102"/>
      <c r="T3" s="102"/>
    </row>
    <row r="4" spans="1:21" x14ac:dyDescent="0.25">
      <c r="A4" s="95"/>
      <c r="B4" s="100"/>
      <c r="C4" s="96"/>
      <c r="D4" s="96"/>
      <c r="E4" s="97"/>
      <c r="F4" s="101">
        <v>45652</v>
      </c>
      <c r="G4" s="95" t="s">
        <v>66</v>
      </c>
      <c r="H4" s="100">
        <v>1</v>
      </c>
      <c r="I4" s="96">
        <v>725</v>
      </c>
      <c r="J4" s="96">
        <f>H4*I4</f>
        <v>725</v>
      </c>
      <c r="M4" s="96">
        <f>M2*M3</f>
        <v>0</v>
      </c>
      <c r="N4" s="96"/>
      <c r="O4" s="96"/>
      <c r="P4" s="96"/>
      <c r="Q4" s="96"/>
      <c r="R4" s="102"/>
      <c r="S4" s="102"/>
      <c r="T4" s="102"/>
    </row>
    <row r="5" spans="1:21" x14ac:dyDescent="0.25">
      <c r="A5" s="147" t="s">
        <v>67</v>
      </c>
      <c r="B5" s="148"/>
      <c r="C5" s="149"/>
      <c r="D5" s="149"/>
      <c r="E5" s="149"/>
      <c r="F5" s="150"/>
      <c r="G5" s="147"/>
      <c r="H5" s="148"/>
      <c r="I5" s="149"/>
      <c r="J5" s="149">
        <f t="shared" ref="J5:J19" si="0">H5*I5</f>
        <v>0</v>
      </c>
    </row>
    <row r="6" spans="1:21" x14ac:dyDescent="0.25">
      <c r="A6" s="95"/>
      <c r="B6" s="100"/>
      <c r="C6" s="96"/>
      <c r="D6" s="96"/>
      <c r="E6" s="97"/>
      <c r="F6" s="101">
        <v>45685</v>
      </c>
      <c r="G6" s="95" t="s">
        <v>66</v>
      </c>
      <c r="H6" s="100">
        <v>4</v>
      </c>
      <c r="I6" s="96">
        <v>725</v>
      </c>
      <c r="J6" s="96">
        <f t="shared" si="0"/>
        <v>2900</v>
      </c>
    </row>
    <row r="7" spans="1:21" x14ac:dyDescent="0.25">
      <c r="A7" s="95"/>
      <c r="B7" s="100"/>
      <c r="C7" s="96"/>
      <c r="D7" s="96"/>
      <c r="E7" s="97"/>
      <c r="F7" s="95"/>
      <c r="G7" s="95"/>
      <c r="H7" s="100"/>
      <c r="I7" s="96"/>
      <c r="J7" s="96">
        <f t="shared" si="0"/>
        <v>0</v>
      </c>
    </row>
    <row r="8" spans="1:21" x14ac:dyDescent="0.25">
      <c r="A8" s="95"/>
      <c r="B8" s="100"/>
      <c r="C8" s="96"/>
      <c r="D8" s="96"/>
      <c r="E8" s="97"/>
      <c r="F8" s="95"/>
      <c r="G8" s="95"/>
      <c r="H8" s="100"/>
      <c r="I8" s="96"/>
      <c r="J8" s="96">
        <f t="shared" si="0"/>
        <v>0</v>
      </c>
    </row>
    <row r="9" spans="1:21" x14ac:dyDescent="0.25">
      <c r="A9" s="95"/>
      <c r="B9" s="100"/>
      <c r="C9" s="96"/>
      <c r="D9" s="96"/>
      <c r="E9" s="97"/>
      <c r="F9" s="95"/>
      <c r="G9" s="95"/>
      <c r="H9" s="100"/>
      <c r="I9" s="96"/>
      <c r="J9" s="96">
        <f t="shared" si="0"/>
        <v>0</v>
      </c>
    </row>
    <row r="10" spans="1:21" x14ac:dyDescent="0.25">
      <c r="A10" s="95"/>
      <c r="B10" s="100"/>
      <c r="C10" s="96"/>
      <c r="D10" s="96"/>
      <c r="E10" s="97"/>
      <c r="F10" s="95"/>
      <c r="G10" s="95"/>
      <c r="H10" s="100"/>
      <c r="I10" s="96"/>
      <c r="J10" s="96">
        <f t="shared" si="0"/>
        <v>0</v>
      </c>
    </row>
    <row r="11" spans="1:21" x14ac:dyDescent="0.25">
      <c r="A11" s="95"/>
      <c r="B11" s="100"/>
      <c r="C11" s="96"/>
      <c r="D11" s="96"/>
      <c r="E11" s="97"/>
      <c r="F11" s="95"/>
      <c r="G11" s="95"/>
      <c r="H11" s="100"/>
      <c r="I11" s="96"/>
      <c r="J11" s="96">
        <f t="shared" si="0"/>
        <v>0</v>
      </c>
    </row>
    <row r="12" spans="1:21" x14ac:dyDescent="0.25">
      <c r="A12" s="95"/>
      <c r="B12" s="100"/>
      <c r="C12" s="96"/>
      <c r="D12" s="96"/>
      <c r="E12" s="97"/>
      <c r="F12" s="95"/>
      <c r="G12" s="95"/>
      <c r="H12" s="100"/>
      <c r="I12" s="96"/>
      <c r="J12" s="96">
        <f t="shared" si="0"/>
        <v>0</v>
      </c>
    </row>
    <row r="13" spans="1:21" x14ac:dyDescent="0.25">
      <c r="A13" s="95"/>
      <c r="B13" s="100"/>
      <c r="C13" s="96"/>
      <c r="D13" s="96"/>
      <c r="E13" s="97"/>
      <c r="F13" s="95"/>
      <c r="G13" s="95"/>
      <c r="H13" s="100"/>
      <c r="I13" s="96"/>
      <c r="J13" s="96">
        <f t="shared" si="0"/>
        <v>0</v>
      </c>
    </row>
    <row r="14" spans="1:21" x14ac:dyDescent="0.25">
      <c r="A14" s="95"/>
      <c r="B14" s="100"/>
      <c r="C14" s="96"/>
      <c r="D14" s="96"/>
      <c r="E14" s="97"/>
      <c r="F14" s="95"/>
      <c r="G14" s="95"/>
      <c r="H14" s="100"/>
      <c r="I14" s="96"/>
      <c r="J14" s="96">
        <f t="shared" si="0"/>
        <v>0</v>
      </c>
    </row>
    <row r="15" spans="1:21" x14ac:dyDescent="0.25">
      <c r="A15" s="95"/>
      <c r="B15" s="100"/>
      <c r="C15" s="96"/>
      <c r="D15" s="96"/>
      <c r="E15" s="97"/>
      <c r="F15" s="95"/>
      <c r="G15" s="95"/>
      <c r="H15" s="100"/>
      <c r="I15" s="96"/>
      <c r="J15" s="96">
        <f t="shared" si="0"/>
        <v>0</v>
      </c>
    </row>
    <row r="16" spans="1:21" x14ac:dyDescent="0.25">
      <c r="A16" s="95"/>
      <c r="B16" s="100"/>
      <c r="C16" s="96"/>
      <c r="D16" s="96"/>
      <c r="E16" s="97"/>
      <c r="F16" s="95"/>
      <c r="G16" s="95"/>
      <c r="H16" s="100"/>
      <c r="I16" s="96"/>
      <c r="J16" s="96">
        <f t="shared" si="0"/>
        <v>0</v>
      </c>
    </row>
    <row r="17" spans="1:10" x14ac:dyDescent="0.25">
      <c r="A17" s="95"/>
      <c r="B17" s="100"/>
      <c r="C17" s="96"/>
      <c r="D17" s="96"/>
      <c r="E17" s="97"/>
      <c r="F17" s="95"/>
      <c r="G17" s="95"/>
      <c r="H17" s="100"/>
      <c r="I17" s="96"/>
      <c r="J17" s="96">
        <f t="shared" si="0"/>
        <v>0</v>
      </c>
    </row>
    <row r="18" spans="1:10" x14ac:dyDescent="0.25">
      <c r="A18" s="95"/>
      <c r="B18" s="100"/>
      <c r="C18" s="96"/>
      <c r="D18" s="96"/>
      <c r="E18" s="97"/>
      <c r="F18" s="95"/>
      <c r="G18" s="95"/>
      <c r="H18" s="100"/>
      <c r="I18" s="96"/>
      <c r="J18" s="96">
        <f t="shared" si="0"/>
        <v>0</v>
      </c>
    </row>
    <row r="19" spans="1:10" x14ac:dyDescent="0.25">
      <c r="A19" s="95"/>
      <c r="B19" s="100"/>
      <c r="C19" s="96"/>
      <c r="D19" s="96"/>
      <c r="E19" s="97"/>
      <c r="F19" s="95"/>
      <c r="G19" s="95"/>
      <c r="H19" s="100"/>
      <c r="I19" s="96"/>
      <c r="J19" s="96">
        <f t="shared" si="0"/>
        <v>0</v>
      </c>
    </row>
    <row r="20" spans="1:10" x14ac:dyDescent="0.25">
      <c r="A20" s="95"/>
      <c r="B20" s="100">
        <f>SUM(B3:B19)</f>
        <v>5</v>
      </c>
      <c r="C20" s="96"/>
      <c r="D20" s="96"/>
      <c r="E20" s="97"/>
      <c r="F20" s="95"/>
      <c r="G20" s="95"/>
      <c r="H20" s="100">
        <f>SUM(H3:H19)</f>
        <v>5</v>
      </c>
      <c r="I20" s="96"/>
      <c r="J20" s="9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"/>
  <sheetViews>
    <sheetView workbookViewId="0">
      <pane ySplit="1" topLeftCell="A2" activePane="bottomLeft" state="frozen"/>
      <selection pane="bottomLeft" activeCell="L14" sqref="L14"/>
    </sheetView>
  </sheetViews>
  <sheetFormatPr defaultColWidth="8.85546875" defaultRowHeight="15.75" x14ac:dyDescent="0.25"/>
  <cols>
    <col min="1" max="1" width="11.140625" style="98" customWidth="1"/>
    <col min="2" max="2" width="11.140625" style="99" customWidth="1"/>
    <col min="3" max="5" width="11.140625" style="98" customWidth="1"/>
    <col min="6" max="6" width="10.5703125" style="102" customWidth="1"/>
    <col min="7" max="7" width="14.42578125" style="102" bestFit="1" customWidth="1"/>
    <col min="8" max="8" width="4.140625" style="102" customWidth="1"/>
    <col min="9" max="9" width="10.42578125" style="98" customWidth="1"/>
    <col min="10" max="10" width="13.7109375" style="98" customWidth="1"/>
    <col min="11" max="13" width="11.28515625" style="98" customWidth="1"/>
    <col min="14" max="14" width="10.5703125" style="102" customWidth="1"/>
    <col min="15" max="15" width="14.42578125" style="102" bestFit="1" customWidth="1"/>
    <col min="16" max="17" width="8.85546875" style="98"/>
    <col min="18" max="18" width="14.42578125" style="98" bestFit="1" customWidth="1"/>
    <col min="19" max="19" width="10.42578125" style="98" bestFit="1" customWidth="1"/>
    <col min="20" max="16384" width="8.85546875" style="98"/>
  </cols>
  <sheetData>
    <row r="1" spans="1:26" s="93" customFormat="1" ht="42.75" x14ac:dyDescent="0.25">
      <c r="A1" s="90" t="s">
        <v>60</v>
      </c>
      <c r="B1" s="119"/>
      <c r="C1" s="90" t="s">
        <v>71</v>
      </c>
      <c r="D1" s="90" t="s">
        <v>72</v>
      </c>
      <c r="E1" s="90"/>
      <c r="F1" s="91" t="s">
        <v>61</v>
      </c>
      <c r="G1" s="91" t="s">
        <v>62</v>
      </c>
      <c r="H1" s="91"/>
      <c r="I1" s="90" t="s">
        <v>63</v>
      </c>
      <c r="J1" s="90" t="s">
        <v>64</v>
      </c>
      <c r="K1" s="90" t="s">
        <v>71</v>
      </c>
      <c r="L1" s="90" t="s">
        <v>72</v>
      </c>
      <c r="M1" s="90"/>
      <c r="N1" s="91" t="s">
        <v>61</v>
      </c>
      <c r="O1" s="91" t="s">
        <v>62</v>
      </c>
      <c r="P1" s="92"/>
      <c r="Q1" s="92"/>
      <c r="R1" s="90" t="s">
        <v>71</v>
      </c>
      <c r="S1" s="90" t="s">
        <v>72</v>
      </c>
      <c r="T1" s="90"/>
      <c r="U1" s="90"/>
      <c r="V1" s="90"/>
    </row>
    <row r="2" spans="1:26" x14ac:dyDescent="0.25">
      <c r="A2" s="94" t="s">
        <v>65</v>
      </c>
      <c r="B2" s="120"/>
      <c r="C2" s="95"/>
      <c r="D2" s="95"/>
      <c r="E2" s="95"/>
      <c r="F2" s="96"/>
      <c r="G2" s="96"/>
      <c r="H2" s="97"/>
      <c r="I2" s="94" t="s">
        <v>65</v>
      </c>
      <c r="J2" s="95"/>
      <c r="K2" s="95"/>
      <c r="L2" s="95"/>
      <c r="M2" s="95"/>
      <c r="N2" s="96"/>
      <c r="O2" s="96"/>
      <c r="Q2" s="99"/>
      <c r="R2" s="100">
        <f>0+C20-K20</f>
        <v>0</v>
      </c>
      <c r="S2" s="100">
        <f>0+D20-L20</f>
        <v>0</v>
      </c>
      <c r="T2" s="100"/>
      <c r="U2" s="100"/>
      <c r="V2" s="100"/>
      <c r="W2" s="99"/>
      <c r="X2" s="99"/>
      <c r="Y2" s="99"/>
      <c r="Z2" s="99"/>
    </row>
    <row r="3" spans="1:26" x14ac:dyDescent="0.25">
      <c r="A3" s="101">
        <v>45582</v>
      </c>
      <c r="B3" s="100">
        <v>10</v>
      </c>
      <c r="C3" s="100">
        <v>300</v>
      </c>
      <c r="D3" s="100"/>
      <c r="E3" s="100"/>
      <c r="F3" s="96">
        <v>5.8333300000000001</v>
      </c>
      <c r="G3" s="96">
        <f>C3*F3+D3*F3+E3*F3</f>
        <v>1749.999</v>
      </c>
      <c r="H3" s="97"/>
      <c r="I3" s="101"/>
      <c r="J3" s="95"/>
      <c r="K3" s="100"/>
      <c r="L3" s="100"/>
      <c r="M3" s="100"/>
      <c r="N3" s="96"/>
      <c r="O3" s="96">
        <f>K3*N3</f>
        <v>0</v>
      </c>
      <c r="R3" s="96">
        <v>5.8333300000000001</v>
      </c>
      <c r="S3" s="96">
        <v>3.4143500000000002</v>
      </c>
      <c r="T3" s="96"/>
      <c r="U3" s="96"/>
      <c r="V3" s="96"/>
      <c r="W3" s="102"/>
      <c r="X3" s="102"/>
      <c r="Y3" s="102"/>
    </row>
    <row r="4" spans="1:26" x14ac:dyDescent="0.25">
      <c r="A4" s="95"/>
      <c r="B4" s="100">
        <v>10</v>
      </c>
      <c r="C4" s="100"/>
      <c r="D4" s="100">
        <v>700</v>
      </c>
      <c r="E4" s="100"/>
      <c r="F4" s="96">
        <v>3.4143500000000002</v>
      </c>
      <c r="G4" s="96">
        <f>C4*F4+D4*F4+E4*F4</f>
        <v>2390.0450000000001</v>
      </c>
      <c r="H4" s="97"/>
      <c r="I4" s="101"/>
      <c r="J4" s="95"/>
      <c r="K4" s="100"/>
      <c r="L4" s="100"/>
      <c r="M4" s="100"/>
      <c r="N4" s="96"/>
      <c r="O4" s="96">
        <f>K4*N4</f>
        <v>0</v>
      </c>
      <c r="R4" s="96">
        <f>R2*R3</f>
        <v>0</v>
      </c>
      <c r="S4" s="96">
        <f>S2*S3</f>
        <v>0</v>
      </c>
      <c r="T4" s="96"/>
      <c r="U4" s="96"/>
      <c r="V4" s="96"/>
      <c r="W4" s="102"/>
      <c r="X4" s="102"/>
      <c r="Y4" s="102"/>
    </row>
    <row r="5" spans="1:26" x14ac:dyDescent="0.25">
      <c r="A5" s="95"/>
      <c r="B5" s="100"/>
      <c r="C5" s="100"/>
      <c r="D5" s="100"/>
      <c r="E5" s="100"/>
      <c r="F5" s="96"/>
      <c r="G5" s="96"/>
      <c r="H5" s="97"/>
      <c r="I5" s="101">
        <v>45629</v>
      </c>
      <c r="J5" s="95" t="s">
        <v>66</v>
      </c>
      <c r="K5" s="100">
        <v>150</v>
      </c>
      <c r="L5" s="100"/>
      <c r="M5" s="100"/>
      <c r="N5" s="96">
        <v>5.83</v>
      </c>
      <c r="O5" s="96">
        <f>K5*N5+L5*N5+M5*N5</f>
        <v>874.5</v>
      </c>
    </row>
    <row r="6" spans="1:26" x14ac:dyDescent="0.25">
      <c r="A6" s="95"/>
      <c r="B6" s="100"/>
      <c r="C6" s="100"/>
      <c r="D6" s="100"/>
      <c r="E6" s="100"/>
      <c r="F6" s="96"/>
      <c r="G6" s="96"/>
      <c r="H6" s="97"/>
      <c r="I6" s="101"/>
      <c r="J6" s="95" t="s">
        <v>66</v>
      </c>
      <c r="K6" s="100"/>
      <c r="L6" s="100">
        <v>500</v>
      </c>
      <c r="M6" s="100"/>
      <c r="N6" s="96">
        <v>3.41</v>
      </c>
      <c r="O6" s="96">
        <f t="shared" ref="O6:O19" si="0">K6*N6+L6*N6+M6*N6</f>
        <v>1705</v>
      </c>
    </row>
    <row r="7" spans="1:26" x14ac:dyDescent="0.25">
      <c r="A7" s="95"/>
      <c r="B7" s="100"/>
      <c r="C7" s="100"/>
      <c r="D7" s="100"/>
      <c r="E7" s="100"/>
      <c r="F7" s="96"/>
      <c r="G7" s="96"/>
      <c r="H7" s="97"/>
      <c r="I7" s="101">
        <v>45630</v>
      </c>
      <c r="J7" s="95" t="s">
        <v>66</v>
      </c>
      <c r="K7" s="100"/>
      <c r="L7" s="100">
        <v>18</v>
      </c>
      <c r="M7" s="100"/>
      <c r="N7" s="96">
        <v>3.4143500000000002</v>
      </c>
      <c r="O7" s="96">
        <f t="shared" si="0"/>
        <v>61.458300000000001</v>
      </c>
    </row>
    <row r="8" spans="1:26" ht="16.5" thickBot="1" x14ac:dyDescent="0.3">
      <c r="A8" s="147"/>
      <c r="B8" s="148"/>
      <c r="C8" s="148"/>
      <c r="D8" s="148"/>
      <c r="E8" s="148"/>
      <c r="F8" s="149"/>
      <c r="G8" s="149"/>
      <c r="H8" s="149"/>
      <c r="I8" s="180" t="s">
        <v>67</v>
      </c>
      <c r="J8" s="180"/>
      <c r="K8" s="181"/>
      <c r="L8" s="181"/>
      <c r="M8" s="181"/>
      <c r="N8" s="182"/>
      <c r="O8" s="182">
        <f t="shared" si="0"/>
        <v>0</v>
      </c>
    </row>
    <row r="9" spans="1:26" x14ac:dyDescent="0.25">
      <c r="A9" s="95"/>
      <c r="B9" s="100"/>
      <c r="C9" s="100"/>
      <c r="D9" s="100"/>
      <c r="E9" s="100"/>
      <c r="F9" s="96"/>
      <c r="G9" s="96"/>
      <c r="H9" s="179"/>
      <c r="I9" s="187">
        <v>45744</v>
      </c>
      <c r="J9" s="188"/>
      <c r="K9" s="189">
        <v>150</v>
      </c>
      <c r="L9" s="189"/>
      <c r="M9" s="189"/>
      <c r="N9" s="190">
        <v>5.83</v>
      </c>
      <c r="O9" s="191">
        <f t="shared" si="0"/>
        <v>874.5</v>
      </c>
    </row>
    <row r="10" spans="1:26" ht="16.5" thickBot="1" x14ac:dyDescent="0.3">
      <c r="A10" s="95"/>
      <c r="B10" s="100"/>
      <c r="C10" s="100"/>
      <c r="D10" s="100"/>
      <c r="E10" s="100"/>
      <c r="F10" s="96"/>
      <c r="G10" s="96"/>
      <c r="H10" s="179"/>
      <c r="I10" s="217"/>
      <c r="J10" s="195"/>
      <c r="K10" s="196"/>
      <c r="L10" s="196">
        <v>182</v>
      </c>
      <c r="M10" s="196"/>
      <c r="N10" s="197">
        <v>3.41</v>
      </c>
      <c r="O10" s="198">
        <f t="shared" si="0"/>
        <v>620.62</v>
      </c>
    </row>
    <row r="11" spans="1:26" x14ac:dyDescent="0.25">
      <c r="A11" s="95"/>
      <c r="B11" s="100"/>
      <c r="C11" s="100"/>
      <c r="D11" s="100"/>
      <c r="E11" s="100"/>
      <c r="F11" s="96"/>
      <c r="G11" s="96"/>
      <c r="H11" s="97"/>
      <c r="I11" s="184"/>
      <c r="J11" s="184"/>
      <c r="K11" s="185"/>
      <c r="L11" s="185"/>
      <c r="M11" s="185"/>
      <c r="N11" s="186"/>
      <c r="O11" s="186">
        <f t="shared" si="0"/>
        <v>0</v>
      </c>
    </row>
    <row r="12" spans="1:26" x14ac:dyDescent="0.25">
      <c r="A12" s="95"/>
      <c r="B12" s="100"/>
      <c r="C12" s="100"/>
      <c r="D12" s="100"/>
      <c r="E12" s="100"/>
      <c r="F12" s="96"/>
      <c r="G12" s="96"/>
      <c r="H12" s="97"/>
      <c r="I12" s="95"/>
      <c r="J12" s="95"/>
      <c r="K12" s="100"/>
      <c r="L12" s="100"/>
      <c r="M12" s="100"/>
      <c r="N12" s="96"/>
      <c r="O12" s="96">
        <f t="shared" si="0"/>
        <v>0</v>
      </c>
    </row>
    <row r="13" spans="1:26" x14ac:dyDescent="0.25">
      <c r="A13" s="95"/>
      <c r="B13" s="100"/>
      <c r="C13" s="100"/>
      <c r="D13" s="100"/>
      <c r="E13" s="100"/>
      <c r="F13" s="96"/>
      <c r="G13" s="96"/>
      <c r="H13" s="97"/>
      <c r="I13" s="95"/>
      <c r="J13" s="95"/>
      <c r="K13" s="100"/>
      <c r="L13" s="100"/>
      <c r="M13" s="100"/>
      <c r="N13" s="96"/>
      <c r="O13" s="96">
        <f t="shared" si="0"/>
        <v>0</v>
      </c>
    </row>
    <row r="14" spans="1:26" x14ac:dyDescent="0.25">
      <c r="A14" s="95"/>
      <c r="B14" s="100"/>
      <c r="C14" s="100"/>
      <c r="D14" s="100"/>
      <c r="E14" s="100"/>
      <c r="F14" s="96"/>
      <c r="G14" s="96"/>
      <c r="H14" s="97"/>
      <c r="I14" s="95"/>
      <c r="J14" s="95"/>
      <c r="K14" s="100"/>
      <c r="L14" s="100"/>
      <c r="M14" s="100"/>
      <c r="N14" s="96"/>
      <c r="O14" s="96">
        <f t="shared" si="0"/>
        <v>0</v>
      </c>
    </row>
    <row r="15" spans="1:26" x14ac:dyDescent="0.25">
      <c r="A15" s="95"/>
      <c r="B15" s="100"/>
      <c r="C15" s="100"/>
      <c r="D15" s="100"/>
      <c r="E15" s="100"/>
      <c r="F15" s="96"/>
      <c r="G15" s="96"/>
      <c r="H15" s="97"/>
      <c r="I15" s="95"/>
      <c r="J15" s="95"/>
      <c r="K15" s="100"/>
      <c r="L15" s="100"/>
      <c r="M15" s="100"/>
      <c r="N15" s="96"/>
      <c r="O15" s="96">
        <f t="shared" si="0"/>
        <v>0</v>
      </c>
    </row>
    <row r="16" spans="1:26" x14ac:dyDescent="0.25">
      <c r="A16" s="95"/>
      <c r="B16" s="100"/>
      <c r="C16" s="100"/>
      <c r="D16" s="100"/>
      <c r="E16" s="100"/>
      <c r="F16" s="96"/>
      <c r="G16" s="96"/>
      <c r="H16" s="97"/>
      <c r="I16" s="95"/>
      <c r="J16" s="95"/>
      <c r="K16" s="100"/>
      <c r="L16" s="100"/>
      <c r="M16" s="100"/>
      <c r="N16" s="96"/>
      <c r="O16" s="96">
        <f t="shared" si="0"/>
        <v>0</v>
      </c>
    </row>
    <row r="17" spans="1:15" x14ac:dyDescent="0.25">
      <c r="A17" s="95"/>
      <c r="B17" s="100"/>
      <c r="C17" s="100"/>
      <c r="D17" s="100"/>
      <c r="E17" s="100"/>
      <c r="F17" s="96"/>
      <c r="G17" s="96"/>
      <c r="H17" s="97"/>
      <c r="I17" s="95"/>
      <c r="J17" s="95"/>
      <c r="K17" s="100"/>
      <c r="L17" s="100"/>
      <c r="M17" s="100"/>
      <c r="N17" s="96"/>
      <c r="O17" s="96">
        <f t="shared" si="0"/>
        <v>0</v>
      </c>
    </row>
    <row r="18" spans="1:15" x14ac:dyDescent="0.25">
      <c r="A18" s="95"/>
      <c r="B18" s="100"/>
      <c r="C18" s="100"/>
      <c r="D18" s="100"/>
      <c r="E18" s="100"/>
      <c r="F18" s="96"/>
      <c r="G18" s="96"/>
      <c r="H18" s="97"/>
      <c r="I18" s="95"/>
      <c r="J18" s="95"/>
      <c r="K18" s="100"/>
      <c r="L18" s="100"/>
      <c r="M18" s="100"/>
      <c r="N18" s="96"/>
      <c r="O18" s="96">
        <f t="shared" si="0"/>
        <v>0</v>
      </c>
    </row>
    <row r="19" spans="1:15" x14ac:dyDescent="0.25">
      <c r="A19" s="95"/>
      <c r="B19" s="100"/>
      <c r="C19" s="100"/>
      <c r="D19" s="100"/>
      <c r="E19" s="100"/>
      <c r="F19" s="96"/>
      <c r="G19" s="96"/>
      <c r="H19" s="97"/>
      <c r="I19" s="95"/>
      <c r="J19" s="95"/>
      <c r="K19" s="100"/>
      <c r="L19" s="100"/>
      <c r="M19" s="100"/>
      <c r="N19" s="96"/>
      <c r="O19" s="96">
        <f t="shared" si="0"/>
        <v>0</v>
      </c>
    </row>
    <row r="20" spans="1:15" x14ac:dyDescent="0.25">
      <c r="A20" s="95"/>
      <c r="B20" s="100"/>
      <c r="C20" s="100">
        <f>SUM(C3:C19)</f>
        <v>300</v>
      </c>
      <c r="D20" s="100">
        <f>SUM(D3:D19)</f>
        <v>700</v>
      </c>
      <c r="E20" s="100"/>
      <c r="F20" s="96"/>
      <c r="G20" s="96"/>
      <c r="H20" s="97"/>
      <c r="I20" s="95"/>
      <c r="J20" s="95"/>
      <c r="K20" s="100">
        <f>SUM(K3:K19)</f>
        <v>300</v>
      </c>
      <c r="L20" s="100">
        <f>SUM(L3:L19)</f>
        <v>700</v>
      </c>
      <c r="M20" s="100"/>
      <c r="N20" s="96"/>
      <c r="O20" s="9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3"/>
  <sheetViews>
    <sheetView workbookViewId="0">
      <pane ySplit="1" topLeftCell="A82" activePane="bottomLeft" state="frozen"/>
      <selection pane="bottomLeft" activeCell="P108" sqref="P108"/>
    </sheetView>
  </sheetViews>
  <sheetFormatPr defaultColWidth="8.85546875" defaultRowHeight="15.75" x14ac:dyDescent="0.25"/>
  <cols>
    <col min="1" max="1" width="11.140625" style="98" customWidth="1"/>
    <col min="2" max="2" width="13.140625" style="98" customWidth="1"/>
    <col min="3" max="5" width="11.7109375" style="98" customWidth="1"/>
    <col min="6" max="6" width="9.85546875" style="98" customWidth="1"/>
    <col min="7" max="7" width="10.5703125" style="102" customWidth="1"/>
    <col min="8" max="8" width="14.42578125" style="102" bestFit="1" customWidth="1"/>
    <col min="9" max="9" width="4.140625" style="102" customWidth="1"/>
    <col min="10" max="10" width="10.42578125" style="98" customWidth="1"/>
    <col min="11" max="11" width="13.140625" style="98" customWidth="1"/>
    <col min="12" max="12" width="14.28515625" style="98" customWidth="1"/>
    <col min="13" max="13" width="13.28515625" style="98" customWidth="1"/>
    <col min="14" max="14" width="14.28515625" style="98" customWidth="1"/>
    <col min="15" max="15" width="7.42578125" style="98" customWidth="1"/>
    <col min="16" max="16" width="10.5703125" style="102" customWidth="1"/>
    <col min="17" max="17" width="14.42578125" style="102" bestFit="1" customWidth="1"/>
    <col min="18" max="18" width="8.85546875" style="98"/>
    <col min="19" max="19" width="14.42578125" style="98" bestFit="1" customWidth="1"/>
    <col min="20" max="20" width="14.5703125" style="98" customWidth="1"/>
    <col min="21" max="21" width="12.85546875" style="98" customWidth="1"/>
    <col min="22" max="22" width="16.85546875" style="98" customWidth="1"/>
    <col min="23" max="23" width="19.7109375" style="98" customWidth="1"/>
    <col min="24" max="16384" width="8.85546875" style="98"/>
  </cols>
  <sheetData>
    <row r="1" spans="1:27" s="177" customFormat="1" ht="51" x14ac:dyDescent="0.25">
      <c r="A1" s="133" t="s">
        <v>60</v>
      </c>
      <c r="B1" s="133" t="s">
        <v>42</v>
      </c>
      <c r="C1" s="133" t="s">
        <v>43</v>
      </c>
      <c r="D1" s="133" t="s">
        <v>4</v>
      </c>
      <c r="E1" s="133" t="s">
        <v>5</v>
      </c>
      <c r="F1" s="133" t="s">
        <v>73</v>
      </c>
      <c r="G1" s="175" t="s">
        <v>61</v>
      </c>
      <c r="H1" s="175" t="s">
        <v>62</v>
      </c>
      <c r="I1" s="175"/>
      <c r="J1" s="133" t="s">
        <v>63</v>
      </c>
      <c r="K1" s="133" t="s">
        <v>42</v>
      </c>
      <c r="L1" s="133" t="s">
        <v>43</v>
      </c>
      <c r="M1" s="133" t="s">
        <v>4</v>
      </c>
      <c r="N1" s="133" t="s">
        <v>5</v>
      </c>
      <c r="O1" s="133" t="s">
        <v>73</v>
      </c>
      <c r="P1" s="175" t="s">
        <v>61</v>
      </c>
      <c r="Q1" s="175" t="s">
        <v>62</v>
      </c>
      <c r="R1" s="176"/>
      <c r="S1" s="133" t="s">
        <v>42</v>
      </c>
      <c r="T1" s="133" t="s">
        <v>43</v>
      </c>
      <c r="U1" s="133" t="s">
        <v>4</v>
      </c>
      <c r="V1" s="133" t="s">
        <v>5</v>
      </c>
      <c r="W1" s="133" t="s">
        <v>74</v>
      </c>
    </row>
    <row r="2" spans="1:27" x14ac:dyDescent="0.25">
      <c r="A2" s="94" t="s">
        <v>65</v>
      </c>
      <c r="B2" s="95"/>
      <c r="C2" s="95"/>
      <c r="D2" s="95"/>
      <c r="E2" s="95"/>
      <c r="F2" s="95"/>
      <c r="G2" s="96"/>
      <c r="H2" s="96"/>
      <c r="I2" s="97"/>
      <c r="J2" s="94" t="s">
        <v>65</v>
      </c>
      <c r="K2" s="95"/>
      <c r="L2" s="95"/>
      <c r="M2" s="95"/>
      <c r="N2" s="95"/>
      <c r="O2" s="95"/>
      <c r="P2" s="96"/>
      <c r="Q2" s="96"/>
      <c r="S2" s="100">
        <f>0+B103-K103</f>
        <v>4200</v>
      </c>
      <c r="T2" s="100">
        <f>0+C103-L103</f>
        <v>0</v>
      </c>
      <c r="U2" s="100">
        <f>0+D103-M103</f>
        <v>1300</v>
      </c>
      <c r="V2" s="100">
        <f>0+E103-N103</f>
        <v>932</v>
      </c>
      <c r="W2" s="100">
        <f>0+F103-O103</f>
        <v>54</v>
      </c>
      <c r="X2" s="99"/>
      <c r="Y2" s="99"/>
      <c r="Z2" s="99"/>
      <c r="AA2" s="99"/>
    </row>
    <row r="3" spans="1:27" x14ac:dyDescent="0.25">
      <c r="A3" s="101">
        <v>45569</v>
      </c>
      <c r="B3" s="100">
        <v>6000</v>
      </c>
      <c r="C3" s="100"/>
      <c r="D3" s="100"/>
      <c r="E3" s="100"/>
      <c r="F3" s="100"/>
      <c r="G3" s="96">
        <v>24.995999999999999</v>
      </c>
      <c r="H3" s="96">
        <f>B3*G3+C3*G3+D3*G3+E3*G3+F3*G3</f>
        <v>149976</v>
      </c>
      <c r="I3" s="97"/>
      <c r="J3" s="101"/>
      <c r="K3" s="100"/>
      <c r="L3" s="100"/>
      <c r="M3" s="100"/>
      <c r="N3" s="100"/>
      <c r="O3" s="100"/>
      <c r="P3" s="96"/>
      <c r="Q3" s="96"/>
      <c r="S3" s="96">
        <v>24.995999999999999</v>
      </c>
      <c r="T3" s="96">
        <v>13.788</v>
      </c>
      <c r="U3" s="96">
        <v>25.776</v>
      </c>
      <c r="V3" s="96">
        <v>24.744</v>
      </c>
      <c r="W3" s="96">
        <v>432.82</v>
      </c>
      <c r="X3" s="102"/>
      <c r="Y3" s="102"/>
      <c r="Z3" s="102"/>
    </row>
    <row r="4" spans="1:27" x14ac:dyDescent="0.25">
      <c r="A4" s="95"/>
      <c r="B4" s="100"/>
      <c r="C4" s="100"/>
      <c r="D4" s="100"/>
      <c r="E4" s="100"/>
      <c r="F4" s="100"/>
      <c r="G4" s="96"/>
      <c r="H4" s="96">
        <f t="shared" ref="H4:H67" si="0">B4*G4+C4*G4+D4*G4+E4*G4+F4*G4</f>
        <v>0</v>
      </c>
      <c r="I4" s="97"/>
      <c r="J4" s="101">
        <v>45573</v>
      </c>
      <c r="K4" s="100">
        <v>114</v>
      </c>
      <c r="L4" s="100"/>
      <c r="M4" s="100"/>
      <c r="N4" s="100"/>
      <c r="O4" s="100"/>
      <c r="P4" s="96">
        <v>25</v>
      </c>
      <c r="Q4" s="96">
        <f>K4*P4+L4*P4+O4*P4+M4*P4+N4*P4</f>
        <v>2850</v>
      </c>
      <c r="S4" s="160">
        <f>S2*S3</f>
        <v>104983.2</v>
      </c>
      <c r="T4" s="160">
        <f t="shared" ref="T4:W4" si="1">T2*T3</f>
        <v>0</v>
      </c>
      <c r="U4" s="160">
        <f t="shared" si="1"/>
        <v>33508.800000000003</v>
      </c>
      <c r="V4" s="160">
        <f t="shared" si="1"/>
        <v>23061.407999999999</v>
      </c>
      <c r="W4" s="160">
        <f t="shared" si="1"/>
        <v>23372.28</v>
      </c>
      <c r="X4" s="102"/>
      <c r="Y4" s="102"/>
      <c r="Z4" s="102"/>
    </row>
    <row r="5" spans="1:27" x14ac:dyDescent="0.25">
      <c r="A5" s="95"/>
      <c r="B5" s="100"/>
      <c r="C5" s="100"/>
      <c r="D5" s="100"/>
      <c r="E5" s="100"/>
      <c r="F5" s="100"/>
      <c r="G5" s="96"/>
      <c r="H5" s="96">
        <f t="shared" si="0"/>
        <v>0</v>
      </c>
      <c r="I5" s="97"/>
      <c r="J5" s="101">
        <v>45587</v>
      </c>
      <c r="K5" s="100">
        <v>282</v>
      </c>
      <c r="L5" s="100"/>
      <c r="M5" s="100"/>
      <c r="N5" s="100"/>
      <c r="O5" s="100"/>
      <c r="P5" s="96">
        <v>25</v>
      </c>
      <c r="Q5" s="96">
        <f t="shared" ref="Q5:Q68" si="2">K5*P5+L5*P5+O5*P5+M5*P5+N5*P5</f>
        <v>7050</v>
      </c>
    </row>
    <row r="6" spans="1:27" x14ac:dyDescent="0.25">
      <c r="A6" s="95"/>
      <c r="B6" s="100"/>
      <c r="C6" s="100"/>
      <c r="D6" s="100"/>
      <c r="E6" s="100"/>
      <c r="F6" s="100"/>
      <c r="G6" s="96"/>
      <c r="H6" s="96">
        <f t="shared" si="0"/>
        <v>0</v>
      </c>
      <c r="I6" s="97"/>
      <c r="J6" s="101">
        <v>45595</v>
      </c>
      <c r="K6" s="100">
        <v>103</v>
      </c>
      <c r="L6" s="100"/>
      <c r="M6" s="100"/>
      <c r="N6" s="100"/>
      <c r="O6" s="100"/>
      <c r="P6" s="96">
        <v>25</v>
      </c>
      <c r="Q6" s="96">
        <f t="shared" si="2"/>
        <v>2575</v>
      </c>
    </row>
    <row r="7" spans="1:27" x14ac:dyDescent="0.25">
      <c r="A7" s="95"/>
      <c r="B7" s="100"/>
      <c r="C7" s="100"/>
      <c r="D7" s="100"/>
      <c r="E7" s="100"/>
      <c r="F7" s="100"/>
      <c r="G7" s="96"/>
      <c r="H7" s="96">
        <f t="shared" si="0"/>
        <v>0</v>
      </c>
      <c r="I7" s="97"/>
      <c r="J7" s="101">
        <v>45596</v>
      </c>
      <c r="K7" s="100">
        <v>17</v>
      </c>
      <c r="L7" s="100"/>
      <c r="M7" s="100"/>
      <c r="N7" s="100"/>
      <c r="O7" s="100"/>
      <c r="P7" s="96">
        <v>25</v>
      </c>
      <c r="Q7" s="96">
        <f t="shared" si="2"/>
        <v>425</v>
      </c>
    </row>
    <row r="8" spans="1:27" x14ac:dyDescent="0.25">
      <c r="A8" s="95"/>
      <c r="B8" s="100"/>
      <c r="C8" s="100"/>
      <c r="D8" s="100"/>
      <c r="E8" s="100"/>
      <c r="F8" s="100"/>
      <c r="G8" s="96"/>
      <c r="H8" s="96">
        <f t="shared" si="0"/>
        <v>0</v>
      </c>
      <c r="I8" s="97"/>
      <c r="J8" s="101">
        <v>45598</v>
      </c>
      <c r="K8" s="100">
        <v>44</v>
      </c>
      <c r="L8" s="100"/>
      <c r="M8" s="100"/>
      <c r="N8" s="100"/>
      <c r="O8" s="100"/>
      <c r="P8" s="96">
        <v>25</v>
      </c>
      <c r="Q8" s="96">
        <f t="shared" si="2"/>
        <v>1100</v>
      </c>
    </row>
    <row r="9" spans="1:27" x14ac:dyDescent="0.25">
      <c r="A9" s="95"/>
      <c r="B9" s="100"/>
      <c r="C9" s="100"/>
      <c r="D9" s="100"/>
      <c r="E9" s="100"/>
      <c r="F9" s="100"/>
      <c r="G9" s="96"/>
      <c r="H9" s="96">
        <f t="shared" si="0"/>
        <v>0</v>
      </c>
      <c r="I9" s="97"/>
      <c r="J9" s="101">
        <v>45601</v>
      </c>
      <c r="K9" s="100">
        <v>154</v>
      </c>
      <c r="L9" s="100"/>
      <c r="M9" s="100"/>
      <c r="N9" s="100"/>
      <c r="O9" s="100"/>
      <c r="P9" s="96">
        <v>25</v>
      </c>
      <c r="Q9" s="96">
        <f t="shared" si="2"/>
        <v>3850</v>
      </c>
    </row>
    <row r="10" spans="1:27" x14ac:dyDescent="0.25">
      <c r="A10" s="95"/>
      <c r="B10" s="100"/>
      <c r="C10" s="100"/>
      <c r="D10" s="100"/>
      <c r="E10" s="100"/>
      <c r="F10" s="100"/>
      <c r="G10" s="96"/>
      <c r="H10" s="96">
        <f t="shared" si="0"/>
        <v>0</v>
      </c>
      <c r="I10" s="97"/>
      <c r="J10" s="101">
        <v>45602</v>
      </c>
      <c r="K10" s="100">
        <v>154</v>
      </c>
      <c r="L10" s="100"/>
      <c r="M10" s="100"/>
      <c r="N10" s="100"/>
      <c r="O10" s="100"/>
      <c r="P10" s="96">
        <v>25</v>
      </c>
      <c r="Q10" s="96">
        <f t="shared" si="2"/>
        <v>3850</v>
      </c>
    </row>
    <row r="11" spans="1:27" x14ac:dyDescent="0.25">
      <c r="A11" s="95"/>
      <c r="B11" s="100"/>
      <c r="C11" s="100"/>
      <c r="D11" s="100"/>
      <c r="E11" s="100"/>
      <c r="F11" s="100"/>
      <c r="G11" s="96"/>
      <c r="H11" s="96">
        <f t="shared" si="0"/>
        <v>0</v>
      </c>
      <c r="I11" s="97"/>
      <c r="J11" s="101">
        <v>45603</v>
      </c>
      <c r="K11" s="100">
        <v>151</v>
      </c>
      <c r="L11" s="100"/>
      <c r="M11" s="100"/>
      <c r="N11" s="100"/>
      <c r="O11" s="100"/>
      <c r="P11" s="96">
        <v>25</v>
      </c>
      <c r="Q11" s="96">
        <f t="shared" si="2"/>
        <v>3775</v>
      </c>
    </row>
    <row r="12" spans="1:27" x14ac:dyDescent="0.25">
      <c r="A12" s="95"/>
      <c r="B12" s="100"/>
      <c r="C12" s="100"/>
      <c r="D12" s="100"/>
      <c r="E12" s="100"/>
      <c r="F12" s="100"/>
      <c r="G12" s="96"/>
      <c r="H12" s="96">
        <f t="shared" si="0"/>
        <v>0</v>
      </c>
      <c r="I12" s="97"/>
      <c r="J12" s="101">
        <v>45604</v>
      </c>
      <c r="K12" s="100">
        <v>151</v>
      </c>
      <c r="L12" s="100"/>
      <c r="M12" s="100"/>
      <c r="N12" s="100"/>
      <c r="O12" s="100"/>
      <c r="P12" s="96">
        <v>25</v>
      </c>
      <c r="Q12" s="96">
        <f t="shared" si="2"/>
        <v>3775</v>
      </c>
    </row>
    <row r="13" spans="1:27" x14ac:dyDescent="0.25">
      <c r="A13" s="95"/>
      <c r="B13" s="100"/>
      <c r="C13" s="100"/>
      <c r="D13" s="100"/>
      <c r="E13" s="100"/>
      <c r="F13" s="100"/>
      <c r="G13" s="96"/>
      <c r="H13" s="96">
        <f t="shared" si="0"/>
        <v>0</v>
      </c>
      <c r="I13" s="97"/>
      <c r="J13" s="101">
        <v>45607</v>
      </c>
      <c r="K13" s="100">
        <v>111</v>
      </c>
      <c r="L13" s="100"/>
      <c r="M13" s="100"/>
      <c r="N13" s="100"/>
      <c r="O13" s="100"/>
      <c r="P13" s="96">
        <v>25</v>
      </c>
      <c r="Q13" s="96">
        <f t="shared" si="2"/>
        <v>2775</v>
      </c>
    </row>
    <row r="14" spans="1:27" x14ac:dyDescent="0.25">
      <c r="A14" s="95"/>
      <c r="B14" s="100"/>
      <c r="C14" s="100"/>
      <c r="D14" s="100"/>
      <c r="E14" s="100"/>
      <c r="F14" s="100"/>
      <c r="G14" s="96"/>
      <c r="H14" s="96">
        <f t="shared" si="0"/>
        <v>0</v>
      </c>
      <c r="I14" s="97"/>
      <c r="J14" s="101">
        <v>45610</v>
      </c>
      <c r="K14" s="100">
        <v>7</v>
      </c>
      <c r="L14" s="100"/>
      <c r="M14" s="100"/>
      <c r="N14" s="100"/>
      <c r="O14" s="100"/>
      <c r="P14" s="96">
        <v>25</v>
      </c>
      <c r="Q14" s="96">
        <f t="shared" si="2"/>
        <v>175</v>
      </c>
    </row>
    <row r="15" spans="1:27" x14ac:dyDescent="0.25">
      <c r="A15" s="95"/>
      <c r="B15" s="100"/>
      <c r="C15" s="100"/>
      <c r="D15" s="100"/>
      <c r="E15" s="100"/>
      <c r="F15" s="100"/>
      <c r="G15" s="96"/>
      <c r="H15" s="96">
        <f t="shared" si="0"/>
        <v>0</v>
      </c>
      <c r="I15" s="97"/>
      <c r="J15" s="101">
        <v>45621</v>
      </c>
      <c r="K15" s="100">
        <v>42</v>
      </c>
      <c r="L15" s="100"/>
      <c r="M15" s="100"/>
      <c r="N15" s="100"/>
      <c r="O15" s="100"/>
      <c r="P15" s="96">
        <v>25</v>
      </c>
      <c r="Q15" s="96">
        <f t="shared" si="2"/>
        <v>1050</v>
      </c>
    </row>
    <row r="16" spans="1:27" x14ac:dyDescent="0.25">
      <c r="A16" s="95"/>
      <c r="B16" s="100"/>
      <c r="C16" s="100"/>
      <c r="D16" s="100"/>
      <c r="E16" s="100"/>
      <c r="F16" s="100"/>
      <c r="G16" s="96"/>
      <c r="H16" s="96">
        <f t="shared" si="0"/>
        <v>0</v>
      </c>
      <c r="I16" s="97"/>
      <c r="J16" s="101">
        <v>45622</v>
      </c>
      <c r="K16" s="100">
        <v>44</v>
      </c>
      <c r="L16" s="100"/>
      <c r="M16" s="100"/>
      <c r="N16" s="100"/>
      <c r="O16" s="100"/>
      <c r="P16" s="96">
        <v>25</v>
      </c>
      <c r="Q16" s="96">
        <f t="shared" si="2"/>
        <v>1100</v>
      </c>
    </row>
    <row r="17" spans="1:17" x14ac:dyDescent="0.25">
      <c r="A17" s="95"/>
      <c r="B17" s="100"/>
      <c r="C17" s="100"/>
      <c r="D17" s="100"/>
      <c r="E17" s="100"/>
      <c r="F17" s="100"/>
      <c r="G17" s="96"/>
      <c r="H17" s="96">
        <f t="shared" si="0"/>
        <v>0</v>
      </c>
      <c r="I17" s="97"/>
      <c r="J17" s="101">
        <v>45630</v>
      </c>
      <c r="K17" s="100">
        <v>25</v>
      </c>
      <c r="L17" s="100"/>
      <c r="M17" s="100"/>
      <c r="N17" s="100"/>
      <c r="O17" s="100"/>
      <c r="P17" s="96">
        <v>25</v>
      </c>
      <c r="Q17" s="96">
        <f t="shared" si="2"/>
        <v>625</v>
      </c>
    </row>
    <row r="18" spans="1:17" x14ac:dyDescent="0.25">
      <c r="A18" s="95"/>
      <c r="B18" s="100"/>
      <c r="C18" s="100"/>
      <c r="D18" s="100"/>
      <c r="E18" s="100"/>
      <c r="F18" s="100"/>
      <c r="G18" s="96"/>
      <c r="H18" s="96">
        <f t="shared" si="0"/>
        <v>0</v>
      </c>
      <c r="I18" s="97"/>
      <c r="J18" s="101">
        <v>45631</v>
      </c>
      <c r="K18" s="100">
        <v>31</v>
      </c>
      <c r="L18" s="100"/>
      <c r="M18" s="100"/>
      <c r="N18" s="100"/>
      <c r="O18" s="100"/>
      <c r="P18" s="96">
        <v>25</v>
      </c>
      <c r="Q18" s="96">
        <f t="shared" si="2"/>
        <v>775</v>
      </c>
    </row>
    <row r="19" spans="1:17" x14ac:dyDescent="0.25">
      <c r="A19" s="95"/>
      <c r="B19" s="100"/>
      <c r="C19" s="100"/>
      <c r="D19" s="100"/>
      <c r="E19" s="100"/>
      <c r="F19" s="100"/>
      <c r="G19" s="96"/>
      <c r="H19" s="96">
        <f t="shared" si="0"/>
        <v>0</v>
      </c>
      <c r="I19" s="97"/>
      <c r="J19" s="101">
        <v>45636</v>
      </c>
      <c r="K19" s="100">
        <v>18</v>
      </c>
      <c r="L19" s="100"/>
      <c r="M19" s="100"/>
      <c r="N19" s="100"/>
      <c r="O19" s="100"/>
      <c r="P19" s="96">
        <v>25</v>
      </c>
      <c r="Q19" s="96">
        <f t="shared" si="2"/>
        <v>450</v>
      </c>
    </row>
    <row r="20" spans="1:17" x14ac:dyDescent="0.25">
      <c r="A20" s="95"/>
      <c r="B20" s="100"/>
      <c r="C20" s="100"/>
      <c r="D20" s="100"/>
      <c r="E20" s="100"/>
      <c r="F20" s="100"/>
      <c r="G20" s="96"/>
      <c r="H20" s="96">
        <f t="shared" si="0"/>
        <v>0</v>
      </c>
      <c r="I20" s="97"/>
      <c r="J20" s="101">
        <v>45637</v>
      </c>
      <c r="K20" s="100">
        <v>111</v>
      </c>
      <c r="L20" s="100"/>
      <c r="M20" s="100"/>
      <c r="N20" s="100"/>
      <c r="O20" s="100"/>
      <c r="P20" s="96">
        <v>25</v>
      </c>
      <c r="Q20" s="96">
        <f t="shared" si="2"/>
        <v>2775</v>
      </c>
    </row>
    <row r="21" spans="1:17" x14ac:dyDescent="0.25">
      <c r="A21" s="95"/>
      <c r="B21" s="100"/>
      <c r="C21" s="100"/>
      <c r="D21" s="100"/>
      <c r="E21" s="100"/>
      <c r="F21" s="100"/>
      <c r="G21" s="96"/>
      <c r="H21" s="96">
        <f t="shared" si="0"/>
        <v>0</v>
      </c>
      <c r="I21" s="97"/>
      <c r="J21" s="101">
        <v>45638</v>
      </c>
      <c r="K21" s="100">
        <v>133</v>
      </c>
      <c r="L21" s="100"/>
      <c r="M21" s="100"/>
      <c r="N21" s="100"/>
      <c r="O21" s="100"/>
      <c r="P21" s="96">
        <v>25</v>
      </c>
      <c r="Q21" s="96">
        <f t="shared" si="2"/>
        <v>3325</v>
      </c>
    </row>
    <row r="22" spans="1:17" x14ac:dyDescent="0.25">
      <c r="A22" s="95"/>
      <c r="B22" s="100"/>
      <c r="C22" s="100"/>
      <c r="D22" s="100"/>
      <c r="E22" s="100"/>
      <c r="F22" s="100"/>
      <c r="G22" s="96"/>
      <c r="H22" s="96">
        <f t="shared" si="0"/>
        <v>0</v>
      </c>
      <c r="I22" s="97"/>
      <c r="J22" s="101">
        <v>45642</v>
      </c>
      <c r="K22" s="100">
        <v>46</v>
      </c>
      <c r="L22" s="100"/>
      <c r="M22" s="100"/>
      <c r="N22" s="100"/>
      <c r="O22" s="100"/>
      <c r="P22" s="96">
        <v>25</v>
      </c>
      <c r="Q22" s="96">
        <f t="shared" si="2"/>
        <v>1150</v>
      </c>
    </row>
    <row r="23" spans="1:17" x14ac:dyDescent="0.25">
      <c r="A23" s="95"/>
      <c r="B23" s="100"/>
      <c r="C23" s="100"/>
      <c r="D23" s="100"/>
      <c r="E23" s="100"/>
      <c r="F23" s="100"/>
      <c r="G23" s="96"/>
      <c r="H23" s="96">
        <f t="shared" si="0"/>
        <v>0</v>
      </c>
      <c r="I23" s="97"/>
      <c r="J23" s="101">
        <v>45643</v>
      </c>
      <c r="K23" s="100">
        <v>46</v>
      </c>
      <c r="L23" s="100"/>
      <c r="M23" s="100"/>
      <c r="N23" s="100"/>
      <c r="O23" s="100"/>
      <c r="P23" s="96">
        <v>25</v>
      </c>
      <c r="Q23" s="96">
        <f t="shared" si="2"/>
        <v>1150</v>
      </c>
    </row>
    <row r="24" spans="1:17" x14ac:dyDescent="0.25">
      <c r="A24" s="95"/>
      <c r="B24" s="100"/>
      <c r="C24" s="100"/>
      <c r="D24" s="100"/>
      <c r="E24" s="100"/>
      <c r="F24" s="100"/>
      <c r="G24" s="96"/>
      <c r="H24" s="96">
        <f t="shared" si="0"/>
        <v>0</v>
      </c>
      <c r="I24" s="97"/>
      <c r="J24" s="101">
        <v>45644</v>
      </c>
      <c r="K24" s="100">
        <v>46</v>
      </c>
      <c r="L24" s="100"/>
      <c r="M24" s="100"/>
      <c r="N24" s="100"/>
      <c r="O24" s="100"/>
      <c r="P24" s="96">
        <v>25</v>
      </c>
      <c r="Q24" s="96">
        <f t="shared" si="2"/>
        <v>1150</v>
      </c>
    </row>
    <row r="25" spans="1:17" x14ac:dyDescent="0.25">
      <c r="A25" s="95"/>
      <c r="B25" s="100"/>
      <c r="C25" s="100"/>
      <c r="D25" s="100"/>
      <c r="E25" s="100"/>
      <c r="F25" s="100"/>
      <c r="G25" s="96"/>
      <c r="H25" s="96">
        <f t="shared" si="0"/>
        <v>0</v>
      </c>
      <c r="I25" s="97"/>
      <c r="J25" s="101">
        <v>45646</v>
      </c>
      <c r="K25" s="100">
        <v>70</v>
      </c>
      <c r="L25" s="100"/>
      <c r="M25" s="100"/>
      <c r="N25" s="100"/>
      <c r="O25" s="100"/>
      <c r="P25" s="96">
        <v>25</v>
      </c>
      <c r="Q25" s="96">
        <f t="shared" si="2"/>
        <v>1750</v>
      </c>
    </row>
    <row r="26" spans="1:17" x14ac:dyDescent="0.25">
      <c r="A26" s="95"/>
      <c r="B26" s="100"/>
      <c r="C26" s="100"/>
      <c r="D26" s="100"/>
      <c r="E26" s="100"/>
      <c r="F26" s="100"/>
      <c r="G26" s="96"/>
      <c r="H26" s="96">
        <f t="shared" si="0"/>
        <v>0</v>
      </c>
      <c r="I26" s="97"/>
      <c r="J26" s="101">
        <v>45649</v>
      </c>
      <c r="K26" s="100">
        <v>23</v>
      </c>
      <c r="L26" s="100"/>
      <c r="M26" s="100"/>
      <c r="N26" s="100"/>
      <c r="O26" s="100"/>
      <c r="P26" s="96">
        <v>25</v>
      </c>
      <c r="Q26" s="96">
        <f t="shared" si="2"/>
        <v>575</v>
      </c>
    </row>
    <row r="27" spans="1:17" x14ac:dyDescent="0.25">
      <c r="A27" s="95"/>
      <c r="B27" s="100"/>
      <c r="C27" s="100"/>
      <c r="D27" s="100"/>
      <c r="E27" s="100"/>
      <c r="F27" s="100"/>
      <c r="G27" s="96"/>
      <c r="H27" s="96">
        <f t="shared" si="0"/>
        <v>0</v>
      </c>
      <c r="I27" s="97"/>
      <c r="J27" s="101">
        <v>45651</v>
      </c>
      <c r="K27" s="100">
        <v>186</v>
      </c>
      <c r="L27" s="100"/>
      <c r="M27" s="100"/>
      <c r="N27" s="100"/>
      <c r="O27" s="100"/>
      <c r="P27" s="96">
        <v>25</v>
      </c>
      <c r="Q27" s="96">
        <f t="shared" si="2"/>
        <v>4650</v>
      </c>
    </row>
    <row r="28" spans="1:17" x14ac:dyDescent="0.25">
      <c r="A28" s="95"/>
      <c r="B28" s="100"/>
      <c r="C28" s="100"/>
      <c r="D28" s="100"/>
      <c r="E28" s="100"/>
      <c r="F28" s="100"/>
      <c r="G28" s="96"/>
      <c r="H28" s="96">
        <f t="shared" si="0"/>
        <v>0</v>
      </c>
      <c r="I28" s="97"/>
      <c r="J28" s="101">
        <v>45652</v>
      </c>
      <c r="K28" s="100">
        <v>156</v>
      </c>
      <c r="L28" s="100"/>
      <c r="M28" s="100"/>
      <c r="N28" s="100"/>
      <c r="O28" s="100"/>
      <c r="P28" s="96">
        <v>25</v>
      </c>
      <c r="Q28" s="96">
        <f t="shared" si="2"/>
        <v>3900</v>
      </c>
    </row>
    <row r="29" spans="1:17" x14ac:dyDescent="0.25">
      <c r="A29" s="147"/>
      <c r="B29" s="148"/>
      <c r="C29" s="148"/>
      <c r="D29" s="148"/>
      <c r="E29" s="148"/>
      <c r="F29" s="148"/>
      <c r="G29" s="149"/>
      <c r="H29" s="149">
        <f t="shared" si="0"/>
        <v>0</v>
      </c>
      <c r="I29" s="149"/>
      <c r="J29" s="150"/>
      <c r="K29" s="148"/>
      <c r="L29" s="148"/>
      <c r="M29" s="148"/>
      <c r="N29" s="148"/>
      <c r="O29" s="148"/>
      <c r="P29" s="149"/>
      <c r="Q29" s="149">
        <f t="shared" si="2"/>
        <v>0</v>
      </c>
    </row>
    <row r="30" spans="1:17" x14ac:dyDescent="0.25">
      <c r="A30" s="95"/>
      <c r="B30" s="100"/>
      <c r="C30" s="100"/>
      <c r="D30" s="100"/>
      <c r="E30" s="100"/>
      <c r="F30" s="100"/>
      <c r="G30" s="96"/>
      <c r="H30" s="96">
        <f t="shared" si="0"/>
        <v>0</v>
      </c>
      <c r="I30" s="97"/>
      <c r="J30" s="101">
        <v>45666</v>
      </c>
      <c r="K30" s="100">
        <v>38</v>
      </c>
      <c r="L30" s="100"/>
      <c r="M30" s="100"/>
      <c r="N30" s="100"/>
      <c r="O30" s="100"/>
      <c r="P30" s="96">
        <v>25</v>
      </c>
      <c r="Q30" s="96">
        <f t="shared" si="2"/>
        <v>950</v>
      </c>
    </row>
    <row r="31" spans="1:17" x14ac:dyDescent="0.25">
      <c r="A31" s="95"/>
      <c r="B31" s="100"/>
      <c r="C31" s="100"/>
      <c r="D31" s="100"/>
      <c r="E31" s="100"/>
      <c r="F31" s="100"/>
      <c r="G31" s="96"/>
      <c r="H31" s="96">
        <f t="shared" si="0"/>
        <v>0</v>
      </c>
      <c r="I31" s="97"/>
      <c r="J31" s="101">
        <v>45667</v>
      </c>
      <c r="K31" s="100">
        <v>37</v>
      </c>
      <c r="L31" s="100"/>
      <c r="M31" s="100"/>
      <c r="N31" s="100"/>
      <c r="O31" s="100"/>
      <c r="P31" s="96">
        <v>25</v>
      </c>
      <c r="Q31" s="96">
        <f t="shared" si="2"/>
        <v>925</v>
      </c>
    </row>
    <row r="32" spans="1:17" x14ac:dyDescent="0.25">
      <c r="A32" s="95"/>
      <c r="B32" s="100"/>
      <c r="C32" s="100"/>
      <c r="D32" s="100"/>
      <c r="E32" s="100"/>
      <c r="F32" s="100"/>
      <c r="G32" s="96"/>
      <c r="H32" s="96">
        <f t="shared" si="0"/>
        <v>0</v>
      </c>
      <c r="I32" s="97"/>
      <c r="J32" s="101">
        <v>45670</v>
      </c>
      <c r="K32" s="100">
        <v>56</v>
      </c>
      <c r="L32" s="100"/>
      <c r="M32" s="100"/>
      <c r="N32" s="100"/>
      <c r="O32" s="100"/>
      <c r="P32" s="96">
        <v>25</v>
      </c>
      <c r="Q32" s="96">
        <f t="shared" si="2"/>
        <v>1400</v>
      </c>
    </row>
    <row r="33" spans="1:17" x14ac:dyDescent="0.25">
      <c r="A33" s="95"/>
      <c r="B33" s="100"/>
      <c r="C33" s="100"/>
      <c r="D33" s="100"/>
      <c r="E33" s="100"/>
      <c r="F33" s="100"/>
      <c r="G33" s="96"/>
      <c r="H33" s="96">
        <f t="shared" si="0"/>
        <v>0</v>
      </c>
      <c r="I33" s="97"/>
      <c r="J33" s="101">
        <v>45671</v>
      </c>
      <c r="K33" s="100">
        <v>126</v>
      </c>
      <c r="L33" s="100"/>
      <c r="M33" s="100"/>
      <c r="N33" s="100"/>
      <c r="O33" s="100"/>
      <c r="P33" s="96">
        <v>25</v>
      </c>
      <c r="Q33" s="96">
        <f t="shared" si="2"/>
        <v>3150</v>
      </c>
    </row>
    <row r="34" spans="1:17" x14ac:dyDescent="0.25">
      <c r="A34" s="95"/>
      <c r="B34" s="100"/>
      <c r="C34" s="100"/>
      <c r="D34" s="100"/>
      <c r="E34" s="100"/>
      <c r="F34" s="100"/>
      <c r="G34" s="96"/>
      <c r="H34" s="96">
        <f t="shared" si="0"/>
        <v>0</v>
      </c>
      <c r="I34" s="97"/>
      <c r="J34" s="101">
        <v>45672</v>
      </c>
      <c r="K34" s="100">
        <v>34</v>
      </c>
      <c r="L34" s="100"/>
      <c r="M34" s="100"/>
      <c r="N34" s="100"/>
      <c r="O34" s="100"/>
      <c r="P34" s="96">
        <v>25</v>
      </c>
      <c r="Q34" s="96">
        <f t="shared" si="2"/>
        <v>850</v>
      </c>
    </row>
    <row r="35" spans="1:17" x14ac:dyDescent="0.25">
      <c r="A35" s="95"/>
      <c r="B35" s="100"/>
      <c r="C35" s="100"/>
      <c r="D35" s="100"/>
      <c r="E35" s="100"/>
      <c r="F35" s="100"/>
      <c r="G35" s="96"/>
      <c r="H35" s="96">
        <f t="shared" si="0"/>
        <v>0</v>
      </c>
      <c r="I35" s="97"/>
      <c r="J35" s="101">
        <v>45673</v>
      </c>
      <c r="K35" s="100">
        <v>31</v>
      </c>
      <c r="L35" s="100"/>
      <c r="M35" s="100"/>
      <c r="N35" s="100"/>
      <c r="O35" s="100"/>
      <c r="P35" s="96">
        <v>25</v>
      </c>
      <c r="Q35" s="96">
        <f t="shared" si="2"/>
        <v>775</v>
      </c>
    </row>
    <row r="36" spans="1:17" x14ac:dyDescent="0.25">
      <c r="A36" s="95"/>
      <c r="B36" s="100"/>
      <c r="C36" s="100"/>
      <c r="D36" s="100"/>
      <c r="E36" s="100"/>
      <c r="F36" s="100"/>
      <c r="G36" s="96"/>
      <c r="H36" s="96">
        <f t="shared" si="0"/>
        <v>0</v>
      </c>
      <c r="I36" s="97"/>
      <c r="J36" s="101">
        <v>45674</v>
      </c>
      <c r="K36" s="100">
        <v>110</v>
      </c>
      <c r="L36" s="100"/>
      <c r="M36" s="100"/>
      <c r="N36" s="100"/>
      <c r="O36" s="100"/>
      <c r="P36" s="96">
        <v>25</v>
      </c>
      <c r="Q36" s="96">
        <f t="shared" si="2"/>
        <v>2750</v>
      </c>
    </row>
    <row r="37" spans="1:17" x14ac:dyDescent="0.25">
      <c r="A37" s="95"/>
      <c r="B37" s="100"/>
      <c r="C37" s="100"/>
      <c r="D37" s="100"/>
      <c r="E37" s="100"/>
      <c r="F37" s="100"/>
      <c r="G37" s="96"/>
      <c r="H37" s="96">
        <f t="shared" si="0"/>
        <v>0</v>
      </c>
      <c r="I37" s="97"/>
      <c r="J37" s="101">
        <v>45680</v>
      </c>
      <c r="K37" s="100">
        <v>58</v>
      </c>
      <c r="L37" s="100"/>
      <c r="M37" s="100"/>
      <c r="N37" s="100"/>
      <c r="O37" s="100"/>
      <c r="P37" s="96">
        <v>25</v>
      </c>
      <c r="Q37" s="96">
        <f t="shared" si="2"/>
        <v>1450</v>
      </c>
    </row>
    <row r="38" spans="1:17" x14ac:dyDescent="0.25">
      <c r="A38" s="95"/>
      <c r="B38" s="100"/>
      <c r="C38" s="100"/>
      <c r="D38" s="100"/>
      <c r="E38" s="100"/>
      <c r="F38" s="100"/>
      <c r="G38" s="96"/>
      <c r="H38" s="96">
        <f t="shared" si="0"/>
        <v>0</v>
      </c>
      <c r="I38" s="97"/>
      <c r="J38" s="101">
        <v>45681</v>
      </c>
      <c r="K38" s="100">
        <v>18</v>
      </c>
      <c r="L38" s="100"/>
      <c r="M38" s="100"/>
      <c r="N38" s="100"/>
      <c r="O38" s="100"/>
      <c r="P38" s="96">
        <v>25</v>
      </c>
      <c r="Q38" s="96">
        <f t="shared" si="2"/>
        <v>450</v>
      </c>
    </row>
    <row r="39" spans="1:17" x14ac:dyDescent="0.25">
      <c r="A39" s="95"/>
      <c r="B39" s="100"/>
      <c r="C39" s="100"/>
      <c r="D39" s="100"/>
      <c r="E39" s="100"/>
      <c r="F39" s="100"/>
      <c r="G39" s="96"/>
      <c r="H39" s="96">
        <f t="shared" si="0"/>
        <v>0</v>
      </c>
      <c r="I39" s="97"/>
      <c r="J39" s="101">
        <v>45684</v>
      </c>
      <c r="K39" s="100">
        <v>17</v>
      </c>
      <c r="L39" s="100"/>
      <c r="M39" s="100"/>
      <c r="N39" s="100"/>
      <c r="O39" s="100"/>
      <c r="P39" s="96">
        <v>25</v>
      </c>
      <c r="Q39" s="96">
        <f t="shared" si="2"/>
        <v>425</v>
      </c>
    </row>
    <row r="40" spans="1:17" x14ac:dyDescent="0.25">
      <c r="A40" s="95"/>
      <c r="B40" s="100"/>
      <c r="C40" s="100"/>
      <c r="D40" s="100"/>
      <c r="E40" s="100"/>
      <c r="F40" s="100"/>
      <c r="G40" s="96"/>
      <c r="H40" s="96">
        <f t="shared" si="0"/>
        <v>0</v>
      </c>
      <c r="I40" s="97"/>
      <c r="J40" s="101">
        <v>45685</v>
      </c>
      <c r="K40" s="100">
        <v>33</v>
      </c>
      <c r="L40" s="100"/>
      <c r="M40" s="100"/>
      <c r="N40" s="100"/>
      <c r="O40" s="100"/>
      <c r="P40" s="96">
        <v>25</v>
      </c>
      <c r="Q40" s="96">
        <f t="shared" si="2"/>
        <v>825</v>
      </c>
    </row>
    <row r="41" spans="1:17" x14ac:dyDescent="0.25">
      <c r="A41" s="101">
        <v>45686</v>
      </c>
      <c r="B41" s="100"/>
      <c r="C41" s="100">
        <v>3800</v>
      </c>
      <c r="D41" s="100"/>
      <c r="E41" s="100"/>
      <c r="F41" s="100"/>
      <c r="G41" s="96">
        <v>13.788</v>
      </c>
      <c r="H41" s="96">
        <f t="shared" si="0"/>
        <v>52394.400000000001</v>
      </c>
      <c r="I41" s="97"/>
      <c r="J41" s="101">
        <v>45686</v>
      </c>
      <c r="K41" s="100">
        <v>58</v>
      </c>
      <c r="L41" s="100"/>
      <c r="M41" s="100"/>
      <c r="N41" s="100"/>
      <c r="O41" s="100"/>
      <c r="P41" s="96">
        <v>25</v>
      </c>
      <c r="Q41" s="96">
        <f t="shared" si="2"/>
        <v>1450</v>
      </c>
    </row>
    <row r="42" spans="1:17" x14ac:dyDescent="0.25">
      <c r="A42" s="95"/>
      <c r="B42" s="100"/>
      <c r="C42" s="100"/>
      <c r="D42" s="100"/>
      <c r="E42" s="100"/>
      <c r="F42" s="100"/>
      <c r="G42" s="96"/>
      <c r="H42" s="96">
        <f t="shared" si="0"/>
        <v>0</v>
      </c>
      <c r="I42" s="97"/>
      <c r="J42" s="101">
        <v>45687</v>
      </c>
      <c r="K42" s="100"/>
      <c r="L42" s="100">
        <v>128</v>
      </c>
      <c r="M42" s="100"/>
      <c r="N42" s="100"/>
      <c r="O42" s="100"/>
      <c r="P42" s="96">
        <v>13.788</v>
      </c>
      <c r="Q42" s="96">
        <f t="shared" si="2"/>
        <v>1764.864</v>
      </c>
    </row>
    <row r="43" spans="1:17" x14ac:dyDescent="0.25">
      <c r="A43" s="95"/>
      <c r="B43" s="100"/>
      <c r="C43" s="100"/>
      <c r="D43" s="100"/>
      <c r="E43" s="100"/>
      <c r="F43" s="100"/>
      <c r="G43" s="96"/>
      <c r="H43" s="96">
        <f t="shared" si="0"/>
        <v>0</v>
      </c>
      <c r="I43" s="97"/>
      <c r="J43" s="101">
        <v>45688</v>
      </c>
      <c r="K43" s="100"/>
      <c r="L43" s="100">
        <v>374</v>
      </c>
      <c r="M43" s="100"/>
      <c r="N43" s="100"/>
      <c r="O43" s="100"/>
      <c r="P43" s="96">
        <v>13.788</v>
      </c>
      <c r="Q43" s="96">
        <f t="shared" si="2"/>
        <v>5156.7120000000004</v>
      </c>
    </row>
    <row r="44" spans="1:17" x14ac:dyDescent="0.25">
      <c r="A44" s="95"/>
      <c r="B44" s="100"/>
      <c r="C44" s="100"/>
      <c r="D44" s="100"/>
      <c r="E44" s="100"/>
      <c r="F44" s="100"/>
      <c r="G44" s="96"/>
      <c r="H44" s="96">
        <f t="shared" si="0"/>
        <v>0</v>
      </c>
      <c r="I44" s="97"/>
      <c r="J44" s="101"/>
      <c r="K44" s="100">
        <v>2</v>
      </c>
      <c r="L44" s="100"/>
      <c r="M44" s="100"/>
      <c r="N44" s="100"/>
      <c r="O44" s="100"/>
      <c r="P44" s="96">
        <v>25</v>
      </c>
      <c r="Q44" s="96">
        <f t="shared" si="2"/>
        <v>50</v>
      </c>
    </row>
    <row r="45" spans="1:17" x14ac:dyDescent="0.25">
      <c r="A45" s="95"/>
      <c r="B45" s="100"/>
      <c r="C45" s="100"/>
      <c r="D45" s="100"/>
      <c r="E45" s="100"/>
      <c r="F45" s="100"/>
      <c r="G45" s="96"/>
      <c r="H45" s="96">
        <f t="shared" si="0"/>
        <v>0</v>
      </c>
      <c r="I45" s="97"/>
      <c r="J45" s="150">
        <v>45691</v>
      </c>
      <c r="K45" s="100"/>
      <c r="L45" s="100">
        <v>200</v>
      </c>
      <c r="M45" s="100"/>
      <c r="N45" s="100"/>
      <c r="O45" s="100"/>
      <c r="P45" s="96">
        <v>13.788</v>
      </c>
      <c r="Q45" s="96">
        <f t="shared" si="2"/>
        <v>2757.6</v>
      </c>
    </row>
    <row r="46" spans="1:17" x14ac:dyDescent="0.25">
      <c r="A46" s="95"/>
      <c r="B46" s="100"/>
      <c r="C46" s="100"/>
      <c r="D46" s="100"/>
      <c r="E46" s="100"/>
      <c r="F46" s="100"/>
      <c r="G46" s="96"/>
      <c r="H46" s="96">
        <f t="shared" si="0"/>
        <v>0</v>
      </c>
      <c r="I46" s="97"/>
      <c r="J46" s="101"/>
      <c r="K46" s="100">
        <v>2</v>
      </c>
      <c r="L46" s="100"/>
      <c r="M46" s="100"/>
      <c r="N46" s="100"/>
      <c r="O46" s="100"/>
      <c r="P46" s="96">
        <v>25</v>
      </c>
      <c r="Q46" s="96">
        <f t="shared" si="2"/>
        <v>50</v>
      </c>
    </row>
    <row r="47" spans="1:17" x14ac:dyDescent="0.25">
      <c r="A47" s="95"/>
      <c r="B47" s="100"/>
      <c r="C47" s="100"/>
      <c r="D47" s="100"/>
      <c r="E47" s="100"/>
      <c r="F47" s="100"/>
      <c r="G47" s="96"/>
      <c r="H47" s="96">
        <f t="shared" si="0"/>
        <v>0</v>
      </c>
      <c r="I47" s="97"/>
      <c r="J47" s="101">
        <v>45692</v>
      </c>
      <c r="K47" s="100"/>
      <c r="L47" s="100">
        <v>575</v>
      </c>
      <c r="M47" s="100"/>
      <c r="N47" s="100"/>
      <c r="O47" s="100"/>
      <c r="P47" s="96">
        <v>13.788</v>
      </c>
      <c r="Q47" s="96">
        <f t="shared" si="2"/>
        <v>7928.1</v>
      </c>
    </row>
    <row r="48" spans="1:17" x14ac:dyDescent="0.25">
      <c r="A48" s="95"/>
      <c r="B48" s="100"/>
      <c r="C48" s="100"/>
      <c r="D48" s="100"/>
      <c r="E48" s="100"/>
      <c r="F48" s="100"/>
      <c r="G48" s="96"/>
      <c r="H48" s="96">
        <f t="shared" si="0"/>
        <v>0</v>
      </c>
      <c r="I48" s="97"/>
      <c r="J48" s="101"/>
      <c r="K48" s="100">
        <v>44</v>
      </c>
      <c r="L48" s="100"/>
      <c r="M48" s="100"/>
      <c r="N48" s="100"/>
      <c r="O48" s="100"/>
      <c r="P48" s="96">
        <v>25</v>
      </c>
      <c r="Q48" s="96">
        <f t="shared" si="2"/>
        <v>1100</v>
      </c>
    </row>
    <row r="49" spans="1:17" x14ac:dyDescent="0.25">
      <c r="A49" s="95"/>
      <c r="B49" s="100"/>
      <c r="C49" s="100"/>
      <c r="D49" s="100"/>
      <c r="E49" s="100"/>
      <c r="F49" s="100"/>
      <c r="G49" s="96"/>
      <c r="H49" s="96">
        <f t="shared" si="0"/>
        <v>0</v>
      </c>
      <c r="I49" s="97"/>
      <c r="J49" s="101">
        <v>45693</v>
      </c>
      <c r="K49" s="100"/>
      <c r="L49" s="100">
        <v>726</v>
      </c>
      <c r="M49" s="100"/>
      <c r="N49" s="100"/>
      <c r="O49" s="100"/>
      <c r="P49" s="96">
        <v>13.788</v>
      </c>
      <c r="Q49" s="96">
        <f t="shared" si="2"/>
        <v>10010.088</v>
      </c>
    </row>
    <row r="50" spans="1:17" x14ac:dyDescent="0.25">
      <c r="A50" s="95"/>
      <c r="B50" s="100"/>
      <c r="C50" s="100"/>
      <c r="D50" s="100"/>
      <c r="E50" s="100"/>
      <c r="F50" s="100"/>
      <c r="G50" s="96"/>
      <c r="H50" s="96">
        <f t="shared" si="0"/>
        <v>0</v>
      </c>
      <c r="I50" s="97"/>
      <c r="J50" s="101">
        <v>45694</v>
      </c>
      <c r="K50" s="100">
        <v>71</v>
      </c>
      <c r="L50" s="100"/>
      <c r="M50" s="100"/>
      <c r="N50" s="100"/>
      <c r="O50" s="100"/>
      <c r="P50" s="96">
        <v>25</v>
      </c>
      <c r="Q50" s="96">
        <f t="shared" si="2"/>
        <v>1775</v>
      </c>
    </row>
    <row r="51" spans="1:17" x14ac:dyDescent="0.25">
      <c r="A51" s="95"/>
      <c r="B51" s="100"/>
      <c r="C51" s="100"/>
      <c r="D51" s="100"/>
      <c r="E51" s="100"/>
      <c r="F51" s="100"/>
      <c r="G51" s="96"/>
      <c r="H51" s="96">
        <f t="shared" si="0"/>
        <v>0</v>
      </c>
      <c r="I51" s="97"/>
      <c r="J51" s="101">
        <v>45695</v>
      </c>
      <c r="K51" s="100"/>
      <c r="L51" s="100">
        <v>840</v>
      </c>
      <c r="M51" s="100"/>
      <c r="N51" s="100"/>
      <c r="O51" s="100"/>
      <c r="P51" s="96">
        <v>13.788</v>
      </c>
      <c r="Q51" s="96">
        <f t="shared" si="2"/>
        <v>11581.92</v>
      </c>
    </row>
    <row r="52" spans="1:17" x14ac:dyDescent="0.25">
      <c r="A52" s="95"/>
      <c r="B52" s="100"/>
      <c r="C52" s="100"/>
      <c r="D52" s="100"/>
      <c r="E52" s="100"/>
      <c r="F52" s="100"/>
      <c r="G52" s="96"/>
      <c r="H52" s="96">
        <f t="shared" si="0"/>
        <v>0</v>
      </c>
      <c r="I52" s="97"/>
      <c r="J52" s="101">
        <v>45698</v>
      </c>
      <c r="K52" s="100"/>
      <c r="L52" s="100">
        <v>292</v>
      </c>
      <c r="M52" s="100"/>
      <c r="N52" s="100"/>
      <c r="O52" s="100"/>
      <c r="P52" s="96">
        <v>13.788</v>
      </c>
      <c r="Q52" s="96">
        <f t="shared" si="2"/>
        <v>4026.096</v>
      </c>
    </row>
    <row r="53" spans="1:17" x14ac:dyDescent="0.25">
      <c r="A53" s="95"/>
      <c r="B53" s="100"/>
      <c r="C53" s="100"/>
      <c r="D53" s="100"/>
      <c r="E53" s="100"/>
      <c r="F53" s="100"/>
      <c r="G53" s="96"/>
      <c r="H53" s="96">
        <f t="shared" si="0"/>
        <v>0</v>
      </c>
      <c r="I53" s="97"/>
      <c r="J53" s="101">
        <v>45699</v>
      </c>
      <c r="K53" s="100"/>
      <c r="L53" s="100">
        <v>665</v>
      </c>
      <c r="M53" s="100"/>
      <c r="N53" s="100"/>
      <c r="O53" s="100"/>
      <c r="P53" s="96">
        <v>13.788</v>
      </c>
      <c r="Q53" s="96">
        <f t="shared" si="2"/>
        <v>9169.02</v>
      </c>
    </row>
    <row r="54" spans="1:17" x14ac:dyDescent="0.25">
      <c r="A54" s="95"/>
      <c r="B54" s="100"/>
      <c r="C54" s="100"/>
      <c r="D54" s="100"/>
      <c r="E54" s="100"/>
      <c r="F54" s="100"/>
      <c r="G54" s="96"/>
      <c r="H54" s="96">
        <f t="shared" si="0"/>
        <v>0</v>
      </c>
      <c r="I54" s="97"/>
      <c r="J54" s="101">
        <v>45701</v>
      </c>
      <c r="K54" s="100">
        <v>141</v>
      </c>
      <c r="L54" s="100"/>
      <c r="M54" s="100"/>
      <c r="N54" s="100"/>
      <c r="O54" s="100"/>
      <c r="P54" s="96">
        <v>25</v>
      </c>
      <c r="Q54" s="96">
        <f t="shared" si="2"/>
        <v>3525</v>
      </c>
    </row>
    <row r="55" spans="1:17" x14ac:dyDescent="0.25">
      <c r="A55" s="101">
        <v>45702</v>
      </c>
      <c r="B55" s="100"/>
      <c r="C55" s="100">
        <v>10000</v>
      </c>
      <c r="D55" s="100"/>
      <c r="E55" s="100"/>
      <c r="F55" s="100"/>
      <c r="G55" s="96">
        <v>13.788</v>
      </c>
      <c r="H55" s="96">
        <f t="shared" si="0"/>
        <v>137880</v>
      </c>
      <c r="I55" s="97"/>
      <c r="J55" s="101">
        <v>45702</v>
      </c>
      <c r="K55" s="100">
        <v>3</v>
      </c>
      <c r="L55" s="100"/>
      <c r="M55" s="100"/>
      <c r="N55" s="100"/>
      <c r="O55" s="100"/>
      <c r="P55" s="96">
        <v>25</v>
      </c>
      <c r="Q55" s="96">
        <f t="shared" si="2"/>
        <v>75</v>
      </c>
    </row>
    <row r="56" spans="1:17" x14ac:dyDescent="0.25">
      <c r="A56" s="101"/>
      <c r="B56" s="100"/>
      <c r="C56" s="100"/>
      <c r="D56" s="100"/>
      <c r="E56" s="100"/>
      <c r="F56" s="100"/>
      <c r="G56" s="96"/>
      <c r="H56" s="96">
        <f t="shared" si="0"/>
        <v>0</v>
      </c>
      <c r="I56" s="97"/>
      <c r="J56" s="101">
        <v>45705</v>
      </c>
      <c r="K56" s="100"/>
      <c r="L56" s="100">
        <v>870</v>
      </c>
      <c r="M56" s="100"/>
      <c r="N56" s="100"/>
      <c r="O56" s="100"/>
      <c r="P56" s="96">
        <v>13.788</v>
      </c>
      <c r="Q56" s="96">
        <f t="shared" si="2"/>
        <v>11995.56</v>
      </c>
    </row>
    <row r="57" spans="1:17" x14ac:dyDescent="0.25">
      <c r="A57" s="101"/>
      <c r="B57" s="100"/>
      <c r="C57" s="100"/>
      <c r="D57" s="100"/>
      <c r="E57" s="100"/>
      <c r="F57" s="100"/>
      <c r="G57" s="96"/>
      <c r="H57" s="96">
        <f t="shared" si="0"/>
        <v>0</v>
      </c>
      <c r="I57" s="97"/>
      <c r="J57" s="101">
        <v>45706</v>
      </c>
      <c r="K57" s="100"/>
      <c r="L57" s="100">
        <v>167</v>
      </c>
      <c r="M57" s="100"/>
      <c r="N57" s="100"/>
      <c r="O57" s="100"/>
      <c r="P57" s="96">
        <v>13.788</v>
      </c>
      <c r="Q57" s="96">
        <f t="shared" si="2"/>
        <v>2302.596</v>
      </c>
    </row>
    <row r="58" spans="1:17" x14ac:dyDescent="0.25">
      <c r="A58" s="101"/>
      <c r="B58" s="100"/>
      <c r="C58" s="100"/>
      <c r="D58" s="100"/>
      <c r="E58" s="100"/>
      <c r="F58" s="100"/>
      <c r="G58" s="96"/>
      <c r="H58" s="96">
        <f t="shared" si="0"/>
        <v>0</v>
      </c>
      <c r="I58" s="97"/>
      <c r="J58" s="101"/>
      <c r="K58" s="100">
        <v>227</v>
      </c>
      <c r="L58" s="100"/>
      <c r="M58" s="100"/>
      <c r="N58" s="100"/>
      <c r="O58" s="100"/>
      <c r="P58" s="96">
        <v>25</v>
      </c>
      <c r="Q58" s="96">
        <f t="shared" si="2"/>
        <v>5675</v>
      </c>
    </row>
    <row r="59" spans="1:17" x14ac:dyDescent="0.25">
      <c r="A59" s="101"/>
      <c r="B59" s="100"/>
      <c r="C59" s="100"/>
      <c r="D59" s="100"/>
      <c r="E59" s="100"/>
      <c r="F59" s="100"/>
      <c r="G59" s="96"/>
      <c r="H59" s="96">
        <f t="shared" si="0"/>
        <v>0</v>
      </c>
      <c r="I59" s="97"/>
      <c r="J59" s="101">
        <v>45707</v>
      </c>
      <c r="K59" s="100"/>
      <c r="L59" s="100">
        <v>296</v>
      </c>
      <c r="M59" s="100"/>
      <c r="N59" s="100"/>
      <c r="O59" s="100"/>
      <c r="P59" s="96">
        <v>13.788</v>
      </c>
      <c r="Q59" s="96">
        <f t="shared" si="2"/>
        <v>4081.248</v>
      </c>
    </row>
    <row r="60" spans="1:17" x14ac:dyDescent="0.25">
      <c r="A60" s="101"/>
      <c r="B60" s="100"/>
      <c r="C60" s="100"/>
      <c r="D60" s="100"/>
      <c r="E60" s="100"/>
      <c r="F60" s="100"/>
      <c r="G60" s="96"/>
      <c r="H60" s="96">
        <f t="shared" si="0"/>
        <v>0</v>
      </c>
      <c r="I60" s="97"/>
      <c r="J60" s="101"/>
      <c r="K60" s="100">
        <v>176</v>
      </c>
      <c r="L60" s="100"/>
      <c r="M60" s="100"/>
      <c r="N60" s="100"/>
      <c r="O60" s="100"/>
      <c r="P60" s="96">
        <v>25</v>
      </c>
      <c r="Q60" s="96">
        <f t="shared" si="2"/>
        <v>4400</v>
      </c>
    </row>
    <row r="61" spans="1:17" x14ac:dyDescent="0.25">
      <c r="A61" s="101"/>
      <c r="B61" s="100"/>
      <c r="C61" s="100"/>
      <c r="D61" s="100"/>
      <c r="E61" s="100"/>
      <c r="F61" s="100"/>
      <c r="G61" s="96"/>
      <c r="H61" s="96">
        <f t="shared" si="0"/>
        <v>0</v>
      </c>
      <c r="I61" s="97"/>
      <c r="J61" s="101">
        <v>45708</v>
      </c>
      <c r="K61" s="100"/>
      <c r="L61" s="100">
        <v>350</v>
      </c>
      <c r="M61" s="100"/>
      <c r="N61" s="100"/>
      <c r="O61" s="100"/>
      <c r="P61" s="96">
        <v>13.788</v>
      </c>
      <c r="Q61" s="96">
        <f t="shared" si="2"/>
        <v>4825.8</v>
      </c>
    </row>
    <row r="62" spans="1:17" x14ac:dyDescent="0.25">
      <c r="A62" s="101"/>
      <c r="B62" s="100"/>
      <c r="C62" s="100"/>
      <c r="D62" s="100"/>
      <c r="E62" s="100"/>
      <c r="F62" s="100"/>
      <c r="G62" s="96"/>
      <c r="H62" s="96">
        <f t="shared" si="0"/>
        <v>0</v>
      </c>
      <c r="I62" s="97"/>
      <c r="J62" s="101">
        <v>45709</v>
      </c>
      <c r="K62" s="100"/>
      <c r="L62" s="100">
        <v>482</v>
      </c>
      <c r="M62" s="100"/>
      <c r="N62" s="100"/>
      <c r="O62" s="100"/>
      <c r="P62" s="96">
        <v>13.788</v>
      </c>
      <c r="Q62" s="96">
        <f t="shared" si="2"/>
        <v>6645.8159999999998</v>
      </c>
    </row>
    <row r="63" spans="1:17" x14ac:dyDescent="0.25">
      <c r="A63" s="101"/>
      <c r="B63" s="100"/>
      <c r="C63" s="100"/>
      <c r="D63" s="100"/>
      <c r="E63" s="100"/>
      <c r="F63" s="100"/>
      <c r="G63" s="96"/>
      <c r="H63" s="96">
        <f t="shared" si="0"/>
        <v>0</v>
      </c>
      <c r="I63" s="97"/>
      <c r="J63" s="101">
        <v>45712</v>
      </c>
      <c r="K63" s="100"/>
      <c r="L63" s="100">
        <v>480</v>
      </c>
      <c r="M63" s="100"/>
      <c r="N63" s="100"/>
      <c r="O63" s="100"/>
      <c r="P63" s="96">
        <v>13.788</v>
      </c>
      <c r="Q63" s="96">
        <f t="shared" si="2"/>
        <v>6618.24</v>
      </c>
    </row>
    <row r="64" spans="1:17" x14ac:dyDescent="0.25">
      <c r="A64" s="101"/>
      <c r="B64" s="100"/>
      <c r="C64" s="100"/>
      <c r="D64" s="100"/>
      <c r="E64" s="100"/>
      <c r="F64" s="100"/>
      <c r="G64" s="96"/>
      <c r="H64" s="96">
        <f t="shared" si="0"/>
        <v>0</v>
      </c>
      <c r="I64" s="97"/>
      <c r="J64" s="101">
        <v>45713</v>
      </c>
      <c r="K64" s="100"/>
      <c r="L64" s="100">
        <v>1105</v>
      </c>
      <c r="M64" s="100"/>
      <c r="N64" s="100"/>
      <c r="O64" s="100"/>
      <c r="P64" s="96">
        <v>13.788</v>
      </c>
      <c r="Q64" s="96">
        <f t="shared" si="2"/>
        <v>15235.74</v>
      </c>
    </row>
    <row r="65" spans="1:17" x14ac:dyDescent="0.25">
      <c r="A65" s="101"/>
      <c r="B65" s="100"/>
      <c r="C65" s="100"/>
      <c r="D65" s="100"/>
      <c r="E65" s="100"/>
      <c r="F65" s="100"/>
      <c r="G65" s="96"/>
      <c r="H65" s="96">
        <f t="shared" si="0"/>
        <v>0</v>
      </c>
      <c r="I65" s="97"/>
      <c r="J65" s="101">
        <v>45714</v>
      </c>
      <c r="K65" s="100"/>
      <c r="L65" s="100">
        <v>1300</v>
      </c>
      <c r="M65" s="100"/>
      <c r="N65" s="100"/>
      <c r="O65" s="100"/>
      <c r="P65" s="96">
        <v>13.788</v>
      </c>
      <c r="Q65" s="96">
        <f t="shared" si="2"/>
        <v>17924.400000000001</v>
      </c>
    </row>
    <row r="66" spans="1:17" x14ac:dyDescent="0.25">
      <c r="A66" s="101"/>
      <c r="B66" s="100"/>
      <c r="C66" s="100"/>
      <c r="D66" s="100"/>
      <c r="E66" s="100"/>
      <c r="F66" s="100"/>
      <c r="G66" s="96"/>
      <c r="H66" s="96">
        <f t="shared" si="0"/>
        <v>0</v>
      </c>
      <c r="I66" s="97"/>
      <c r="J66" s="101"/>
      <c r="K66" s="100">
        <v>300</v>
      </c>
      <c r="L66" s="100"/>
      <c r="M66" s="100"/>
      <c r="N66" s="100"/>
      <c r="O66" s="100"/>
      <c r="P66" s="96">
        <v>25</v>
      </c>
      <c r="Q66" s="96">
        <f t="shared" si="2"/>
        <v>7500</v>
      </c>
    </row>
    <row r="67" spans="1:17" x14ac:dyDescent="0.25">
      <c r="A67" s="101"/>
      <c r="B67" s="100"/>
      <c r="C67" s="100"/>
      <c r="D67" s="100"/>
      <c r="E67" s="100"/>
      <c r="F67" s="100"/>
      <c r="G67" s="96"/>
      <c r="H67" s="96">
        <f t="shared" si="0"/>
        <v>0</v>
      </c>
      <c r="I67" s="97"/>
      <c r="J67" s="101">
        <v>45715</v>
      </c>
      <c r="K67" s="100"/>
      <c r="L67" s="100">
        <v>300</v>
      </c>
      <c r="M67" s="100"/>
      <c r="N67" s="100"/>
      <c r="O67" s="100"/>
      <c r="P67" s="96">
        <v>13.788</v>
      </c>
      <c r="Q67" s="96">
        <f t="shared" si="2"/>
        <v>4136.3999999999996</v>
      </c>
    </row>
    <row r="68" spans="1:17" x14ac:dyDescent="0.25">
      <c r="A68" s="101"/>
      <c r="B68" s="100"/>
      <c r="C68" s="100"/>
      <c r="D68" s="100"/>
      <c r="E68" s="100"/>
      <c r="F68" s="100"/>
      <c r="G68" s="96"/>
      <c r="H68" s="96">
        <f t="shared" ref="H68:H102" si="3">B68*G68+C68*G68+D68*G68+E68*G68+F68*G68</f>
        <v>0</v>
      </c>
      <c r="I68" s="97"/>
      <c r="J68" s="101">
        <v>45716</v>
      </c>
      <c r="K68" s="100"/>
      <c r="L68" s="100">
        <v>450</v>
      </c>
      <c r="M68" s="100"/>
      <c r="N68" s="100"/>
      <c r="O68" s="100"/>
      <c r="P68" s="96">
        <v>13.788</v>
      </c>
      <c r="Q68" s="96">
        <f t="shared" si="2"/>
        <v>6204.6</v>
      </c>
    </row>
    <row r="69" spans="1:17" x14ac:dyDescent="0.25">
      <c r="A69" s="101"/>
      <c r="B69" s="100"/>
      <c r="C69" s="100"/>
      <c r="D69" s="100"/>
      <c r="E69" s="100"/>
      <c r="F69" s="100"/>
      <c r="G69" s="96"/>
      <c r="H69" s="96">
        <f t="shared" si="3"/>
        <v>0</v>
      </c>
      <c r="I69" s="97"/>
      <c r="J69" s="101"/>
      <c r="K69" s="100">
        <v>835</v>
      </c>
      <c r="L69" s="100"/>
      <c r="M69" s="100"/>
      <c r="N69" s="100"/>
      <c r="O69" s="100"/>
      <c r="P69" s="96">
        <v>25</v>
      </c>
      <c r="Q69" s="96">
        <f t="shared" ref="Q69:Q102" si="4">K69*P69+L69*P69+O69*P69+M69*P69+N69*P69</f>
        <v>20875</v>
      </c>
    </row>
    <row r="70" spans="1:17" ht="16.5" thickBot="1" x14ac:dyDescent="0.3">
      <c r="A70" s="150"/>
      <c r="B70" s="148"/>
      <c r="C70" s="148"/>
      <c r="D70" s="148"/>
      <c r="E70" s="148"/>
      <c r="F70" s="148"/>
      <c r="G70" s="149"/>
      <c r="H70" s="149">
        <f t="shared" si="3"/>
        <v>0</v>
      </c>
      <c r="I70" s="149"/>
      <c r="J70" s="202" t="s">
        <v>68</v>
      </c>
      <c r="K70" s="181"/>
      <c r="L70" s="181"/>
      <c r="M70" s="181"/>
      <c r="N70" s="181"/>
      <c r="O70" s="181"/>
      <c r="P70" s="182"/>
      <c r="Q70" s="182">
        <f t="shared" si="4"/>
        <v>0</v>
      </c>
    </row>
    <row r="71" spans="1:17" x14ac:dyDescent="0.25">
      <c r="A71" s="101">
        <v>45720</v>
      </c>
      <c r="B71" s="100"/>
      <c r="C71" s="100"/>
      <c r="D71" s="100"/>
      <c r="E71" s="100"/>
      <c r="F71" s="100"/>
      <c r="G71" s="96"/>
      <c r="H71" s="96">
        <f t="shared" si="3"/>
        <v>0</v>
      </c>
      <c r="I71" s="179"/>
      <c r="J71" s="187">
        <v>45720</v>
      </c>
      <c r="K71" s="189"/>
      <c r="L71" s="189">
        <v>300</v>
      </c>
      <c r="M71" s="189"/>
      <c r="N71" s="189"/>
      <c r="O71" s="189"/>
      <c r="P71" s="190">
        <v>13.788</v>
      </c>
      <c r="Q71" s="191">
        <f t="shared" si="4"/>
        <v>4136.3999999999996</v>
      </c>
    </row>
    <row r="72" spans="1:17" x14ac:dyDescent="0.25">
      <c r="A72" s="101"/>
      <c r="B72" s="100"/>
      <c r="C72" s="100"/>
      <c r="D72" s="100"/>
      <c r="E72" s="100"/>
      <c r="F72" s="100"/>
      <c r="G72" s="96"/>
      <c r="H72" s="96">
        <f t="shared" si="3"/>
        <v>0</v>
      </c>
      <c r="I72" s="179"/>
      <c r="J72" s="192"/>
      <c r="K72" s="100"/>
      <c r="L72" s="100"/>
      <c r="M72" s="100"/>
      <c r="N72" s="100"/>
      <c r="O72" s="100"/>
      <c r="P72" s="96"/>
      <c r="Q72" s="193">
        <f t="shared" si="4"/>
        <v>0</v>
      </c>
    </row>
    <row r="73" spans="1:17" x14ac:dyDescent="0.25">
      <c r="A73" s="101"/>
      <c r="B73" s="100"/>
      <c r="C73" s="100">
        <v>5986</v>
      </c>
      <c r="D73" s="100"/>
      <c r="E73" s="100"/>
      <c r="F73" s="100"/>
      <c r="G73" s="96">
        <v>13.788</v>
      </c>
      <c r="H73" s="96">
        <f t="shared" si="3"/>
        <v>82534.968000000008</v>
      </c>
      <c r="I73" s="179"/>
      <c r="J73" s="192"/>
      <c r="K73" s="100"/>
      <c r="L73" s="100"/>
      <c r="M73" s="100"/>
      <c r="N73" s="100"/>
      <c r="O73" s="100"/>
      <c r="P73" s="96"/>
      <c r="Q73" s="193">
        <f t="shared" si="4"/>
        <v>0</v>
      </c>
    </row>
    <row r="74" spans="1:17" x14ac:dyDescent="0.25">
      <c r="A74" s="101"/>
      <c r="B74" s="100"/>
      <c r="C74" s="100"/>
      <c r="D74" s="100">
        <v>9823</v>
      </c>
      <c r="E74" s="100"/>
      <c r="F74" s="100"/>
      <c r="G74" s="96">
        <v>25.776</v>
      </c>
      <c r="H74" s="96">
        <f t="shared" si="3"/>
        <v>253197.64799999999</v>
      </c>
      <c r="I74" s="179"/>
      <c r="J74" s="192"/>
      <c r="K74" s="100"/>
      <c r="L74" s="100"/>
      <c r="M74" s="100">
        <v>1000</v>
      </c>
      <c r="N74" s="100"/>
      <c r="O74" s="100"/>
      <c r="P74" s="96">
        <v>25.776</v>
      </c>
      <c r="Q74" s="193">
        <f t="shared" si="4"/>
        <v>25776</v>
      </c>
    </row>
    <row r="75" spans="1:17" x14ac:dyDescent="0.25">
      <c r="A75" s="101"/>
      <c r="B75" s="100"/>
      <c r="C75" s="100"/>
      <c r="D75" s="100"/>
      <c r="E75" s="100">
        <v>2932</v>
      </c>
      <c r="F75" s="100"/>
      <c r="G75" s="96">
        <v>24.744</v>
      </c>
      <c r="H75" s="96">
        <f t="shared" si="3"/>
        <v>72549.407999999996</v>
      </c>
      <c r="I75" s="179"/>
      <c r="J75" s="192"/>
      <c r="K75" s="100"/>
      <c r="L75" s="100"/>
      <c r="M75" s="100"/>
      <c r="N75" s="100"/>
      <c r="O75" s="100"/>
      <c r="P75" s="96"/>
      <c r="Q75" s="193">
        <f t="shared" si="4"/>
        <v>0</v>
      </c>
    </row>
    <row r="76" spans="1:17" ht="16.5" thickBot="1" x14ac:dyDescent="0.3">
      <c r="A76" s="101"/>
      <c r="B76" s="100"/>
      <c r="C76" s="100"/>
      <c r="D76" s="100"/>
      <c r="E76" s="100"/>
      <c r="F76" s="100"/>
      <c r="G76" s="96"/>
      <c r="H76" s="96">
        <f t="shared" si="3"/>
        <v>0</v>
      </c>
      <c r="I76" s="179"/>
      <c r="J76" s="194">
        <v>45722</v>
      </c>
      <c r="K76" s="196"/>
      <c r="L76" s="196">
        <v>2450</v>
      </c>
      <c r="M76" s="196"/>
      <c r="N76" s="196"/>
      <c r="O76" s="196"/>
      <c r="P76" s="197">
        <v>13.788</v>
      </c>
      <c r="Q76" s="198">
        <f t="shared" si="4"/>
        <v>33780.6</v>
      </c>
    </row>
    <row r="77" spans="1:17" x14ac:dyDescent="0.25">
      <c r="A77" s="101"/>
      <c r="B77" s="100"/>
      <c r="C77" s="100"/>
      <c r="D77" s="100"/>
      <c r="E77" s="100"/>
      <c r="F77" s="100"/>
      <c r="G77" s="96"/>
      <c r="H77" s="96">
        <f t="shared" si="3"/>
        <v>0</v>
      </c>
      <c r="I77" s="179"/>
      <c r="J77" s="187">
        <v>45726</v>
      </c>
      <c r="K77" s="189"/>
      <c r="L77" s="189">
        <v>2000</v>
      </c>
      <c r="M77" s="189"/>
      <c r="N77" s="189"/>
      <c r="O77" s="189"/>
      <c r="P77" s="190">
        <v>13.788</v>
      </c>
      <c r="Q77" s="191">
        <f t="shared" si="4"/>
        <v>27576</v>
      </c>
    </row>
    <row r="78" spans="1:17" x14ac:dyDescent="0.25">
      <c r="A78" s="101"/>
      <c r="B78" s="100"/>
      <c r="C78" s="100"/>
      <c r="D78" s="100"/>
      <c r="E78" s="100"/>
      <c r="F78" s="100"/>
      <c r="G78" s="96"/>
      <c r="H78" s="96">
        <f t="shared" si="3"/>
        <v>0</v>
      </c>
      <c r="I78" s="179"/>
      <c r="J78" s="192">
        <v>45728</v>
      </c>
      <c r="K78" s="100"/>
      <c r="L78" s="100"/>
      <c r="M78" s="100">
        <v>1000</v>
      </c>
      <c r="N78" s="100"/>
      <c r="O78" s="100"/>
      <c r="P78" s="96">
        <v>25.776</v>
      </c>
      <c r="Q78" s="193">
        <f t="shared" si="4"/>
        <v>25776</v>
      </c>
    </row>
    <row r="79" spans="1:17" ht="16.5" thickBot="1" x14ac:dyDescent="0.3">
      <c r="A79" s="101"/>
      <c r="B79" s="100"/>
      <c r="C79" s="100"/>
      <c r="D79" s="100"/>
      <c r="E79" s="100"/>
      <c r="F79" s="100"/>
      <c r="G79" s="96"/>
      <c r="H79" s="96">
        <f t="shared" si="3"/>
        <v>0</v>
      </c>
      <c r="I79" s="179"/>
      <c r="J79" s="194">
        <v>45729</v>
      </c>
      <c r="K79" s="196"/>
      <c r="L79" s="196">
        <v>1436</v>
      </c>
      <c r="M79" s="196"/>
      <c r="N79" s="196"/>
      <c r="O79" s="196"/>
      <c r="P79" s="197">
        <v>13.788</v>
      </c>
      <c r="Q79" s="198">
        <f t="shared" si="4"/>
        <v>19799.567999999999</v>
      </c>
    </row>
    <row r="80" spans="1:17" x14ac:dyDescent="0.25">
      <c r="A80" s="101"/>
      <c r="B80" s="100"/>
      <c r="C80" s="100"/>
      <c r="D80" s="100"/>
      <c r="E80" s="100"/>
      <c r="F80" s="100"/>
      <c r="G80" s="96"/>
      <c r="H80" s="96">
        <f t="shared" si="3"/>
        <v>0</v>
      </c>
      <c r="I80" s="179"/>
      <c r="J80" s="187">
        <v>45734</v>
      </c>
      <c r="K80" s="189"/>
      <c r="L80" s="189">
        <v>300</v>
      </c>
      <c r="M80" s="189"/>
      <c r="N80" s="189"/>
      <c r="O80" s="189"/>
      <c r="P80" s="215">
        <v>13.788</v>
      </c>
      <c r="Q80" s="191">
        <f t="shared" si="4"/>
        <v>4136.3999999999996</v>
      </c>
    </row>
    <row r="81" spans="1:17" x14ac:dyDescent="0.25">
      <c r="A81" s="101"/>
      <c r="B81" s="100"/>
      <c r="C81" s="100"/>
      <c r="D81" s="100"/>
      <c r="E81" s="100"/>
      <c r="F81" s="100"/>
      <c r="G81" s="96"/>
      <c r="H81" s="96">
        <f t="shared" si="3"/>
        <v>0</v>
      </c>
      <c r="I81" s="179"/>
      <c r="J81" s="192"/>
      <c r="K81" s="100"/>
      <c r="L81" s="100"/>
      <c r="M81" s="100">
        <v>320</v>
      </c>
      <c r="N81" s="100"/>
      <c r="O81" s="100"/>
      <c r="P81" s="96">
        <v>25.776</v>
      </c>
      <c r="Q81" s="193">
        <f t="shared" si="4"/>
        <v>8248.32</v>
      </c>
    </row>
    <row r="82" spans="1:17" x14ac:dyDescent="0.25">
      <c r="A82" s="101"/>
      <c r="B82" s="100"/>
      <c r="C82" s="100"/>
      <c r="D82" s="100"/>
      <c r="E82" s="100"/>
      <c r="F82" s="100"/>
      <c r="G82" s="96"/>
      <c r="H82" s="96">
        <f t="shared" si="3"/>
        <v>0</v>
      </c>
      <c r="I82" s="179"/>
      <c r="J82" s="192">
        <v>45735</v>
      </c>
      <c r="K82" s="100"/>
      <c r="L82" s="100">
        <v>1700</v>
      </c>
      <c r="M82" s="100"/>
      <c r="N82" s="100"/>
      <c r="O82" s="100"/>
      <c r="P82" s="96">
        <v>13.788</v>
      </c>
      <c r="Q82" s="193">
        <f t="shared" si="4"/>
        <v>23439.600000000002</v>
      </c>
    </row>
    <row r="83" spans="1:17" x14ac:dyDescent="0.25">
      <c r="A83" s="101"/>
      <c r="B83" s="100"/>
      <c r="C83" s="100"/>
      <c r="D83" s="100"/>
      <c r="E83" s="100"/>
      <c r="F83" s="100"/>
      <c r="G83" s="96"/>
      <c r="H83" s="96">
        <f t="shared" si="3"/>
        <v>0</v>
      </c>
      <c r="I83" s="179"/>
      <c r="J83" s="192">
        <v>45736</v>
      </c>
      <c r="K83" s="100"/>
      <c r="L83" s="100">
        <v>2000</v>
      </c>
      <c r="M83" s="100"/>
      <c r="N83" s="100"/>
      <c r="O83" s="100"/>
      <c r="P83" s="96">
        <v>13.788</v>
      </c>
      <c r="Q83" s="193">
        <f t="shared" si="4"/>
        <v>27576</v>
      </c>
    </row>
    <row r="84" spans="1:17" x14ac:dyDescent="0.25">
      <c r="A84" s="101"/>
      <c r="B84" s="100"/>
      <c r="C84" s="100"/>
      <c r="D84" s="100"/>
      <c r="E84" s="100"/>
      <c r="F84" s="100"/>
      <c r="G84" s="96"/>
      <c r="H84" s="96">
        <f t="shared" si="3"/>
        <v>0</v>
      </c>
      <c r="I84" s="179"/>
      <c r="J84" s="192"/>
      <c r="K84" s="100"/>
      <c r="L84" s="100"/>
      <c r="M84" s="100">
        <v>1000</v>
      </c>
      <c r="N84" s="100"/>
      <c r="O84" s="100"/>
      <c r="P84" s="96">
        <v>25.776</v>
      </c>
      <c r="Q84" s="193">
        <f t="shared" si="4"/>
        <v>25776</v>
      </c>
    </row>
    <row r="85" spans="1:17" ht="16.5" thickBot="1" x14ac:dyDescent="0.3">
      <c r="A85" s="95"/>
      <c r="B85" s="100"/>
      <c r="C85" s="100"/>
      <c r="D85" s="100"/>
      <c r="E85" s="100"/>
      <c r="F85" s="100"/>
      <c r="G85" s="96"/>
      <c r="H85" s="96">
        <f t="shared" si="3"/>
        <v>0</v>
      </c>
      <c r="I85" s="179"/>
      <c r="J85" s="194">
        <v>45737</v>
      </c>
      <c r="K85" s="196"/>
      <c r="L85" s="196"/>
      <c r="M85" s="196">
        <v>1000</v>
      </c>
      <c r="N85" s="196"/>
      <c r="O85" s="196"/>
      <c r="P85" s="197">
        <v>25.776</v>
      </c>
      <c r="Q85" s="198">
        <f t="shared" si="4"/>
        <v>25776</v>
      </c>
    </row>
    <row r="86" spans="1:17" x14ac:dyDescent="0.25">
      <c r="A86" s="95"/>
      <c r="B86" s="100"/>
      <c r="C86" s="100"/>
      <c r="D86" s="100"/>
      <c r="E86" s="100"/>
      <c r="F86" s="100"/>
      <c r="G86" s="96"/>
      <c r="H86" s="96">
        <f t="shared" si="3"/>
        <v>0</v>
      </c>
      <c r="I86" s="179"/>
      <c r="J86" s="187">
        <v>45741</v>
      </c>
      <c r="K86" s="189"/>
      <c r="L86" s="189"/>
      <c r="M86" s="189">
        <v>1000</v>
      </c>
      <c r="N86" s="189"/>
      <c r="O86" s="189"/>
      <c r="P86" s="190">
        <v>25.776</v>
      </c>
      <c r="Q86" s="191">
        <f t="shared" si="4"/>
        <v>25776</v>
      </c>
    </row>
    <row r="87" spans="1:17" x14ac:dyDescent="0.25">
      <c r="A87" s="101">
        <v>45742</v>
      </c>
      <c r="B87" s="100"/>
      <c r="C87" s="100"/>
      <c r="D87" s="100"/>
      <c r="E87" s="100"/>
      <c r="F87" s="100">
        <v>60</v>
      </c>
      <c r="G87" s="96">
        <v>432.82</v>
      </c>
      <c r="H87" s="96">
        <f t="shared" si="3"/>
        <v>25969.200000000001</v>
      </c>
      <c r="I87" s="179"/>
      <c r="J87" s="218">
        <v>45742</v>
      </c>
      <c r="K87" s="185">
        <v>1318</v>
      </c>
      <c r="L87" s="185"/>
      <c r="M87" s="185"/>
      <c r="N87" s="185"/>
      <c r="O87" s="185"/>
      <c r="P87" s="186">
        <v>25</v>
      </c>
      <c r="Q87" s="219">
        <f t="shared" si="4"/>
        <v>32950</v>
      </c>
    </row>
    <row r="88" spans="1:17" ht="16.5" thickBot="1" x14ac:dyDescent="0.3">
      <c r="A88" s="95"/>
      <c r="B88" s="100"/>
      <c r="C88" s="100"/>
      <c r="D88" s="100"/>
      <c r="E88" s="100"/>
      <c r="F88" s="100"/>
      <c r="G88" s="96"/>
      <c r="H88" s="96">
        <f t="shared" si="3"/>
        <v>0</v>
      </c>
      <c r="I88" s="179"/>
      <c r="J88" s="216"/>
      <c r="K88" s="220"/>
      <c r="L88" s="220"/>
      <c r="M88" s="220"/>
      <c r="N88" s="220">
        <v>1000</v>
      </c>
      <c r="O88" s="220"/>
      <c r="P88" s="221">
        <v>24.744</v>
      </c>
      <c r="Q88" s="222">
        <f t="shared" si="4"/>
        <v>24744</v>
      </c>
    </row>
    <row r="89" spans="1:17" ht="16.5" thickBot="1" x14ac:dyDescent="0.3">
      <c r="A89" s="147"/>
      <c r="B89" s="148"/>
      <c r="C89" s="148"/>
      <c r="D89" s="148"/>
      <c r="E89" s="148"/>
      <c r="F89" s="148"/>
      <c r="G89" s="149"/>
      <c r="H89" s="149">
        <f t="shared" si="3"/>
        <v>0</v>
      </c>
      <c r="I89" s="149"/>
      <c r="J89" s="224" t="s">
        <v>75</v>
      </c>
      <c r="K89" s="226"/>
      <c r="L89" s="226"/>
      <c r="M89" s="226"/>
      <c r="N89" s="226"/>
      <c r="O89" s="226"/>
      <c r="P89" s="227"/>
      <c r="Q89" s="227">
        <f t="shared" si="4"/>
        <v>0</v>
      </c>
    </row>
    <row r="90" spans="1:17" x14ac:dyDescent="0.25">
      <c r="A90" s="95"/>
      <c r="B90" s="100"/>
      <c r="C90" s="100"/>
      <c r="D90" s="100"/>
      <c r="E90" s="100"/>
      <c r="F90" s="100"/>
      <c r="G90" s="96"/>
      <c r="H90" s="96">
        <f t="shared" si="3"/>
        <v>0</v>
      </c>
      <c r="I90" s="179"/>
      <c r="J90" s="187">
        <v>45748</v>
      </c>
      <c r="K90" s="189"/>
      <c r="L90" s="189"/>
      <c r="M90" s="189">
        <v>1000</v>
      </c>
      <c r="N90" s="189"/>
      <c r="O90" s="189"/>
      <c r="P90" s="190">
        <v>25.776</v>
      </c>
      <c r="Q90" s="191">
        <f t="shared" si="4"/>
        <v>25776</v>
      </c>
    </row>
    <row r="91" spans="1:17" ht="16.5" thickBot="1" x14ac:dyDescent="0.3">
      <c r="A91" s="95"/>
      <c r="B91" s="100"/>
      <c r="C91" s="100"/>
      <c r="D91" s="100"/>
      <c r="E91" s="100"/>
      <c r="F91" s="100"/>
      <c r="G91" s="96"/>
      <c r="H91" s="96">
        <f t="shared" si="3"/>
        <v>0</v>
      </c>
      <c r="I91" s="179"/>
      <c r="J91" s="216"/>
      <c r="K91" s="220"/>
      <c r="L91" s="220"/>
      <c r="M91" s="220"/>
      <c r="N91" s="220"/>
      <c r="O91" s="220">
        <v>6</v>
      </c>
      <c r="P91" s="197">
        <v>432.82</v>
      </c>
      <c r="Q91" s="222">
        <f t="shared" si="4"/>
        <v>2596.92</v>
      </c>
    </row>
    <row r="92" spans="1:17" x14ac:dyDescent="0.25">
      <c r="A92" s="95"/>
      <c r="B92" s="100"/>
      <c r="C92" s="100"/>
      <c r="D92" s="100"/>
      <c r="E92" s="100"/>
      <c r="F92" s="100"/>
      <c r="G92" s="96"/>
      <c r="H92" s="96">
        <f t="shared" si="3"/>
        <v>0</v>
      </c>
      <c r="I92" s="179"/>
      <c r="J92" s="187">
        <v>45755</v>
      </c>
      <c r="K92" s="189"/>
      <c r="L92" s="189"/>
      <c r="M92" s="189">
        <v>327</v>
      </c>
      <c r="N92" s="189"/>
      <c r="O92" s="189"/>
      <c r="P92" s="190">
        <v>25.776</v>
      </c>
      <c r="Q92" s="191">
        <f t="shared" si="4"/>
        <v>8428.7520000000004</v>
      </c>
    </row>
    <row r="93" spans="1:17" x14ac:dyDescent="0.25">
      <c r="A93" s="95"/>
      <c r="B93" s="100"/>
      <c r="C93" s="100"/>
      <c r="D93" s="100"/>
      <c r="E93" s="100"/>
      <c r="F93" s="100"/>
      <c r="G93" s="96"/>
      <c r="H93" s="96">
        <f t="shared" si="3"/>
        <v>0</v>
      </c>
      <c r="I93" s="179"/>
      <c r="J93" s="218">
        <v>45756</v>
      </c>
      <c r="K93" s="185"/>
      <c r="L93" s="185"/>
      <c r="M93" s="185">
        <v>186</v>
      </c>
      <c r="N93" s="185"/>
      <c r="O93" s="185"/>
      <c r="P93" s="186">
        <v>25.776</v>
      </c>
      <c r="Q93" s="219">
        <f t="shared" si="4"/>
        <v>4794.3360000000002</v>
      </c>
    </row>
    <row r="94" spans="1:17" ht="16.5" thickBot="1" x14ac:dyDescent="0.3">
      <c r="A94" s="95"/>
      <c r="B94" s="100"/>
      <c r="C94" s="100"/>
      <c r="D94" s="100"/>
      <c r="E94" s="100"/>
      <c r="F94" s="100"/>
      <c r="G94" s="96"/>
      <c r="H94" s="96">
        <f t="shared" si="3"/>
        <v>0</v>
      </c>
      <c r="I94" s="179"/>
      <c r="J94" s="216">
        <v>45764</v>
      </c>
      <c r="K94" s="220"/>
      <c r="L94" s="220"/>
      <c r="M94" s="220">
        <v>690</v>
      </c>
      <c r="N94" s="220"/>
      <c r="O94" s="220"/>
      <c r="P94" s="221">
        <v>25.776</v>
      </c>
      <c r="Q94" s="222">
        <f t="shared" si="4"/>
        <v>17785.439999999999</v>
      </c>
    </row>
    <row r="95" spans="1:17" x14ac:dyDescent="0.25">
      <c r="A95" s="95"/>
      <c r="B95" s="100"/>
      <c r="C95" s="100"/>
      <c r="D95" s="100"/>
      <c r="E95" s="100"/>
      <c r="F95" s="100"/>
      <c r="G95" s="96"/>
      <c r="H95" s="96">
        <f t="shared" si="3"/>
        <v>0</v>
      </c>
      <c r="I95" s="179"/>
      <c r="J95" s="187">
        <v>45769</v>
      </c>
      <c r="K95" s="189"/>
      <c r="L95" s="189"/>
      <c r="M95" s="189">
        <v>1000</v>
      </c>
      <c r="N95" s="189"/>
      <c r="O95" s="189"/>
      <c r="P95" s="190">
        <v>25.776</v>
      </c>
      <c r="Q95" s="191">
        <f t="shared" si="4"/>
        <v>25776</v>
      </c>
    </row>
    <row r="96" spans="1:17" ht="16.5" thickBot="1" x14ac:dyDescent="0.3">
      <c r="A96" s="101">
        <v>45771</v>
      </c>
      <c r="B96" s="100">
        <v>6005</v>
      </c>
      <c r="C96" s="100"/>
      <c r="D96" s="100"/>
      <c r="E96" s="100"/>
      <c r="F96" s="100"/>
      <c r="G96" s="96">
        <v>25</v>
      </c>
      <c r="H96" s="96">
        <f t="shared" si="3"/>
        <v>150125</v>
      </c>
      <c r="I96" s="179"/>
      <c r="J96" s="216">
        <v>45775</v>
      </c>
      <c r="K96" s="220"/>
      <c r="L96" s="220"/>
      <c r="M96" s="220">
        <v>1000</v>
      </c>
      <c r="N96" s="220"/>
      <c r="O96" s="220"/>
      <c r="P96" s="221">
        <v>25.776</v>
      </c>
      <c r="Q96" s="222">
        <f t="shared" si="4"/>
        <v>25776</v>
      </c>
    </row>
    <row r="97" spans="1:17" x14ac:dyDescent="0.25">
      <c r="A97" s="200"/>
      <c r="B97" s="204"/>
      <c r="C97" s="204"/>
      <c r="D97" s="204">
        <v>2000</v>
      </c>
      <c r="E97" s="204"/>
      <c r="F97" s="204"/>
      <c r="G97" s="201">
        <v>25.776</v>
      </c>
      <c r="H97" s="201">
        <f t="shared" si="3"/>
        <v>51552</v>
      </c>
      <c r="I97" s="257"/>
      <c r="J97" s="256"/>
      <c r="K97" s="245"/>
      <c r="L97" s="245"/>
      <c r="M97" s="245"/>
      <c r="N97" s="245"/>
      <c r="O97" s="245"/>
      <c r="P97" s="246"/>
      <c r="Q97" s="246">
        <f t="shared" si="4"/>
        <v>0</v>
      </c>
    </row>
    <row r="98" spans="1:17" x14ac:dyDescent="0.25">
      <c r="A98" s="150" t="s">
        <v>99</v>
      </c>
      <c r="B98" s="248"/>
      <c r="C98" s="248"/>
      <c r="D98" s="248"/>
      <c r="E98" s="248"/>
      <c r="F98" s="248"/>
      <c r="G98" s="249"/>
      <c r="H98" s="249"/>
      <c r="I98" s="249"/>
      <c r="J98" s="150" t="s">
        <v>99</v>
      </c>
      <c r="K98" s="248"/>
      <c r="L98" s="248"/>
      <c r="M98" s="248"/>
      <c r="N98" s="248"/>
      <c r="O98" s="248"/>
      <c r="P98" s="249"/>
      <c r="Q98" s="249"/>
    </row>
    <row r="99" spans="1:17" x14ac:dyDescent="0.25">
      <c r="A99" s="184"/>
      <c r="B99" s="185"/>
      <c r="C99" s="185"/>
      <c r="D99" s="185"/>
      <c r="E99" s="185"/>
      <c r="F99" s="185"/>
      <c r="G99" s="186"/>
      <c r="H99" s="186">
        <f t="shared" si="3"/>
        <v>0</v>
      </c>
      <c r="I99" s="242"/>
      <c r="J99" s="183" t="s">
        <v>92</v>
      </c>
      <c r="K99" s="243">
        <v>1805</v>
      </c>
      <c r="L99" s="185"/>
      <c r="M99" s="185"/>
      <c r="N99" s="185"/>
      <c r="O99" s="185"/>
      <c r="P99" s="186">
        <v>24.995999999999999</v>
      </c>
      <c r="Q99" s="186">
        <f t="shared" si="4"/>
        <v>45117.78</v>
      </c>
    </row>
    <row r="100" spans="1:17" x14ac:dyDescent="0.25">
      <c r="A100" s="95"/>
      <c r="B100" s="100"/>
      <c r="C100" s="100"/>
      <c r="D100" s="100"/>
      <c r="E100" s="100"/>
      <c r="F100" s="100"/>
      <c r="G100" s="96"/>
      <c r="H100" s="96">
        <f t="shared" si="3"/>
        <v>0</v>
      </c>
      <c r="I100" s="97"/>
      <c r="J100" s="101" t="s">
        <v>100</v>
      </c>
      <c r="K100" s="100"/>
      <c r="L100" s="100"/>
      <c r="M100" s="100"/>
      <c r="N100" s="100">
        <v>1000</v>
      </c>
      <c r="O100" s="100"/>
      <c r="P100" s="96">
        <v>24.744</v>
      </c>
      <c r="Q100" s="186">
        <f t="shared" si="4"/>
        <v>24744</v>
      </c>
    </row>
    <row r="101" spans="1:17" x14ac:dyDescent="0.25">
      <c r="A101" s="95"/>
      <c r="B101" s="100"/>
      <c r="C101" s="100"/>
      <c r="D101" s="100"/>
      <c r="E101" s="100"/>
      <c r="F101" s="100"/>
      <c r="G101" s="96"/>
      <c r="H101" s="96">
        <f t="shared" si="3"/>
        <v>0</v>
      </c>
      <c r="I101" s="97"/>
      <c r="J101" s="95" t="s">
        <v>102</v>
      </c>
      <c r="K101" s="100"/>
      <c r="L101" s="100"/>
      <c r="M101" s="100">
        <v>1000</v>
      </c>
      <c r="N101" s="100"/>
      <c r="O101" s="100"/>
      <c r="P101" s="96">
        <v>25.776</v>
      </c>
      <c r="Q101" s="186">
        <f t="shared" si="4"/>
        <v>25776</v>
      </c>
    </row>
    <row r="102" spans="1:17" x14ac:dyDescent="0.25">
      <c r="A102" s="95"/>
      <c r="B102" s="100"/>
      <c r="C102" s="100"/>
      <c r="D102" s="100"/>
      <c r="E102" s="100"/>
      <c r="F102" s="100"/>
      <c r="G102" s="96"/>
      <c r="H102" s="96">
        <f t="shared" si="3"/>
        <v>0</v>
      </c>
      <c r="I102" s="97"/>
      <c r="J102" s="95"/>
      <c r="K102" s="100"/>
      <c r="L102" s="100"/>
      <c r="M102" s="100"/>
      <c r="N102" s="100"/>
      <c r="O102" s="100"/>
      <c r="P102" s="96"/>
      <c r="Q102" s="186">
        <f t="shared" si="4"/>
        <v>0</v>
      </c>
    </row>
    <row r="103" spans="1:17" s="162" customFormat="1" x14ac:dyDescent="0.25">
      <c r="A103" s="158"/>
      <c r="B103" s="159">
        <f>SUM(B3:B102)</f>
        <v>12005</v>
      </c>
      <c r="C103" s="159">
        <f t="shared" ref="C103:F103" si="5">SUM(C3:C102)</f>
        <v>19786</v>
      </c>
      <c r="D103" s="159">
        <f t="shared" si="5"/>
        <v>11823</v>
      </c>
      <c r="E103" s="159">
        <f t="shared" si="5"/>
        <v>2932</v>
      </c>
      <c r="F103" s="159">
        <f t="shared" si="5"/>
        <v>60</v>
      </c>
      <c r="G103" s="160"/>
      <c r="H103" s="160"/>
      <c r="I103" s="161"/>
      <c r="J103" s="158"/>
      <c r="K103" s="159">
        <f>SUM(K3:K102)</f>
        <v>7805</v>
      </c>
      <c r="L103" s="159">
        <f t="shared" ref="L103:O103" si="6">SUM(L3:L102)</f>
        <v>19786</v>
      </c>
      <c r="M103" s="159">
        <f t="shared" si="6"/>
        <v>10523</v>
      </c>
      <c r="N103" s="159">
        <f t="shared" si="6"/>
        <v>2000</v>
      </c>
      <c r="O103" s="159">
        <f t="shared" si="6"/>
        <v>6</v>
      </c>
      <c r="P103" s="160"/>
      <c r="Q103" s="16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9"/>
  <sheetViews>
    <sheetView workbookViewId="0">
      <pane ySplit="1" topLeftCell="A8" activePane="bottomLeft" state="frozen"/>
      <selection pane="bottomLeft" activeCell="H22" sqref="H22"/>
    </sheetView>
  </sheetViews>
  <sheetFormatPr defaultColWidth="8.85546875" defaultRowHeight="15.75" x14ac:dyDescent="0.25"/>
  <cols>
    <col min="1" max="2" width="11.140625" style="98" customWidth="1"/>
    <col min="3" max="3" width="10.5703125" style="102" customWidth="1"/>
    <col min="4" max="4" width="14.42578125" style="102" bestFit="1" customWidth="1"/>
    <col min="5" max="5" width="4.140625" style="102" customWidth="1"/>
    <col min="6" max="6" width="10.42578125" style="98" customWidth="1"/>
    <col min="7" max="7" width="11.28515625" style="98" customWidth="1"/>
    <col min="8" max="8" width="10.5703125" style="102" customWidth="1"/>
    <col min="9" max="9" width="14.42578125" style="102" bestFit="1" customWidth="1"/>
    <col min="10" max="11" width="8.85546875" style="98"/>
    <col min="12" max="12" width="14.42578125" style="98" bestFit="1" customWidth="1"/>
    <col min="13" max="16384" width="8.85546875" style="98"/>
  </cols>
  <sheetData>
    <row r="1" spans="1:20" s="93" customFormat="1" ht="42.75" x14ac:dyDescent="0.25">
      <c r="A1" s="90" t="s">
        <v>60</v>
      </c>
      <c r="B1" s="90" t="s">
        <v>76</v>
      </c>
      <c r="C1" s="91" t="s">
        <v>61</v>
      </c>
      <c r="D1" s="91" t="s">
        <v>62</v>
      </c>
      <c r="E1" s="91"/>
      <c r="F1" s="90" t="s">
        <v>63</v>
      </c>
      <c r="G1" s="90" t="s">
        <v>76</v>
      </c>
      <c r="H1" s="91" t="s">
        <v>61</v>
      </c>
      <c r="I1" s="91" t="s">
        <v>62</v>
      </c>
      <c r="J1" s="92"/>
      <c r="K1" s="92"/>
      <c r="L1" s="90" t="s">
        <v>76</v>
      </c>
      <c r="M1" s="90"/>
      <c r="N1" s="90"/>
      <c r="O1" s="90"/>
      <c r="P1" s="90"/>
    </row>
    <row r="2" spans="1:20" x14ac:dyDescent="0.25">
      <c r="A2" s="94" t="s">
        <v>65</v>
      </c>
      <c r="B2" s="95"/>
      <c r="C2" s="96"/>
      <c r="D2" s="96"/>
      <c r="E2" s="97"/>
      <c r="F2" s="94" t="s">
        <v>65</v>
      </c>
      <c r="G2" s="95"/>
      <c r="H2" s="96"/>
      <c r="I2" s="96"/>
      <c r="K2" s="99"/>
      <c r="L2" s="100">
        <f>0+B29-G29</f>
        <v>4607</v>
      </c>
      <c r="M2" s="100"/>
      <c r="N2" s="100"/>
      <c r="O2" s="100"/>
      <c r="P2" s="100"/>
      <c r="Q2" s="99"/>
      <c r="R2" s="99"/>
      <c r="S2" s="99"/>
      <c r="T2" s="99"/>
    </row>
    <row r="3" spans="1:20" x14ac:dyDescent="0.25">
      <c r="A3" s="101">
        <v>45526</v>
      </c>
      <c r="B3" s="100">
        <v>6000</v>
      </c>
      <c r="C3" s="96">
        <v>5</v>
      </c>
      <c r="D3" s="96">
        <f>B3*C3</f>
        <v>30000</v>
      </c>
      <c r="E3" s="97"/>
      <c r="F3" s="101"/>
      <c r="G3" s="100"/>
      <c r="H3" s="96"/>
      <c r="I3" s="96"/>
      <c r="L3" s="96">
        <v>5</v>
      </c>
      <c r="M3" s="96"/>
      <c r="N3" s="96"/>
      <c r="O3" s="96"/>
      <c r="P3" s="96"/>
      <c r="Q3" s="102"/>
      <c r="R3" s="102"/>
      <c r="S3" s="102"/>
    </row>
    <row r="4" spans="1:20" x14ac:dyDescent="0.25">
      <c r="A4" s="95"/>
      <c r="B4" s="100"/>
      <c r="C4" s="96"/>
      <c r="D4" s="96"/>
      <c r="E4" s="97"/>
      <c r="F4" s="101">
        <v>45545</v>
      </c>
      <c r="G4" s="100">
        <v>88</v>
      </c>
      <c r="H4" s="96">
        <v>5</v>
      </c>
      <c r="I4" s="96">
        <f>G4*H4</f>
        <v>440</v>
      </c>
      <c r="L4" s="96">
        <f>L2*L3</f>
        <v>23035</v>
      </c>
      <c r="M4" s="96"/>
      <c r="N4" s="96"/>
      <c r="O4" s="96"/>
      <c r="P4" s="96"/>
      <c r="Q4" s="102"/>
      <c r="R4" s="102"/>
      <c r="S4" s="102"/>
    </row>
    <row r="5" spans="1:20" x14ac:dyDescent="0.25">
      <c r="A5" s="95"/>
      <c r="B5" s="100"/>
      <c r="C5" s="96"/>
      <c r="D5" s="96"/>
      <c r="E5" s="97"/>
      <c r="F5" s="101">
        <v>45551</v>
      </c>
      <c r="G5" s="100">
        <v>20</v>
      </c>
      <c r="H5" s="96">
        <v>5</v>
      </c>
      <c r="I5" s="96">
        <f t="shared" ref="I5:I28" si="0">G5*H5</f>
        <v>100</v>
      </c>
    </row>
    <row r="6" spans="1:20" x14ac:dyDescent="0.25">
      <c r="A6" s="95"/>
      <c r="B6" s="100"/>
      <c r="C6" s="96"/>
      <c r="D6" s="96"/>
      <c r="E6" s="97"/>
      <c r="F6" s="101">
        <v>45561</v>
      </c>
      <c r="G6" s="100">
        <v>120</v>
      </c>
      <c r="H6" s="96">
        <v>5</v>
      </c>
      <c r="I6" s="96">
        <f t="shared" si="0"/>
        <v>600</v>
      </c>
    </row>
    <row r="7" spans="1:20" x14ac:dyDescent="0.25">
      <c r="A7" s="95"/>
      <c r="B7" s="100"/>
      <c r="C7" s="96"/>
      <c r="D7" s="96"/>
      <c r="E7" s="97"/>
      <c r="F7" s="101">
        <v>45610</v>
      </c>
      <c r="G7" s="100">
        <v>11</v>
      </c>
      <c r="H7" s="96">
        <v>5</v>
      </c>
      <c r="I7" s="96">
        <f t="shared" si="0"/>
        <v>55</v>
      </c>
    </row>
    <row r="8" spans="1:20" x14ac:dyDescent="0.25">
      <c r="A8" s="95"/>
      <c r="B8" s="100"/>
      <c r="C8" s="96"/>
      <c r="D8" s="96"/>
      <c r="E8" s="97"/>
      <c r="F8" s="101">
        <v>45617</v>
      </c>
      <c r="G8" s="100">
        <v>2</v>
      </c>
      <c r="H8" s="96">
        <v>5</v>
      </c>
      <c r="I8" s="96">
        <f t="shared" si="0"/>
        <v>10</v>
      </c>
    </row>
    <row r="9" spans="1:20" x14ac:dyDescent="0.25">
      <c r="A9" s="95"/>
      <c r="B9" s="100"/>
      <c r="C9" s="96"/>
      <c r="D9" s="96"/>
      <c r="E9" s="97"/>
      <c r="F9" s="101">
        <v>45618</v>
      </c>
      <c r="G9" s="100">
        <v>3</v>
      </c>
      <c r="H9" s="96">
        <v>5</v>
      </c>
      <c r="I9" s="96">
        <f t="shared" si="0"/>
        <v>15</v>
      </c>
    </row>
    <row r="10" spans="1:20" x14ac:dyDescent="0.25">
      <c r="A10" s="95"/>
      <c r="B10" s="100"/>
      <c r="C10" s="96"/>
      <c r="D10" s="96"/>
      <c r="E10" s="97"/>
      <c r="F10" s="101">
        <v>45624</v>
      </c>
      <c r="G10" s="100">
        <v>9</v>
      </c>
      <c r="H10" s="96">
        <v>5</v>
      </c>
      <c r="I10" s="96">
        <f t="shared" si="0"/>
        <v>45</v>
      </c>
    </row>
    <row r="11" spans="1:20" x14ac:dyDescent="0.25">
      <c r="A11" s="95"/>
      <c r="B11" s="100"/>
      <c r="C11" s="96"/>
      <c r="D11" s="96"/>
      <c r="E11" s="97"/>
      <c r="F11" s="101">
        <v>45651</v>
      </c>
      <c r="G11" s="100">
        <v>20</v>
      </c>
      <c r="H11" s="96">
        <v>5</v>
      </c>
      <c r="I11" s="96">
        <f t="shared" si="0"/>
        <v>100</v>
      </c>
    </row>
    <row r="12" spans="1:20" x14ac:dyDescent="0.25">
      <c r="A12" s="95"/>
      <c r="B12" s="100"/>
      <c r="C12" s="96"/>
      <c r="D12" s="96"/>
      <c r="E12" s="97"/>
      <c r="F12" s="101">
        <v>45652</v>
      </c>
      <c r="G12" s="100">
        <v>120</v>
      </c>
      <c r="H12" s="96">
        <v>5</v>
      </c>
      <c r="I12" s="96">
        <f t="shared" si="0"/>
        <v>600</v>
      </c>
    </row>
    <row r="13" spans="1:20" ht="16.5" thickBot="1" x14ac:dyDescent="0.3">
      <c r="A13" s="147"/>
      <c r="B13" s="148"/>
      <c r="C13" s="149"/>
      <c r="D13" s="149"/>
      <c r="E13" s="149"/>
      <c r="F13" s="180" t="s">
        <v>67</v>
      </c>
      <c r="G13" s="181"/>
      <c r="H13" s="182"/>
      <c r="I13" s="182">
        <f t="shared" si="0"/>
        <v>0</v>
      </c>
    </row>
    <row r="14" spans="1:20" ht="16.5" thickBot="1" x14ac:dyDescent="0.3">
      <c r="A14" s="95"/>
      <c r="B14" s="100"/>
      <c r="C14" s="96"/>
      <c r="D14" s="96"/>
      <c r="E14" s="179"/>
      <c r="F14" s="205">
        <v>45775</v>
      </c>
      <c r="G14" s="207">
        <v>1000</v>
      </c>
      <c r="H14" s="208">
        <v>5</v>
      </c>
      <c r="I14" s="209">
        <f t="shared" si="0"/>
        <v>5000</v>
      </c>
    </row>
    <row r="15" spans="1:20" x14ac:dyDescent="0.25">
      <c r="A15" s="95"/>
      <c r="B15" s="100"/>
      <c r="C15" s="96"/>
      <c r="D15" s="96"/>
      <c r="E15" s="97"/>
      <c r="F15" s="183"/>
      <c r="G15" s="185"/>
      <c r="H15" s="186"/>
      <c r="I15" s="186">
        <f t="shared" si="0"/>
        <v>0</v>
      </c>
    </row>
    <row r="16" spans="1:20" x14ac:dyDescent="0.25">
      <c r="A16" s="95"/>
      <c r="B16" s="100"/>
      <c r="C16" s="96"/>
      <c r="D16" s="96"/>
      <c r="E16" s="97"/>
      <c r="F16" s="101"/>
      <c r="G16" s="100"/>
      <c r="H16" s="96"/>
      <c r="I16" s="96">
        <f t="shared" si="0"/>
        <v>0</v>
      </c>
    </row>
    <row r="17" spans="1:9" x14ac:dyDescent="0.25">
      <c r="A17" s="95"/>
      <c r="B17" s="100"/>
      <c r="C17" s="96"/>
      <c r="D17" s="96"/>
      <c r="E17" s="97"/>
      <c r="F17" s="101"/>
      <c r="G17" s="100"/>
      <c r="H17" s="96"/>
      <c r="I17" s="96">
        <f t="shared" si="0"/>
        <v>0</v>
      </c>
    </row>
    <row r="18" spans="1:9" x14ac:dyDescent="0.25">
      <c r="A18" s="95"/>
      <c r="B18" s="100"/>
      <c r="C18" s="96"/>
      <c r="D18" s="96"/>
      <c r="E18" s="97"/>
      <c r="F18" s="101"/>
      <c r="G18" s="100"/>
      <c r="H18" s="96"/>
      <c r="I18" s="96">
        <f t="shared" si="0"/>
        <v>0</v>
      </c>
    </row>
    <row r="19" spans="1:9" x14ac:dyDescent="0.25">
      <c r="A19" s="95"/>
      <c r="B19" s="100"/>
      <c r="C19" s="96"/>
      <c r="D19" s="96"/>
      <c r="E19" s="97"/>
      <c r="F19" s="101"/>
      <c r="G19" s="100"/>
      <c r="H19" s="96"/>
      <c r="I19" s="96">
        <f t="shared" si="0"/>
        <v>0</v>
      </c>
    </row>
    <row r="20" spans="1:9" x14ac:dyDescent="0.25">
      <c r="A20" s="95"/>
      <c r="B20" s="100"/>
      <c r="C20" s="96"/>
      <c r="D20" s="96"/>
      <c r="E20" s="97"/>
      <c r="F20" s="101"/>
      <c r="G20" s="100"/>
      <c r="H20" s="96"/>
      <c r="I20" s="96">
        <f t="shared" si="0"/>
        <v>0</v>
      </c>
    </row>
    <row r="21" spans="1:9" x14ac:dyDescent="0.25">
      <c r="A21" s="95"/>
      <c r="B21" s="100"/>
      <c r="C21" s="96"/>
      <c r="D21" s="96"/>
      <c r="E21" s="97"/>
      <c r="F21" s="101"/>
      <c r="G21" s="100"/>
      <c r="H21" s="96"/>
      <c r="I21" s="96">
        <f t="shared" si="0"/>
        <v>0</v>
      </c>
    </row>
    <row r="22" spans="1:9" x14ac:dyDescent="0.25">
      <c r="A22" s="95"/>
      <c r="B22" s="100"/>
      <c r="C22" s="96"/>
      <c r="D22" s="96"/>
      <c r="E22" s="97"/>
      <c r="F22" s="101"/>
      <c r="G22" s="100"/>
      <c r="H22" s="96"/>
      <c r="I22" s="96">
        <f t="shared" si="0"/>
        <v>0</v>
      </c>
    </row>
    <row r="23" spans="1:9" x14ac:dyDescent="0.25">
      <c r="A23" s="95"/>
      <c r="B23" s="100"/>
      <c r="C23" s="96"/>
      <c r="D23" s="96"/>
      <c r="E23" s="97"/>
      <c r="F23" s="101"/>
      <c r="G23" s="100"/>
      <c r="H23" s="96"/>
      <c r="I23" s="96">
        <f t="shared" si="0"/>
        <v>0</v>
      </c>
    </row>
    <row r="24" spans="1:9" x14ac:dyDescent="0.25">
      <c r="A24" s="95"/>
      <c r="B24" s="100"/>
      <c r="C24" s="96"/>
      <c r="D24" s="96"/>
      <c r="E24" s="97"/>
      <c r="F24" s="95"/>
      <c r="G24" s="100"/>
      <c r="H24" s="96"/>
      <c r="I24" s="96">
        <f t="shared" si="0"/>
        <v>0</v>
      </c>
    </row>
    <row r="25" spans="1:9" x14ac:dyDescent="0.25">
      <c r="A25" s="95"/>
      <c r="B25" s="100"/>
      <c r="C25" s="96"/>
      <c r="D25" s="96"/>
      <c r="E25" s="97"/>
      <c r="F25" s="95"/>
      <c r="G25" s="100"/>
      <c r="H25" s="96"/>
      <c r="I25" s="96">
        <f t="shared" si="0"/>
        <v>0</v>
      </c>
    </row>
    <row r="26" spans="1:9" x14ac:dyDescent="0.25">
      <c r="A26" s="95"/>
      <c r="B26" s="100"/>
      <c r="C26" s="96"/>
      <c r="D26" s="96"/>
      <c r="E26" s="97"/>
      <c r="F26" s="95"/>
      <c r="G26" s="100"/>
      <c r="H26" s="96"/>
      <c r="I26" s="96">
        <f t="shared" si="0"/>
        <v>0</v>
      </c>
    </row>
    <row r="27" spans="1:9" x14ac:dyDescent="0.25">
      <c r="A27" s="95"/>
      <c r="B27" s="100"/>
      <c r="C27" s="96"/>
      <c r="D27" s="96"/>
      <c r="E27" s="97"/>
      <c r="F27" s="95"/>
      <c r="G27" s="100"/>
      <c r="H27" s="96"/>
      <c r="I27" s="96">
        <f t="shared" si="0"/>
        <v>0</v>
      </c>
    </row>
    <row r="28" spans="1:9" x14ac:dyDescent="0.25">
      <c r="A28" s="95"/>
      <c r="B28" s="100"/>
      <c r="C28" s="96"/>
      <c r="D28" s="96"/>
      <c r="E28" s="97"/>
      <c r="F28" s="95"/>
      <c r="G28" s="100"/>
      <c r="H28" s="96"/>
      <c r="I28" s="96">
        <f t="shared" si="0"/>
        <v>0</v>
      </c>
    </row>
    <row r="29" spans="1:9" x14ac:dyDescent="0.25">
      <c r="A29" s="95"/>
      <c r="B29" s="100">
        <f>SUM(B3:B28)</f>
        <v>6000</v>
      </c>
      <c r="C29" s="96"/>
      <c r="D29" s="96"/>
      <c r="E29" s="97"/>
      <c r="F29" s="95"/>
      <c r="G29" s="100">
        <f>SUM(G3:G28)</f>
        <v>1393</v>
      </c>
      <c r="H29" s="96"/>
      <c r="I29" s="9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0"/>
  <sheetViews>
    <sheetView workbookViewId="0">
      <pane ySplit="1" topLeftCell="A2" activePane="bottomLeft" state="frozen"/>
      <selection pane="bottomLeft" activeCell="F19" sqref="F19"/>
    </sheetView>
  </sheetViews>
  <sheetFormatPr defaultColWidth="8.85546875" defaultRowHeight="15.75" x14ac:dyDescent="0.25"/>
  <cols>
    <col min="1" max="1" width="11.140625" style="98" customWidth="1"/>
    <col min="2" max="2" width="13.140625" style="98" customWidth="1"/>
    <col min="3" max="3" width="10.5703125" style="102" customWidth="1"/>
    <col min="4" max="4" width="14.42578125" style="102" bestFit="1" customWidth="1"/>
    <col min="5" max="5" width="4.140625" style="102" customWidth="1"/>
    <col min="6" max="6" width="10.42578125" style="98" customWidth="1"/>
    <col min="7" max="7" width="13.7109375" style="98" customWidth="1"/>
    <col min="8" max="8" width="13.140625" style="98" customWidth="1"/>
    <col min="9" max="9" width="10.5703125" style="102" customWidth="1"/>
    <col min="10" max="10" width="14.42578125" style="102" bestFit="1" customWidth="1"/>
    <col min="11" max="12" width="8.85546875" style="98"/>
    <col min="13" max="13" width="14.42578125" style="98" bestFit="1" customWidth="1"/>
    <col min="14" max="16384" width="8.85546875" style="98"/>
  </cols>
  <sheetData>
    <row r="1" spans="1:21" s="93" customFormat="1" ht="42.75" x14ac:dyDescent="0.25">
      <c r="A1" s="90" t="s">
        <v>60</v>
      </c>
      <c r="B1" s="90" t="s">
        <v>77</v>
      </c>
      <c r="C1" s="91" t="s">
        <v>61</v>
      </c>
      <c r="D1" s="91" t="s">
        <v>62</v>
      </c>
      <c r="E1" s="91"/>
      <c r="F1" s="90" t="s">
        <v>63</v>
      </c>
      <c r="G1" s="90" t="s">
        <v>64</v>
      </c>
      <c r="H1" s="90" t="s">
        <v>77</v>
      </c>
      <c r="I1" s="91" t="s">
        <v>61</v>
      </c>
      <c r="J1" s="91" t="s">
        <v>62</v>
      </c>
      <c r="K1" s="92"/>
      <c r="L1" s="92"/>
      <c r="M1" s="90" t="s">
        <v>77</v>
      </c>
      <c r="N1" s="90"/>
      <c r="O1" s="90"/>
      <c r="P1" s="90"/>
      <c r="Q1" s="90"/>
    </row>
    <row r="2" spans="1:21" x14ac:dyDescent="0.25">
      <c r="A2" s="94" t="s">
        <v>65</v>
      </c>
      <c r="B2" s="95"/>
      <c r="C2" s="96"/>
      <c r="D2" s="96"/>
      <c r="E2" s="97"/>
      <c r="F2" s="94" t="s">
        <v>65</v>
      </c>
      <c r="G2" s="95"/>
      <c r="H2" s="95"/>
      <c r="I2" s="96"/>
      <c r="J2" s="96"/>
      <c r="L2" s="99"/>
      <c r="M2" s="100">
        <f>0+B20-H20</f>
        <v>17435</v>
      </c>
      <c r="N2" s="100"/>
      <c r="O2" s="100"/>
      <c r="P2" s="100"/>
      <c r="Q2" s="100"/>
      <c r="R2" s="99"/>
      <c r="S2" s="99"/>
      <c r="T2" s="99"/>
      <c r="U2" s="99"/>
    </row>
    <row r="3" spans="1:21" x14ac:dyDescent="0.25">
      <c r="A3" s="101">
        <v>45531</v>
      </c>
      <c r="B3" s="100">
        <v>17435</v>
      </c>
      <c r="C3" s="96">
        <v>17.399999999999999</v>
      </c>
      <c r="D3" s="96">
        <f>B3*C3</f>
        <v>303369</v>
      </c>
      <c r="E3" s="97"/>
      <c r="F3" s="101"/>
      <c r="G3" s="95"/>
      <c r="H3" s="100"/>
      <c r="I3" s="96"/>
      <c r="J3" s="96"/>
      <c r="M3" s="96">
        <v>17.399999999999999</v>
      </c>
      <c r="N3" s="96"/>
      <c r="O3" s="96"/>
      <c r="P3" s="96"/>
      <c r="Q3" s="96"/>
      <c r="R3" s="102"/>
      <c r="S3" s="102"/>
      <c r="T3" s="102"/>
    </row>
    <row r="4" spans="1:21" x14ac:dyDescent="0.25">
      <c r="A4" s="95"/>
      <c r="B4" s="100"/>
      <c r="C4" s="96"/>
      <c r="D4" s="96"/>
      <c r="E4" s="97"/>
      <c r="F4" s="95"/>
      <c r="G4" s="95"/>
      <c r="H4" s="100"/>
      <c r="I4" s="96"/>
      <c r="J4" s="96"/>
      <c r="M4" s="96">
        <f>M2*M3</f>
        <v>303369</v>
      </c>
      <c r="N4" s="96"/>
      <c r="O4" s="96"/>
      <c r="P4" s="96"/>
      <c r="Q4" s="96"/>
      <c r="R4" s="102"/>
      <c r="S4" s="102"/>
      <c r="T4" s="102"/>
    </row>
    <row r="5" spans="1:21" x14ac:dyDescent="0.25">
      <c r="A5" s="95"/>
      <c r="B5" s="100"/>
      <c r="C5" s="96"/>
      <c r="D5" s="96"/>
      <c r="E5" s="97"/>
      <c r="F5" s="95"/>
      <c r="G5" s="95"/>
      <c r="H5" s="100"/>
      <c r="I5" s="96"/>
      <c r="J5" s="96"/>
    </row>
    <row r="6" spans="1:21" x14ac:dyDescent="0.25">
      <c r="A6" s="95"/>
      <c r="B6" s="100"/>
      <c r="C6" s="96"/>
      <c r="D6" s="96"/>
      <c r="E6" s="97"/>
      <c r="F6" s="95"/>
      <c r="G6" s="95"/>
      <c r="H6" s="100"/>
      <c r="I6" s="96"/>
      <c r="J6" s="96"/>
    </row>
    <row r="7" spans="1:21" x14ac:dyDescent="0.25">
      <c r="A7" s="95"/>
      <c r="B7" s="100"/>
      <c r="C7" s="96"/>
      <c r="D7" s="96"/>
      <c r="E7" s="97"/>
      <c r="F7" s="95"/>
      <c r="G7" s="95"/>
      <c r="H7" s="100"/>
      <c r="I7" s="96"/>
      <c r="J7" s="96"/>
    </row>
    <row r="8" spans="1:21" x14ac:dyDescent="0.25">
      <c r="A8" s="95"/>
      <c r="B8" s="100"/>
      <c r="C8" s="96"/>
      <c r="D8" s="96"/>
      <c r="E8" s="97"/>
      <c r="F8" s="95"/>
      <c r="G8" s="95"/>
      <c r="H8" s="100"/>
      <c r="I8" s="96"/>
      <c r="J8" s="96"/>
    </row>
    <row r="9" spans="1:21" x14ac:dyDescent="0.25">
      <c r="A9" s="95"/>
      <c r="B9" s="100"/>
      <c r="C9" s="96"/>
      <c r="D9" s="96"/>
      <c r="E9" s="97"/>
      <c r="F9" s="95"/>
      <c r="G9" s="95"/>
      <c r="H9" s="100"/>
      <c r="I9" s="96"/>
      <c r="J9" s="96"/>
    </row>
    <row r="10" spans="1:21" x14ac:dyDescent="0.25">
      <c r="A10" s="95"/>
      <c r="B10" s="100"/>
      <c r="C10" s="96"/>
      <c r="D10" s="96"/>
      <c r="E10" s="97"/>
      <c r="F10" s="95"/>
      <c r="G10" s="95"/>
      <c r="H10" s="100"/>
      <c r="I10" s="96"/>
      <c r="J10" s="96"/>
    </row>
    <row r="11" spans="1:21" x14ac:dyDescent="0.25">
      <c r="A11" s="95"/>
      <c r="B11" s="100"/>
      <c r="C11" s="96"/>
      <c r="D11" s="96"/>
      <c r="E11" s="97"/>
      <c r="F11" s="95"/>
      <c r="G11" s="95"/>
      <c r="H11" s="100"/>
      <c r="I11" s="96"/>
      <c r="J11" s="96"/>
    </row>
    <row r="12" spans="1:21" x14ac:dyDescent="0.25">
      <c r="A12" s="95"/>
      <c r="B12" s="100"/>
      <c r="C12" s="96"/>
      <c r="D12" s="96"/>
      <c r="E12" s="97"/>
      <c r="F12" s="95"/>
      <c r="G12" s="95"/>
      <c r="H12" s="100"/>
      <c r="I12" s="96"/>
      <c r="J12" s="96"/>
    </row>
    <row r="13" spans="1:21" x14ac:dyDescent="0.25">
      <c r="A13" s="95"/>
      <c r="B13" s="100"/>
      <c r="C13" s="96"/>
      <c r="D13" s="96"/>
      <c r="E13" s="97"/>
      <c r="F13" s="95"/>
      <c r="G13" s="95"/>
      <c r="H13" s="100"/>
      <c r="I13" s="96"/>
      <c r="J13" s="96"/>
    </row>
    <row r="14" spans="1:21" x14ac:dyDescent="0.25">
      <c r="A14" s="95"/>
      <c r="B14" s="100"/>
      <c r="C14" s="96"/>
      <c r="D14" s="96"/>
      <c r="E14" s="97"/>
      <c r="F14" s="95"/>
      <c r="G14" s="95"/>
      <c r="H14" s="100"/>
      <c r="I14" s="96"/>
      <c r="J14" s="96"/>
    </row>
    <row r="15" spans="1:21" x14ac:dyDescent="0.25">
      <c r="A15" s="95"/>
      <c r="B15" s="100"/>
      <c r="C15" s="96"/>
      <c r="D15" s="96"/>
      <c r="E15" s="97"/>
      <c r="F15" s="95"/>
      <c r="G15" s="95"/>
      <c r="H15" s="100"/>
      <c r="I15" s="96"/>
      <c r="J15" s="96"/>
    </row>
    <row r="16" spans="1:21" x14ac:dyDescent="0.25">
      <c r="A16" s="95"/>
      <c r="B16" s="100"/>
      <c r="C16" s="96"/>
      <c r="D16" s="96"/>
      <c r="E16" s="97"/>
      <c r="F16" s="95"/>
      <c r="G16" s="95"/>
      <c r="H16" s="100"/>
      <c r="I16" s="96"/>
      <c r="J16" s="96"/>
    </row>
    <row r="17" spans="1:10" x14ac:dyDescent="0.25">
      <c r="A17" s="95"/>
      <c r="B17" s="100"/>
      <c r="C17" s="96"/>
      <c r="D17" s="96"/>
      <c r="E17" s="97"/>
      <c r="F17" s="95"/>
      <c r="G17" s="95"/>
      <c r="H17" s="100"/>
      <c r="I17" s="96"/>
      <c r="J17" s="96"/>
    </row>
    <row r="18" spans="1:10" x14ac:dyDescent="0.25">
      <c r="A18" s="95"/>
      <c r="B18" s="100"/>
      <c r="C18" s="96"/>
      <c r="D18" s="96"/>
      <c r="E18" s="97"/>
      <c r="F18" s="95"/>
      <c r="G18" s="95"/>
      <c r="H18" s="100"/>
      <c r="I18" s="96"/>
      <c r="J18" s="96"/>
    </row>
    <row r="19" spans="1:10" x14ac:dyDescent="0.25">
      <c r="A19" s="95"/>
      <c r="B19" s="100"/>
      <c r="C19" s="96"/>
      <c r="D19" s="96"/>
      <c r="E19" s="97"/>
      <c r="F19" s="95"/>
      <c r="G19" s="95"/>
      <c r="H19" s="100"/>
      <c r="I19" s="96"/>
      <c r="J19" s="96"/>
    </row>
    <row r="20" spans="1:10" x14ac:dyDescent="0.25">
      <c r="A20" s="95"/>
      <c r="B20" s="100">
        <f>SUM(B3:B19)</f>
        <v>17435</v>
      </c>
      <c r="C20" s="96"/>
      <c r="D20" s="96"/>
      <c r="E20" s="97"/>
      <c r="F20" s="95"/>
      <c r="G20" s="95"/>
      <c r="H20" s="100">
        <f>SUM(H3:H19)</f>
        <v>0</v>
      </c>
      <c r="I20" s="96"/>
      <c r="J20" s="9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39"/>
  <sheetViews>
    <sheetView workbookViewId="0">
      <pane ySplit="1" topLeftCell="A13" activePane="bottomLeft" state="frozen"/>
      <selection pane="bottomLeft" activeCell="Q43" sqref="Q43"/>
    </sheetView>
  </sheetViews>
  <sheetFormatPr defaultColWidth="8.85546875" defaultRowHeight="15.75" x14ac:dyDescent="0.25"/>
  <cols>
    <col min="1" max="1" width="11.140625" style="98" customWidth="1"/>
    <col min="2" max="2" width="12.85546875" style="98" customWidth="1"/>
    <col min="3" max="3" width="12.7109375" style="98" customWidth="1"/>
    <col min="4" max="4" width="14.85546875" style="98" customWidth="1"/>
    <col min="5" max="8" width="11.140625" style="98" customWidth="1"/>
    <col min="9" max="9" width="10.5703125" style="102" customWidth="1"/>
    <col min="10" max="10" width="14.42578125" style="102" bestFit="1" customWidth="1"/>
    <col min="11" max="11" width="4.140625" style="102" customWidth="1"/>
    <col min="12" max="12" width="10.42578125" style="98" customWidth="1"/>
    <col min="13" max="13" width="11.7109375" style="98" customWidth="1"/>
    <col min="14" max="19" width="11.28515625" style="98" customWidth="1"/>
    <col min="20" max="20" width="10.5703125" style="102" customWidth="1"/>
    <col min="21" max="21" width="14.42578125" style="102" bestFit="1" customWidth="1"/>
    <col min="22" max="22" width="4.7109375" style="98" customWidth="1"/>
    <col min="23" max="23" width="8.85546875" style="98" hidden="1" customWidth="1"/>
    <col min="24" max="25" width="13.7109375" style="98" customWidth="1"/>
    <col min="26" max="26" width="14.42578125" style="98" customWidth="1"/>
    <col min="27" max="30" width="10.42578125" style="98" bestFit="1" customWidth="1"/>
    <col min="31" max="16384" width="8.85546875" style="98"/>
  </cols>
  <sheetData>
    <row r="1" spans="1:32" s="93" customFormat="1" ht="89.25" x14ac:dyDescent="0.25">
      <c r="A1" s="90" t="s">
        <v>60</v>
      </c>
      <c r="B1" s="133" t="s">
        <v>13</v>
      </c>
      <c r="C1" s="133" t="s">
        <v>14</v>
      </c>
      <c r="D1" s="133" t="s">
        <v>15</v>
      </c>
      <c r="E1" s="133"/>
      <c r="F1" s="133"/>
      <c r="G1" s="133"/>
      <c r="H1" s="133"/>
      <c r="I1" s="91" t="s">
        <v>61</v>
      </c>
      <c r="J1" s="91" t="s">
        <v>62</v>
      </c>
      <c r="K1" s="91"/>
      <c r="L1" s="90" t="s">
        <v>63</v>
      </c>
      <c r="M1" s="133" t="s">
        <v>13</v>
      </c>
      <c r="N1" s="133" t="s">
        <v>14</v>
      </c>
      <c r="O1" s="133" t="s">
        <v>15</v>
      </c>
      <c r="P1" s="133" t="s">
        <v>106</v>
      </c>
      <c r="Q1" s="133"/>
      <c r="R1" s="133"/>
      <c r="S1" s="133"/>
      <c r="T1" s="91" t="s">
        <v>61</v>
      </c>
      <c r="U1" s="91" t="s">
        <v>62</v>
      </c>
      <c r="V1" s="92"/>
      <c r="W1" s="92"/>
      <c r="X1" s="133" t="s">
        <v>13</v>
      </c>
      <c r="Y1" s="133" t="s">
        <v>14</v>
      </c>
      <c r="Z1" s="133" t="s">
        <v>15</v>
      </c>
      <c r="AA1" s="133"/>
      <c r="AB1" s="133"/>
      <c r="AC1" s="133"/>
      <c r="AD1" s="133"/>
    </row>
    <row r="2" spans="1:32" x14ac:dyDescent="0.25">
      <c r="A2" s="94" t="s">
        <v>67</v>
      </c>
      <c r="B2" s="95"/>
      <c r="C2" s="95"/>
      <c r="D2" s="95"/>
      <c r="E2" s="95"/>
      <c r="F2" s="95"/>
      <c r="G2" s="95"/>
      <c r="H2" s="95"/>
      <c r="I2" s="96"/>
      <c r="J2" s="96"/>
      <c r="K2" s="97"/>
      <c r="L2" s="94" t="s">
        <v>67</v>
      </c>
      <c r="M2" s="95"/>
      <c r="N2" s="95"/>
      <c r="O2" s="95"/>
      <c r="P2" s="95"/>
      <c r="Q2" s="95"/>
      <c r="R2" s="95"/>
      <c r="S2" s="95"/>
      <c r="T2" s="96"/>
      <c r="U2" s="96"/>
      <c r="W2" s="99"/>
      <c r="X2" s="100">
        <f t="shared" ref="X2:AD2" si="0">0+B39-M39</f>
        <v>574.34999999999991</v>
      </c>
      <c r="Y2" s="100">
        <f t="shared" si="0"/>
        <v>245.41000000000003</v>
      </c>
      <c r="Z2" s="100">
        <f t="shared" si="0"/>
        <v>261.44</v>
      </c>
      <c r="AA2" s="100">
        <f t="shared" si="0"/>
        <v>-63.66</v>
      </c>
      <c r="AB2" s="100">
        <f t="shared" si="0"/>
        <v>0</v>
      </c>
      <c r="AC2" s="100">
        <f t="shared" si="0"/>
        <v>0</v>
      </c>
      <c r="AD2" s="100">
        <f t="shared" si="0"/>
        <v>0</v>
      </c>
      <c r="AE2" s="99"/>
      <c r="AF2" s="99"/>
    </row>
    <row r="3" spans="1:32" x14ac:dyDescent="0.25">
      <c r="A3" s="101">
        <v>45715</v>
      </c>
      <c r="B3" s="100">
        <v>995.54</v>
      </c>
      <c r="C3" s="100"/>
      <c r="D3" s="100"/>
      <c r="E3" s="100"/>
      <c r="F3" s="100"/>
      <c r="G3" s="100"/>
      <c r="H3" s="100"/>
      <c r="I3" s="96">
        <v>715</v>
      </c>
      <c r="J3" s="96">
        <f>B3*I3+C3*I3+D3*I3+E3*I3+F3*I3+G3*I3+H3*I3</f>
        <v>711811.1</v>
      </c>
      <c r="K3" s="97"/>
      <c r="L3" s="101"/>
      <c r="M3" s="100"/>
      <c r="N3" s="100"/>
      <c r="O3" s="100"/>
      <c r="P3" s="100"/>
      <c r="Q3" s="100"/>
      <c r="R3" s="100"/>
      <c r="S3" s="100"/>
      <c r="T3" s="96"/>
      <c r="U3" s="96">
        <f t="shared" ref="U3:U38" si="1">M3*T3+N3*T3+O3*T3+P3*T3+Q3*T3+R3*T3+S3*T3</f>
        <v>0</v>
      </c>
      <c r="X3" s="96">
        <v>715</v>
      </c>
      <c r="Y3" s="96">
        <v>850</v>
      </c>
      <c r="Z3" s="96">
        <v>850</v>
      </c>
      <c r="AA3" s="96"/>
      <c r="AB3" s="96"/>
      <c r="AC3" s="96"/>
      <c r="AD3" s="96"/>
      <c r="AE3" s="102"/>
    </row>
    <row r="4" spans="1:32" x14ac:dyDescent="0.25">
      <c r="A4" s="101"/>
      <c r="B4" s="100"/>
      <c r="C4" s="100">
        <v>363.24</v>
      </c>
      <c r="D4" s="100"/>
      <c r="E4" s="100"/>
      <c r="F4" s="100"/>
      <c r="G4" s="100"/>
      <c r="H4" s="100"/>
      <c r="I4" s="96">
        <v>850</v>
      </c>
      <c r="J4" s="96">
        <f t="shared" ref="J4:J38" si="2">B4*I4+C4*I4+D4*I4+E4*I4+F4*I4+G4*I4+H4*I4</f>
        <v>308754</v>
      </c>
      <c r="K4" s="97"/>
      <c r="L4" s="101"/>
      <c r="M4" s="100"/>
      <c r="N4" s="100"/>
      <c r="O4" s="100"/>
      <c r="P4" s="100"/>
      <c r="Q4" s="100"/>
      <c r="R4" s="100"/>
      <c r="S4" s="100"/>
      <c r="T4" s="96"/>
      <c r="U4" s="96">
        <f t="shared" si="1"/>
        <v>0</v>
      </c>
      <c r="X4" s="96">
        <f>X2*X3</f>
        <v>410660.24999999994</v>
      </c>
      <c r="Y4" s="96">
        <f>Y2*Y3</f>
        <v>208598.50000000003</v>
      </c>
      <c r="Z4" s="96">
        <f>Z2*Z3</f>
        <v>222224</v>
      </c>
      <c r="AA4" s="96">
        <f t="shared" ref="AA4:AD4" si="3">AA2*AA3</f>
        <v>0</v>
      </c>
      <c r="AB4" s="96">
        <f t="shared" si="3"/>
        <v>0</v>
      </c>
      <c r="AC4" s="96">
        <f t="shared" si="3"/>
        <v>0</v>
      </c>
      <c r="AD4" s="96">
        <f t="shared" si="3"/>
        <v>0</v>
      </c>
      <c r="AE4" s="102"/>
    </row>
    <row r="5" spans="1:32" ht="16.5" thickBot="1" x14ac:dyDescent="0.3">
      <c r="A5" s="95"/>
      <c r="B5" s="100"/>
      <c r="C5" s="100"/>
      <c r="D5" s="100">
        <v>374.12</v>
      </c>
      <c r="E5" s="100"/>
      <c r="F5" s="100"/>
      <c r="G5" s="100"/>
      <c r="H5" s="100"/>
      <c r="I5" s="96">
        <v>850</v>
      </c>
      <c r="J5" s="96">
        <f t="shared" si="2"/>
        <v>318002</v>
      </c>
      <c r="K5" s="97"/>
      <c r="L5" s="203"/>
      <c r="M5" s="204"/>
      <c r="N5" s="204"/>
      <c r="O5" s="204"/>
      <c r="P5" s="204"/>
      <c r="Q5" s="204"/>
      <c r="R5" s="204"/>
      <c r="S5" s="204"/>
      <c r="T5" s="201"/>
      <c r="U5" s="201">
        <f t="shared" si="1"/>
        <v>0</v>
      </c>
    </row>
    <row r="6" spans="1:32" ht="16.5" thickBot="1" x14ac:dyDescent="0.3">
      <c r="A6" s="101"/>
      <c r="B6" s="100"/>
      <c r="C6" s="100"/>
      <c r="D6" s="100"/>
      <c r="E6" s="100"/>
      <c r="F6" s="100"/>
      <c r="G6" s="100"/>
      <c r="H6" s="100"/>
      <c r="I6" s="96"/>
      <c r="J6" s="96">
        <f t="shared" si="2"/>
        <v>0</v>
      </c>
      <c r="K6" s="179"/>
      <c r="L6" s="205">
        <v>45719</v>
      </c>
      <c r="M6" s="207">
        <v>33.200000000000003</v>
      </c>
      <c r="N6" s="207"/>
      <c r="O6" s="207"/>
      <c r="P6" s="207"/>
      <c r="Q6" s="207"/>
      <c r="R6" s="207"/>
      <c r="S6" s="207"/>
      <c r="T6" s="208">
        <v>715</v>
      </c>
      <c r="U6" s="209">
        <f t="shared" si="1"/>
        <v>23738.000000000004</v>
      </c>
    </row>
    <row r="7" spans="1:32" x14ac:dyDescent="0.25">
      <c r="A7" s="101"/>
      <c r="B7" s="100"/>
      <c r="C7" s="100"/>
      <c r="D7" s="100"/>
      <c r="E7" s="100"/>
      <c r="F7" s="100"/>
      <c r="G7" s="100"/>
      <c r="H7" s="100"/>
      <c r="I7" s="96"/>
      <c r="J7" s="96">
        <f t="shared" si="2"/>
        <v>0</v>
      </c>
      <c r="K7" s="179"/>
      <c r="L7" s="187">
        <v>45726</v>
      </c>
      <c r="M7" s="189">
        <v>16.7</v>
      </c>
      <c r="N7" s="189"/>
      <c r="O7" s="189"/>
      <c r="P7" s="189"/>
      <c r="Q7" s="189"/>
      <c r="R7" s="189"/>
      <c r="S7" s="189"/>
      <c r="T7" s="190">
        <v>715</v>
      </c>
      <c r="U7" s="191">
        <f t="shared" si="1"/>
        <v>11940.5</v>
      </c>
    </row>
    <row r="8" spans="1:32" x14ac:dyDescent="0.25">
      <c r="A8" s="95"/>
      <c r="B8" s="100"/>
      <c r="C8" s="100"/>
      <c r="D8" s="100"/>
      <c r="E8" s="100"/>
      <c r="F8" s="100"/>
      <c r="G8" s="100"/>
      <c r="H8" s="100"/>
      <c r="I8" s="96"/>
      <c r="J8" s="96">
        <f t="shared" si="2"/>
        <v>0</v>
      </c>
      <c r="K8" s="179"/>
      <c r="L8" s="192">
        <v>45727</v>
      </c>
      <c r="M8" s="100">
        <v>15.34</v>
      </c>
      <c r="N8" s="100"/>
      <c r="O8" s="100"/>
      <c r="P8" s="100"/>
      <c r="Q8" s="100"/>
      <c r="R8" s="100"/>
      <c r="S8" s="100"/>
      <c r="T8" s="96">
        <v>715</v>
      </c>
      <c r="U8" s="193">
        <f t="shared" si="1"/>
        <v>10968.1</v>
      </c>
    </row>
    <row r="9" spans="1:32" x14ac:dyDescent="0.25">
      <c r="A9" s="95"/>
      <c r="B9" s="100"/>
      <c r="C9" s="100"/>
      <c r="D9" s="100"/>
      <c r="E9" s="100"/>
      <c r="F9" s="100"/>
      <c r="G9" s="100"/>
      <c r="H9" s="100"/>
      <c r="I9" s="96"/>
      <c r="J9" s="96">
        <f t="shared" si="2"/>
        <v>0</v>
      </c>
      <c r="K9" s="179"/>
      <c r="L9" s="192">
        <v>45729</v>
      </c>
      <c r="M9" s="100">
        <v>15.46</v>
      </c>
      <c r="N9" s="100"/>
      <c r="O9" s="100"/>
      <c r="P9" s="100"/>
      <c r="Q9" s="100"/>
      <c r="R9" s="100"/>
      <c r="S9" s="100"/>
      <c r="T9" s="96">
        <v>715</v>
      </c>
      <c r="U9" s="193">
        <f t="shared" si="1"/>
        <v>11053.900000000001</v>
      </c>
    </row>
    <row r="10" spans="1:32" ht="16.5" thickBot="1" x14ac:dyDescent="0.3">
      <c r="A10" s="101"/>
      <c r="B10" s="100"/>
      <c r="C10" s="100"/>
      <c r="D10" s="100"/>
      <c r="E10" s="100"/>
      <c r="F10" s="100"/>
      <c r="G10" s="100"/>
      <c r="H10" s="100"/>
      <c r="I10" s="96"/>
      <c r="J10" s="96">
        <f t="shared" si="2"/>
        <v>0</v>
      </c>
      <c r="K10" s="179"/>
      <c r="L10" s="194">
        <v>45730</v>
      </c>
      <c r="M10" s="196">
        <v>12.72</v>
      </c>
      <c r="N10" s="196"/>
      <c r="O10" s="196"/>
      <c r="P10" s="196"/>
      <c r="Q10" s="196"/>
      <c r="R10" s="196"/>
      <c r="S10" s="196"/>
      <c r="T10" s="197">
        <v>715</v>
      </c>
      <c r="U10" s="198">
        <f t="shared" si="1"/>
        <v>9094.8000000000011</v>
      </c>
    </row>
    <row r="11" spans="1:32" x14ac:dyDescent="0.25">
      <c r="A11" s="95"/>
      <c r="B11" s="100"/>
      <c r="C11" s="100"/>
      <c r="D11" s="100"/>
      <c r="E11" s="100"/>
      <c r="F11" s="100"/>
      <c r="G11" s="100"/>
      <c r="H11" s="100"/>
      <c r="I11" s="96"/>
      <c r="J11" s="96">
        <f t="shared" si="2"/>
        <v>0</v>
      </c>
      <c r="K11" s="179"/>
      <c r="L11" s="187">
        <v>45733</v>
      </c>
      <c r="M11" s="189">
        <v>16.66</v>
      </c>
      <c r="N11" s="189"/>
      <c r="O11" s="189"/>
      <c r="P11" s="189"/>
      <c r="Q11" s="189"/>
      <c r="R11" s="189"/>
      <c r="S11" s="189"/>
      <c r="T11" s="190">
        <v>715</v>
      </c>
      <c r="U11" s="191">
        <f t="shared" si="1"/>
        <v>11911.9</v>
      </c>
    </row>
    <row r="12" spans="1:32" x14ac:dyDescent="0.25">
      <c r="A12" s="95"/>
      <c r="B12" s="100"/>
      <c r="C12" s="100"/>
      <c r="D12" s="100"/>
      <c r="E12" s="100"/>
      <c r="F12" s="100"/>
      <c r="G12" s="100"/>
      <c r="H12" s="100"/>
      <c r="I12" s="96"/>
      <c r="J12" s="96">
        <f t="shared" si="2"/>
        <v>0</v>
      </c>
      <c r="K12" s="179"/>
      <c r="L12" s="192">
        <v>45734</v>
      </c>
      <c r="M12" s="100">
        <v>12.72</v>
      </c>
      <c r="N12" s="100"/>
      <c r="O12" s="100"/>
      <c r="P12" s="100"/>
      <c r="Q12" s="100"/>
      <c r="R12" s="100"/>
      <c r="S12" s="100"/>
      <c r="T12" s="96">
        <v>715</v>
      </c>
      <c r="U12" s="193">
        <f t="shared" si="1"/>
        <v>9094.8000000000011</v>
      </c>
    </row>
    <row r="13" spans="1:32" x14ac:dyDescent="0.25">
      <c r="A13" s="95"/>
      <c r="B13" s="100"/>
      <c r="C13" s="100"/>
      <c r="D13" s="100"/>
      <c r="E13" s="100"/>
      <c r="F13" s="100"/>
      <c r="G13" s="100"/>
      <c r="H13" s="100"/>
      <c r="I13" s="96"/>
      <c r="J13" s="96">
        <f t="shared" si="2"/>
        <v>0</v>
      </c>
      <c r="K13" s="179"/>
      <c r="L13" s="192">
        <v>45736</v>
      </c>
      <c r="M13" s="100">
        <v>31.38</v>
      </c>
      <c r="N13" s="100"/>
      <c r="O13" s="100"/>
      <c r="P13" s="100"/>
      <c r="Q13" s="100"/>
      <c r="R13" s="100"/>
      <c r="S13" s="100"/>
      <c r="T13" s="96">
        <v>715</v>
      </c>
      <c r="U13" s="193">
        <f t="shared" si="1"/>
        <v>22436.7</v>
      </c>
    </row>
    <row r="14" spans="1:32" ht="16.5" thickBot="1" x14ac:dyDescent="0.3">
      <c r="A14" s="95"/>
      <c r="B14" s="100"/>
      <c r="C14" s="100"/>
      <c r="D14" s="100"/>
      <c r="E14" s="100"/>
      <c r="F14" s="100"/>
      <c r="G14" s="100"/>
      <c r="H14" s="100"/>
      <c r="I14" s="96"/>
      <c r="J14" s="96">
        <f t="shared" si="2"/>
        <v>0</v>
      </c>
      <c r="K14" s="179"/>
      <c r="L14" s="194">
        <v>45737</v>
      </c>
      <c r="M14" s="196">
        <v>30.7</v>
      </c>
      <c r="N14" s="196"/>
      <c r="O14" s="196"/>
      <c r="P14" s="196"/>
      <c r="Q14" s="196"/>
      <c r="R14" s="196"/>
      <c r="S14" s="196"/>
      <c r="T14" s="197">
        <v>715</v>
      </c>
      <c r="U14" s="198">
        <f t="shared" si="1"/>
        <v>21950.5</v>
      </c>
    </row>
    <row r="15" spans="1:32" x14ac:dyDescent="0.25">
      <c r="A15" s="101"/>
      <c r="B15" s="100"/>
      <c r="C15" s="100"/>
      <c r="D15" s="100"/>
      <c r="E15" s="100"/>
      <c r="F15" s="100"/>
      <c r="G15" s="100"/>
      <c r="H15" s="100"/>
      <c r="I15" s="96"/>
      <c r="J15" s="96">
        <f t="shared" si="2"/>
        <v>0</v>
      </c>
      <c r="K15" s="179"/>
      <c r="L15" s="187">
        <v>45740</v>
      </c>
      <c r="M15" s="189">
        <v>45.2</v>
      </c>
      <c r="N15" s="189"/>
      <c r="O15" s="189"/>
      <c r="P15" s="189"/>
      <c r="Q15" s="189"/>
      <c r="R15" s="189"/>
      <c r="S15" s="189"/>
      <c r="T15" s="190">
        <v>715</v>
      </c>
      <c r="U15" s="191">
        <f t="shared" si="1"/>
        <v>32318.000000000004</v>
      </c>
    </row>
    <row r="16" spans="1:32" ht="16.5" thickBot="1" x14ac:dyDescent="0.3">
      <c r="A16" s="95"/>
      <c r="B16" s="100"/>
      <c r="C16" s="100"/>
      <c r="D16" s="100"/>
      <c r="E16" s="100"/>
      <c r="F16" s="100"/>
      <c r="G16" s="100"/>
      <c r="H16" s="100"/>
      <c r="I16" s="96"/>
      <c r="J16" s="96">
        <f t="shared" si="2"/>
        <v>0</v>
      </c>
      <c r="K16" s="179"/>
      <c r="L16" s="194">
        <v>45747</v>
      </c>
      <c r="M16" s="196">
        <v>32.159999999999997</v>
      </c>
      <c r="N16" s="196"/>
      <c r="O16" s="196"/>
      <c r="P16" s="196"/>
      <c r="Q16" s="196"/>
      <c r="R16" s="196"/>
      <c r="S16" s="196"/>
      <c r="T16" s="197">
        <v>715</v>
      </c>
      <c r="U16" s="198">
        <f t="shared" si="1"/>
        <v>22994.399999999998</v>
      </c>
    </row>
    <row r="17" spans="1:21" ht="16.5" thickBot="1" x14ac:dyDescent="0.3">
      <c r="A17" s="147"/>
      <c r="B17" s="148"/>
      <c r="C17" s="148"/>
      <c r="D17" s="148"/>
      <c r="E17" s="148"/>
      <c r="F17" s="148"/>
      <c r="G17" s="148"/>
      <c r="H17" s="148"/>
      <c r="I17" s="149"/>
      <c r="J17" s="149">
        <f t="shared" si="2"/>
        <v>0</v>
      </c>
      <c r="K17" s="149"/>
      <c r="L17" s="224" t="s">
        <v>75</v>
      </c>
      <c r="M17" s="226"/>
      <c r="N17" s="226"/>
      <c r="O17" s="226"/>
      <c r="P17" s="226"/>
      <c r="Q17" s="226"/>
      <c r="R17" s="226"/>
      <c r="S17" s="226"/>
      <c r="T17" s="227"/>
      <c r="U17" s="227">
        <f t="shared" si="1"/>
        <v>0</v>
      </c>
    </row>
    <row r="18" spans="1:21" x14ac:dyDescent="0.25">
      <c r="A18" s="95"/>
      <c r="B18" s="100"/>
      <c r="C18" s="100"/>
      <c r="D18" s="100"/>
      <c r="E18" s="100"/>
      <c r="F18" s="100"/>
      <c r="G18" s="100"/>
      <c r="H18" s="100"/>
      <c r="I18" s="96"/>
      <c r="J18" s="96">
        <f t="shared" si="2"/>
        <v>0</v>
      </c>
      <c r="K18" s="179"/>
      <c r="L18" s="187">
        <v>45750</v>
      </c>
      <c r="M18" s="189">
        <v>16.02</v>
      </c>
      <c r="N18" s="189"/>
      <c r="O18" s="189"/>
      <c r="P18" s="189"/>
      <c r="Q18" s="189"/>
      <c r="R18" s="189"/>
      <c r="S18" s="189"/>
      <c r="T18" s="190">
        <v>715</v>
      </c>
      <c r="U18" s="191">
        <f t="shared" si="1"/>
        <v>11454.3</v>
      </c>
    </row>
    <row r="19" spans="1:21" ht="16.5" thickBot="1" x14ac:dyDescent="0.3">
      <c r="A19" s="95"/>
      <c r="B19" s="100"/>
      <c r="C19" s="100"/>
      <c r="D19" s="100"/>
      <c r="E19" s="100"/>
      <c r="F19" s="100"/>
      <c r="G19" s="100"/>
      <c r="H19" s="100"/>
      <c r="I19" s="96"/>
      <c r="J19" s="96">
        <f t="shared" si="2"/>
        <v>0</v>
      </c>
      <c r="K19" s="179"/>
      <c r="L19" s="194">
        <v>45751</v>
      </c>
      <c r="M19" s="196">
        <v>16.28</v>
      </c>
      <c r="N19" s="196"/>
      <c r="O19" s="196"/>
      <c r="P19" s="196"/>
      <c r="Q19" s="196"/>
      <c r="R19" s="196"/>
      <c r="S19" s="196"/>
      <c r="T19" s="197">
        <v>715</v>
      </c>
      <c r="U19" s="198">
        <f t="shared" si="1"/>
        <v>11640.2</v>
      </c>
    </row>
    <row r="20" spans="1:21" x14ac:dyDescent="0.25">
      <c r="A20" s="95"/>
      <c r="B20" s="100"/>
      <c r="C20" s="100"/>
      <c r="D20" s="100"/>
      <c r="E20" s="100"/>
      <c r="F20" s="100"/>
      <c r="G20" s="100"/>
      <c r="H20" s="100"/>
      <c r="I20" s="96"/>
      <c r="J20" s="96">
        <f t="shared" si="2"/>
        <v>0</v>
      </c>
      <c r="K20" s="179"/>
      <c r="L20" s="187">
        <v>45754</v>
      </c>
      <c r="M20" s="189">
        <v>16.18</v>
      </c>
      <c r="N20" s="189"/>
      <c r="O20" s="189"/>
      <c r="P20" s="189"/>
      <c r="Q20" s="189"/>
      <c r="R20" s="189"/>
      <c r="S20" s="189"/>
      <c r="T20" s="190">
        <v>715</v>
      </c>
      <c r="U20" s="191">
        <f t="shared" si="1"/>
        <v>11568.699999999999</v>
      </c>
    </row>
    <row r="21" spans="1:21" x14ac:dyDescent="0.25">
      <c r="A21" s="95"/>
      <c r="B21" s="100"/>
      <c r="C21" s="100"/>
      <c r="D21" s="100"/>
      <c r="E21" s="100"/>
      <c r="F21" s="100"/>
      <c r="G21" s="100"/>
      <c r="H21" s="100"/>
      <c r="I21" s="96"/>
      <c r="J21" s="96">
        <f t="shared" si="2"/>
        <v>0</v>
      </c>
      <c r="K21" s="179"/>
      <c r="L21" s="192">
        <v>45755</v>
      </c>
      <c r="M21" s="100">
        <v>4.8600000000000003</v>
      </c>
      <c r="N21" s="100"/>
      <c r="O21" s="100"/>
      <c r="P21" s="100"/>
      <c r="Q21" s="100"/>
      <c r="R21" s="100"/>
      <c r="S21" s="100"/>
      <c r="T21" s="96">
        <v>715</v>
      </c>
      <c r="U21" s="193">
        <f t="shared" si="1"/>
        <v>3474.9</v>
      </c>
    </row>
    <row r="22" spans="1:21" x14ac:dyDescent="0.25">
      <c r="A22" s="95"/>
      <c r="B22" s="100"/>
      <c r="C22" s="100"/>
      <c r="D22" s="100"/>
      <c r="E22" s="100"/>
      <c r="F22" s="100"/>
      <c r="G22" s="100"/>
      <c r="H22" s="100"/>
      <c r="I22" s="96"/>
      <c r="J22" s="96">
        <f t="shared" si="2"/>
        <v>0</v>
      </c>
      <c r="K22" s="179"/>
      <c r="L22" s="192">
        <v>45756</v>
      </c>
      <c r="M22" s="100">
        <v>4.8600000000000003</v>
      </c>
      <c r="N22" s="100"/>
      <c r="O22" s="100"/>
      <c r="P22" s="100"/>
      <c r="Q22" s="100"/>
      <c r="R22" s="100"/>
      <c r="S22" s="100"/>
      <c r="T22" s="96">
        <v>715</v>
      </c>
      <c r="U22" s="193">
        <f t="shared" si="1"/>
        <v>3474.9</v>
      </c>
    </row>
    <row r="23" spans="1:21" x14ac:dyDescent="0.25">
      <c r="A23" s="95"/>
      <c r="B23" s="100"/>
      <c r="C23" s="100"/>
      <c r="D23" s="100"/>
      <c r="E23" s="100"/>
      <c r="F23" s="100"/>
      <c r="G23" s="100"/>
      <c r="H23" s="100"/>
      <c r="I23" s="96"/>
      <c r="J23" s="96">
        <f t="shared" si="2"/>
        <v>0</v>
      </c>
      <c r="K23" s="179"/>
      <c r="L23" s="192">
        <v>45757</v>
      </c>
      <c r="M23" s="100">
        <v>16.079999999999998</v>
      </c>
      <c r="N23" s="100"/>
      <c r="O23" s="100"/>
      <c r="P23" s="100"/>
      <c r="Q23" s="100"/>
      <c r="R23" s="100"/>
      <c r="S23" s="100"/>
      <c r="T23" s="96">
        <v>715</v>
      </c>
      <c r="U23" s="193">
        <f t="shared" si="1"/>
        <v>11497.199999999999</v>
      </c>
    </row>
    <row r="24" spans="1:21" ht="16.5" thickBot="1" x14ac:dyDescent="0.3">
      <c r="A24" s="95"/>
      <c r="B24" s="100"/>
      <c r="C24" s="100"/>
      <c r="D24" s="100"/>
      <c r="E24" s="100"/>
      <c r="F24" s="100"/>
      <c r="G24" s="100"/>
      <c r="H24" s="100"/>
      <c r="I24" s="96"/>
      <c r="J24" s="96">
        <f t="shared" si="2"/>
        <v>0</v>
      </c>
      <c r="K24" s="179"/>
      <c r="L24" s="194">
        <v>45765</v>
      </c>
      <c r="M24" s="196">
        <v>48.61</v>
      </c>
      <c r="N24" s="196"/>
      <c r="O24" s="196"/>
      <c r="P24" s="196"/>
      <c r="Q24" s="196"/>
      <c r="R24" s="196"/>
      <c r="S24" s="196"/>
      <c r="T24" s="197">
        <v>715</v>
      </c>
      <c r="U24" s="198">
        <f t="shared" si="1"/>
        <v>34756.15</v>
      </c>
    </row>
    <row r="25" spans="1:21" x14ac:dyDescent="0.25">
      <c r="A25" s="95"/>
      <c r="B25" s="100"/>
      <c r="C25" s="100"/>
      <c r="D25" s="100"/>
      <c r="E25" s="100"/>
      <c r="F25" s="100"/>
      <c r="G25" s="100"/>
      <c r="H25" s="100"/>
      <c r="I25" s="96"/>
      <c r="J25" s="96">
        <f t="shared" si="2"/>
        <v>0</v>
      </c>
      <c r="K25" s="179"/>
      <c r="L25" s="187">
        <v>45769</v>
      </c>
      <c r="M25" s="189">
        <v>3.66</v>
      </c>
      <c r="N25" s="189"/>
      <c r="O25" s="189"/>
      <c r="P25" s="189"/>
      <c r="Q25" s="189"/>
      <c r="R25" s="189"/>
      <c r="S25" s="189"/>
      <c r="T25" s="190">
        <v>715</v>
      </c>
      <c r="U25" s="191">
        <f t="shared" si="1"/>
        <v>2616.9</v>
      </c>
    </row>
    <row r="26" spans="1:21" x14ac:dyDescent="0.25">
      <c r="A26" s="95"/>
      <c r="B26" s="100"/>
      <c r="C26" s="100"/>
      <c r="D26" s="100"/>
      <c r="E26" s="100"/>
      <c r="F26" s="100"/>
      <c r="G26" s="100"/>
      <c r="H26" s="100"/>
      <c r="I26" s="96"/>
      <c r="J26" s="96">
        <f t="shared" si="2"/>
        <v>0</v>
      </c>
      <c r="K26" s="179"/>
      <c r="L26" s="230">
        <v>45775</v>
      </c>
      <c r="M26" s="204">
        <v>16.2</v>
      </c>
      <c r="N26" s="204"/>
      <c r="O26" s="204"/>
      <c r="P26" s="204"/>
      <c r="Q26" s="204"/>
      <c r="R26" s="204"/>
      <c r="S26" s="204"/>
      <c r="T26" s="201">
        <v>715</v>
      </c>
      <c r="U26" s="251">
        <f t="shared" si="1"/>
        <v>11583</v>
      </c>
    </row>
    <row r="27" spans="1:21" x14ac:dyDescent="0.25">
      <c r="A27" s="150" t="s">
        <v>99</v>
      </c>
      <c r="B27" s="248"/>
      <c r="C27" s="248"/>
      <c r="D27" s="248"/>
      <c r="E27" s="248"/>
      <c r="F27" s="248"/>
      <c r="G27" s="248"/>
      <c r="H27" s="248"/>
      <c r="I27" s="249"/>
      <c r="J27" s="249"/>
      <c r="K27" s="179"/>
      <c r="L27" s="150" t="s">
        <v>99</v>
      </c>
      <c r="M27" s="248"/>
      <c r="N27" s="248"/>
      <c r="O27" s="248"/>
      <c r="P27" s="248"/>
      <c r="Q27" s="248"/>
      <c r="R27" s="248"/>
      <c r="S27" s="248"/>
      <c r="T27" s="249"/>
      <c r="U27" s="249"/>
    </row>
    <row r="28" spans="1:21" x14ac:dyDescent="0.25">
      <c r="A28" s="95"/>
      <c r="B28" s="100"/>
      <c r="C28" s="100"/>
      <c r="D28" s="100"/>
      <c r="E28" s="100"/>
      <c r="F28" s="100"/>
      <c r="G28" s="100"/>
      <c r="H28" s="100"/>
      <c r="I28" s="96"/>
      <c r="J28" s="96">
        <f t="shared" si="2"/>
        <v>0</v>
      </c>
      <c r="K28" s="97"/>
      <c r="L28" s="184" t="s">
        <v>93</v>
      </c>
      <c r="M28" s="185"/>
      <c r="N28" s="185">
        <v>88.6</v>
      </c>
      <c r="O28" s="185"/>
      <c r="P28" s="185"/>
      <c r="Q28" s="185"/>
      <c r="R28" s="185"/>
      <c r="S28" s="185"/>
      <c r="T28" s="186">
        <v>850</v>
      </c>
      <c r="U28" s="186">
        <f t="shared" si="1"/>
        <v>75310</v>
      </c>
    </row>
    <row r="29" spans="1:21" x14ac:dyDescent="0.25">
      <c r="A29" s="95"/>
      <c r="B29" s="100"/>
      <c r="C29" s="100"/>
      <c r="D29" s="100"/>
      <c r="E29" s="100"/>
      <c r="F29" s="100"/>
      <c r="G29" s="100"/>
      <c r="H29" s="100"/>
      <c r="I29" s="96"/>
      <c r="J29" s="96">
        <f t="shared" si="2"/>
        <v>0</v>
      </c>
      <c r="K29" s="97"/>
      <c r="L29" s="95"/>
      <c r="M29" s="100"/>
      <c r="N29" s="100"/>
      <c r="O29" s="100">
        <v>48.76</v>
      </c>
      <c r="P29" s="100"/>
      <c r="Q29" s="100"/>
      <c r="R29" s="100"/>
      <c r="S29" s="100"/>
      <c r="T29" s="96">
        <v>850</v>
      </c>
      <c r="U29" s="96">
        <f t="shared" si="1"/>
        <v>41446</v>
      </c>
    </row>
    <row r="30" spans="1:21" x14ac:dyDescent="0.25">
      <c r="A30" s="95"/>
      <c r="B30" s="100"/>
      <c r="C30" s="100"/>
      <c r="D30" s="100"/>
      <c r="E30" s="100"/>
      <c r="F30" s="100"/>
      <c r="G30" s="100"/>
      <c r="H30" s="100"/>
      <c r="I30" s="96"/>
      <c r="J30" s="96">
        <f t="shared" si="2"/>
        <v>0</v>
      </c>
      <c r="K30" s="97"/>
      <c r="L30" s="95" t="s">
        <v>97</v>
      </c>
      <c r="M30" s="100">
        <v>16.2</v>
      </c>
      <c r="N30" s="100"/>
      <c r="O30" s="100"/>
      <c r="P30" s="100"/>
      <c r="Q30" s="100"/>
      <c r="R30" s="100"/>
      <c r="S30" s="100"/>
      <c r="T30" s="96">
        <v>715</v>
      </c>
      <c r="U30" s="96">
        <f t="shared" si="1"/>
        <v>11583</v>
      </c>
    </row>
    <row r="31" spans="1:21" x14ac:dyDescent="0.25">
      <c r="A31" s="95"/>
      <c r="B31" s="100"/>
      <c r="C31" s="100"/>
      <c r="D31" s="100"/>
      <c r="E31" s="100"/>
      <c r="F31" s="100"/>
      <c r="G31" s="100"/>
      <c r="H31" s="100"/>
      <c r="I31" s="96"/>
      <c r="J31" s="96">
        <f t="shared" si="2"/>
        <v>0</v>
      </c>
      <c r="K31" s="97"/>
      <c r="L31" s="95"/>
      <c r="M31" s="100"/>
      <c r="N31" s="100">
        <v>9.24</v>
      </c>
      <c r="O31" s="100"/>
      <c r="P31" s="100"/>
      <c r="Q31" s="100"/>
      <c r="R31" s="100"/>
      <c r="S31" s="100"/>
      <c r="T31" s="96">
        <v>850</v>
      </c>
      <c r="U31" s="96">
        <f t="shared" si="1"/>
        <v>7854</v>
      </c>
    </row>
    <row r="32" spans="1:21" x14ac:dyDescent="0.25">
      <c r="A32" s="95"/>
      <c r="B32" s="100"/>
      <c r="C32" s="100"/>
      <c r="D32" s="100"/>
      <c r="E32" s="100"/>
      <c r="F32" s="100"/>
      <c r="G32" s="100"/>
      <c r="H32" s="100"/>
      <c r="I32" s="96"/>
      <c r="J32" s="96">
        <f t="shared" si="2"/>
        <v>0</v>
      </c>
      <c r="K32" s="97"/>
      <c r="L32" s="95"/>
      <c r="M32" s="100"/>
      <c r="N32" s="100"/>
      <c r="O32" s="100">
        <v>63.92</v>
      </c>
      <c r="P32" s="100"/>
      <c r="Q32" s="100"/>
      <c r="R32" s="100"/>
      <c r="S32" s="100"/>
      <c r="T32" s="96">
        <v>850</v>
      </c>
      <c r="U32" s="96">
        <f t="shared" si="1"/>
        <v>54332</v>
      </c>
    </row>
    <row r="33" spans="1:21" x14ac:dyDescent="0.25">
      <c r="A33" s="95"/>
      <c r="B33" s="100"/>
      <c r="C33" s="100"/>
      <c r="D33" s="100"/>
      <c r="E33" s="100"/>
      <c r="F33" s="100"/>
      <c r="G33" s="100"/>
      <c r="H33" s="100"/>
      <c r="I33" s="96"/>
      <c r="J33" s="96">
        <f t="shared" si="2"/>
        <v>0</v>
      </c>
      <c r="K33" s="97"/>
      <c r="L33" s="95" t="s">
        <v>100</v>
      </c>
      <c r="M33" s="100"/>
      <c r="N33" s="100">
        <v>10.79</v>
      </c>
      <c r="O33" s="100"/>
      <c r="P33" s="100"/>
      <c r="Q33" s="100"/>
      <c r="R33" s="100"/>
      <c r="S33" s="100"/>
      <c r="T33" s="96">
        <v>850</v>
      </c>
      <c r="U33" s="96">
        <f t="shared" si="1"/>
        <v>9171.5</v>
      </c>
    </row>
    <row r="34" spans="1:21" x14ac:dyDescent="0.25">
      <c r="A34" s="95"/>
      <c r="B34" s="100"/>
      <c r="C34" s="100"/>
      <c r="D34" s="100"/>
      <c r="E34" s="100"/>
      <c r="F34" s="100"/>
      <c r="G34" s="100"/>
      <c r="H34" s="100"/>
      <c r="I34" s="96"/>
      <c r="J34" s="96">
        <f t="shared" si="2"/>
        <v>0</v>
      </c>
      <c r="K34" s="97"/>
      <c r="L34" s="95" t="s">
        <v>98</v>
      </c>
      <c r="M34" s="100"/>
      <c r="N34" s="100">
        <v>9.1999999999999993</v>
      </c>
      <c r="O34" s="100"/>
      <c r="P34" s="100"/>
      <c r="Q34" s="100"/>
      <c r="R34" s="100"/>
      <c r="S34" s="100"/>
      <c r="T34" s="96">
        <v>850</v>
      </c>
      <c r="U34" s="96">
        <f t="shared" si="1"/>
        <v>7819.9999999999991</v>
      </c>
    </row>
    <row r="35" spans="1:21" x14ac:dyDescent="0.25">
      <c r="A35" s="95"/>
      <c r="B35" s="100"/>
      <c r="C35" s="100"/>
      <c r="D35" s="100"/>
      <c r="E35" s="100"/>
      <c r="F35" s="100"/>
      <c r="G35" s="100"/>
      <c r="H35" s="100"/>
      <c r="I35" s="96"/>
      <c r="J35" s="96">
        <f t="shared" si="2"/>
        <v>0</v>
      </c>
      <c r="K35" s="97"/>
      <c r="L35" s="95" t="s">
        <v>105</v>
      </c>
      <c r="M35" s="100"/>
      <c r="N35" s="100"/>
      <c r="O35" s="100"/>
      <c r="P35" s="100">
        <v>23.68</v>
      </c>
      <c r="Q35" s="100"/>
      <c r="R35" s="100"/>
      <c r="S35" s="100"/>
      <c r="T35" s="96">
        <v>741</v>
      </c>
      <c r="U35" s="96">
        <f t="shared" si="1"/>
        <v>17546.88</v>
      </c>
    </row>
    <row r="36" spans="1:21" x14ac:dyDescent="0.25">
      <c r="A36" s="95"/>
      <c r="B36" s="100"/>
      <c r="C36" s="100"/>
      <c r="D36" s="100"/>
      <c r="E36" s="100"/>
      <c r="F36" s="100"/>
      <c r="G36" s="100"/>
      <c r="H36" s="100"/>
      <c r="I36" s="96"/>
      <c r="J36" s="96"/>
      <c r="K36" s="97"/>
      <c r="L36" s="95" t="s">
        <v>107</v>
      </c>
      <c r="M36" s="100"/>
      <c r="N36" s="100"/>
      <c r="O36" s="100"/>
      <c r="P36" s="100">
        <v>39.979999999999997</v>
      </c>
      <c r="Q36" s="100"/>
      <c r="R36" s="100"/>
      <c r="S36" s="100"/>
      <c r="T36" s="96">
        <v>741</v>
      </c>
      <c r="U36" s="96">
        <f t="shared" si="1"/>
        <v>29625.179999999997</v>
      </c>
    </row>
    <row r="37" spans="1:21" x14ac:dyDescent="0.25">
      <c r="A37" s="95"/>
      <c r="B37" s="100"/>
      <c r="C37" s="100"/>
      <c r="D37" s="100"/>
      <c r="E37" s="100"/>
      <c r="F37" s="100"/>
      <c r="G37" s="100"/>
      <c r="H37" s="100"/>
      <c r="I37" s="96"/>
      <c r="J37" s="96"/>
      <c r="K37" s="97"/>
      <c r="L37" s="95"/>
      <c r="M37" s="100"/>
      <c r="N37" s="100"/>
      <c r="O37" s="100"/>
      <c r="P37" s="100"/>
      <c r="Q37" s="100"/>
      <c r="R37" s="100"/>
      <c r="S37" s="100"/>
      <c r="T37" s="96"/>
      <c r="U37" s="96">
        <f t="shared" si="1"/>
        <v>0</v>
      </c>
    </row>
    <row r="38" spans="1:21" x14ac:dyDescent="0.25">
      <c r="A38" s="95"/>
      <c r="B38" s="100"/>
      <c r="C38" s="100"/>
      <c r="D38" s="100"/>
      <c r="E38" s="100"/>
      <c r="F38" s="100"/>
      <c r="G38" s="100"/>
      <c r="H38" s="100"/>
      <c r="I38" s="96"/>
      <c r="J38" s="96">
        <f t="shared" si="2"/>
        <v>0</v>
      </c>
      <c r="K38" s="97"/>
      <c r="L38" s="95"/>
      <c r="M38" s="100"/>
      <c r="N38" s="100"/>
      <c r="O38" s="100"/>
      <c r="P38" s="100"/>
      <c r="Q38" s="100"/>
      <c r="R38" s="100"/>
      <c r="S38" s="100"/>
      <c r="T38" s="96"/>
      <c r="U38" s="96">
        <f t="shared" si="1"/>
        <v>0</v>
      </c>
    </row>
    <row r="39" spans="1:21" x14ac:dyDescent="0.25">
      <c r="A39" s="95"/>
      <c r="B39" s="100">
        <f>SUM(B3:B38)</f>
        <v>995.54</v>
      </c>
      <c r="C39" s="100">
        <f>SUM(C3:C38)</f>
        <v>363.24</v>
      </c>
      <c r="D39" s="100">
        <f>SUM(D3:D38)</f>
        <v>374.12</v>
      </c>
      <c r="E39" s="100">
        <f t="shared" ref="E39:H39" si="4">SUM(E3:E38)</f>
        <v>0</v>
      </c>
      <c r="F39" s="100">
        <f t="shared" si="4"/>
        <v>0</v>
      </c>
      <c r="G39" s="100">
        <f t="shared" si="4"/>
        <v>0</v>
      </c>
      <c r="H39" s="100">
        <f t="shared" si="4"/>
        <v>0</v>
      </c>
      <c r="I39" s="96"/>
      <c r="J39" s="96"/>
      <c r="K39" s="97"/>
      <c r="L39" s="95"/>
      <c r="M39" s="100">
        <f>SUM(M3:M38)</f>
        <v>421.19</v>
      </c>
      <c r="N39" s="100">
        <f t="shared" ref="N39:S39" si="5">SUM(N3:N38)</f>
        <v>117.83</v>
      </c>
      <c r="O39" s="100">
        <f t="shared" si="5"/>
        <v>112.68</v>
      </c>
      <c r="P39" s="100">
        <f t="shared" si="5"/>
        <v>63.66</v>
      </c>
      <c r="Q39" s="100">
        <f t="shared" si="5"/>
        <v>0</v>
      </c>
      <c r="R39" s="100">
        <f t="shared" si="5"/>
        <v>0</v>
      </c>
      <c r="S39" s="100">
        <f t="shared" si="5"/>
        <v>0</v>
      </c>
      <c r="T39" s="96"/>
      <c r="U39" s="9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36"/>
  <sheetViews>
    <sheetView workbookViewId="0">
      <pane ySplit="1" topLeftCell="A2" activePane="bottomLeft" state="frozen"/>
      <selection pane="bottomLeft" activeCell="E24" sqref="E24"/>
    </sheetView>
  </sheetViews>
  <sheetFormatPr defaultColWidth="8.85546875" defaultRowHeight="15.75" x14ac:dyDescent="0.25"/>
  <cols>
    <col min="1" max="1" width="11.140625" style="98" customWidth="1"/>
    <col min="2" max="2" width="12.85546875" style="98" customWidth="1"/>
    <col min="3" max="3" width="12.7109375" style="98" customWidth="1"/>
    <col min="4" max="4" width="14.85546875" style="98" customWidth="1"/>
    <col min="5" max="8" width="11.140625" style="98" customWidth="1"/>
    <col min="9" max="9" width="10.5703125" style="102" customWidth="1"/>
    <col min="10" max="10" width="14.42578125" style="102" bestFit="1" customWidth="1"/>
    <col min="11" max="11" width="4.140625" style="102" customWidth="1"/>
    <col min="12" max="12" width="10.42578125" style="98" customWidth="1"/>
    <col min="13" max="13" width="11.7109375" style="98" customWidth="1"/>
    <col min="14" max="19" width="11.28515625" style="98" customWidth="1"/>
    <col min="20" max="20" width="10.5703125" style="102" customWidth="1"/>
    <col min="21" max="21" width="14.42578125" style="102" bestFit="1" customWidth="1"/>
    <col min="22" max="22" width="4.7109375" style="98" customWidth="1"/>
    <col min="23" max="23" width="8.85546875" style="98" hidden="1" customWidth="1"/>
    <col min="24" max="25" width="13.7109375" style="98" customWidth="1"/>
    <col min="26" max="26" width="14.42578125" style="98" customWidth="1"/>
    <col min="27" max="30" width="10.42578125" style="98" bestFit="1" customWidth="1"/>
    <col min="31" max="16384" width="8.85546875" style="98"/>
  </cols>
  <sheetData>
    <row r="1" spans="1:32" s="93" customFormat="1" ht="63.75" x14ac:dyDescent="0.25">
      <c r="A1" s="90" t="s">
        <v>60</v>
      </c>
      <c r="B1" s="133" t="s">
        <v>28</v>
      </c>
      <c r="C1" s="133" t="s">
        <v>6</v>
      </c>
      <c r="D1" s="133"/>
      <c r="E1" s="133"/>
      <c r="F1" s="133"/>
      <c r="G1" s="133"/>
      <c r="H1" s="133"/>
      <c r="I1" s="91" t="s">
        <v>61</v>
      </c>
      <c r="J1" s="91" t="s">
        <v>62</v>
      </c>
      <c r="K1" s="91"/>
      <c r="L1" s="90" t="s">
        <v>63</v>
      </c>
      <c r="M1" s="133" t="s">
        <v>28</v>
      </c>
      <c r="N1" s="133" t="s">
        <v>6</v>
      </c>
      <c r="O1" s="133"/>
      <c r="P1" s="133"/>
      <c r="Q1" s="133"/>
      <c r="R1" s="133"/>
      <c r="S1" s="133"/>
      <c r="T1" s="91" t="s">
        <v>61</v>
      </c>
      <c r="U1" s="91" t="s">
        <v>62</v>
      </c>
      <c r="V1" s="92"/>
      <c r="W1" s="92"/>
      <c r="X1" s="133" t="s">
        <v>13</v>
      </c>
      <c r="Y1" s="133" t="s">
        <v>14</v>
      </c>
      <c r="Z1" s="133" t="s">
        <v>15</v>
      </c>
      <c r="AA1" s="133"/>
      <c r="AB1" s="133"/>
      <c r="AC1" s="133"/>
      <c r="AD1" s="133"/>
    </row>
    <row r="2" spans="1:32" ht="16.5" thickBot="1" x14ac:dyDescent="0.3">
      <c r="A2" s="94" t="s">
        <v>67</v>
      </c>
      <c r="B2" s="95"/>
      <c r="C2" s="95"/>
      <c r="D2" s="95"/>
      <c r="E2" s="95"/>
      <c r="F2" s="95"/>
      <c r="G2" s="95"/>
      <c r="H2" s="95"/>
      <c r="I2" s="96"/>
      <c r="J2" s="96"/>
      <c r="K2" s="97"/>
      <c r="L2" s="210" t="s">
        <v>67</v>
      </c>
      <c r="M2" s="200"/>
      <c r="N2" s="200"/>
      <c r="O2" s="200"/>
      <c r="P2" s="200"/>
      <c r="Q2" s="200"/>
      <c r="R2" s="200"/>
      <c r="S2" s="200"/>
      <c r="T2" s="201"/>
      <c r="U2" s="201"/>
      <c r="W2" s="99"/>
      <c r="X2" s="100">
        <f t="shared" ref="X2:AD2" si="0">0+B36-M36</f>
        <v>139.20000000000002</v>
      </c>
      <c r="Y2" s="100">
        <f t="shared" si="0"/>
        <v>165.99999999999997</v>
      </c>
      <c r="Z2" s="100">
        <f t="shared" si="0"/>
        <v>0</v>
      </c>
      <c r="AA2" s="100">
        <f t="shared" si="0"/>
        <v>0</v>
      </c>
      <c r="AB2" s="100">
        <f t="shared" si="0"/>
        <v>0</v>
      </c>
      <c r="AC2" s="100">
        <f t="shared" si="0"/>
        <v>0</v>
      </c>
      <c r="AD2" s="100">
        <f t="shared" si="0"/>
        <v>0</v>
      </c>
      <c r="AE2" s="99"/>
      <c r="AF2" s="99"/>
    </row>
    <row r="3" spans="1:32" x14ac:dyDescent="0.25">
      <c r="A3" s="101">
        <v>45726</v>
      </c>
      <c r="B3" s="100">
        <v>284.55</v>
      </c>
      <c r="C3" s="100"/>
      <c r="D3" s="100"/>
      <c r="E3" s="100"/>
      <c r="F3" s="100"/>
      <c r="G3" s="100"/>
      <c r="H3" s="100"/>
      <c r="I3" s="96">
        <v>290</v>
      </c>
      <c r="J3" s="96">
        <f>B3*I3+C3*I3+D3*I3+E3*I3+F3*I3+G3*I3+H3*I3</f>
        <v>82519.5</v>
      </c>
      <c r="K3" s="179"/>
      <c r="L3" s="187">
        <v>45726</v>
      </c>
      <c r="M3" s="189">
        <v>15.05</v>
      </c>
      <c r="N3" s="189"/>
      <c r="O3" s="189"/>
      <c r="P3" s="189"/>
      <c r="Q3" s="189"/>
      <c r="R3" s="189"/>
      <c r="S3" s="189"/>
      <c r="T3" s="190">
        <v>290</v>
      </c>
      <c r="U3" s="191">
        <f>M3*T3+N3*T3+O3*T3+P3*T3+Q3*T3+R3*T3+S3*T3</f>
        <v>4364.5</v>
      </c>
      <c r="X3" s="96">
        <v>290</v>
      </c>
      <c r="Y3" s="96">
        <v>280</v>
      </c>
      <c r="Z3" s="96"/>
      <c r="AA3" s="96"/>
      <c r="AB3" s="96"/>
      <c r="AC3" s="96"/>
      <c r="AD3" s="96"/>
      <c r="AE3" s="102"/>
    </row>
    <row r="4" spans="1:32" x14ac:dyDescent="0.25">
      <c r="A4" s="101"/>
      <c r="B4" s="100"/>
      <c r="C4" s="100"/>
      <c r="D4" s="100"/>
      <c r="E4" s="100"/>
      <c r="F4" s="100"/>
      <c r="G4" s="100"/>
      <c r="H4" s="100"/>
      <c r="I4" s="96"/>
      <c r="J4" s="96">
        <f t="shared" ref="J4:J35" si="1">B4*I4+C4*I4+D4*I4+E4*I4+F4*I4+G4*I4+H4*I4</f>
        <v>0</v>
      </c>
      <c r="K4" s="179"/>
      <c r="L4" s="192">
        <v>45728</v>
      </c>
      <c r="M4" s="100">
        <v>14.55</v>
      </c>
      <c r="N4" s="100"/>
      <c r="O4" s="100"/>
      <c r="P4" s="100"/>
      <c r="Q4" s="100"/>
      <c r="R4" s="100"/>
      <c r="S4" s="100"/>
      <c r="T4" s="96">
        <v>290</v>
      </c>
      <c r="U4" s="193">
        <f t="shared" ref="U4:U35" si="2">M4*T4+N4*T4+O4*T4+P4*T4+Q4*T4+R4*T4+S4*T4</f>
        <v>4219.5</v>
      </c>
      <c r="X4" s="96">
        <f>X2*X3</f>
        <v>40368.000000000007</v>
      </c>
      <c r="Y4" s="96">
        <f>Y2*Y3</f>
        <v>46479.999999999993</v>
      </c>
      <c r="Z4" s="96">
        <f>Z2*Z3</f>
        <v>0</v>
      </c>
      <c r="AA4" s="96">
        <f t="shared" ref="AA4:AD4" si="3">AA2*AA3</f>
        <v>0</v>
      </c>
      <c r="AB4" s="96">
        <f t="shared" si="3"/>
        <v>0</v>
      </c>
      <c r="AC4" s="96">
        <f t="shared" si="3"/>
        <v>0</v>
      </c>
      <c r="AD4" s="96">
        <f t="shared" si="3"/>
        <v>0</v>
      </c>
      <c r="AE4" s="102"/>
    </row>
    <row r="5" spans="1:32" x14ac:dyDescent="0.25">
      <c r="A5" s="95"/>
      <c r="B5" s="100"/>
      <c r="C5" s="100"/>
      <c r="D5" s="100"/>
      <c r="E5" s="100"/>
      <c r="F5" s="100"/>
      <c r="G5" s="100"/>
      <c r="H5" s="100"/>
      <c r="I5" s="96"/>
      <c r="J5" s="96">
        <f t="shared" si="1"/>
        <v>0</v>
      </c>
      <c r="K5" s="179"/>
      <c r="L5" s="192">
        <v>45729</v>
      </c>
      <c r="M5" s="100">
        <v>28.6</v>
      </c>
      <c r="N5" s="100"/>
      <c r="O5" s="100"/>
      <c r="P5" s="100"/>
      <c r="Q5" s="100"/>
      <c r="R5" s="100"/>
      <c r="S5" s="100"/>
      <c r="T5" s="96">
        <v>290</v>
      </c>
      <c r="U5" s="193">
        <f t="shared" si="2"/>
        <v>8294</v>
      </c>
    </row>
    <row r="6" spans="1:32" ht="16.5" thickBot="1" x14ac:dyDescent="0.3">
      <c r="A6" s="101"/>
      <c r="B6" s="100"/>
      <c r="C6" s="100"/>
      <c r="D6" s="100"/>
      <c r="E6" s="100"/>
      <c r="F6" s="100"/>
      <c r="G6" s="100"/>
      <c r="H6" s="100"/>
      <c r="I6" s="96"/>
      <c r="J6" s="96">
        <f t="shared" si="1"/>
        <v>0</v>
      </c>
      <c r="K6" s="179"/>
      <c r="L6" s="194">
        <v>45730</v>
      </c>
      <c r="M6" s="196">
        <v>14.55</v>
      </c>
      <c r="N6" s="196"/>
      <c r="O6" s="196"/>
      <c r="P6" s="196"/>
      <c r="Q6" s="196"/>
      <c r="R6" s="196"/>
      <c r="S6" s="196"/>
      <c r="T6" s="197">
        <v>290</v>
      </c>
      <c r="U6" s="198">
        <f t="shared" si="2"/>
        <v>4219.5</v>
      </c>
    </row>
    <row r="7" spans="1:32" x14ac:dyDescent="0.25">
      <c r="A7" s="101"/>
      <c r="B7" s="100"/>
      <c r="C7" s="100"/>
      <c r="D7" s="100"/>
      <c r="E7" s="100"/>
      <c r="F7" s="100"/>
      <c r="G7" s="100"/>
      <c r="H7" s="100"/>
      <c r="I7" s="96"/>
      <c r="J7" s="96">
        <f t="shared" si="1"/>
        <v>0</v>
      </c>
      <c r="K7" s="179"/>
      <c r="L7" s="187">
        <v>45735</v>
      </c>
      <c r="M7" s="189">
        <v>29.35</v>
      </c>
      <c r="N7" s="189"/>
      <c r="O7" s="189"/>
      <c r="P7" s="189"/>
      <c r="Q7" s="189"/>
      <c r="R7" s="189"/>
      <c r="S7" s="189"/>
      <c r="T7" s="190">
        <v>290</v>
      </c>
      <c r="U7" s="191">
        <f t="shared" si="2"/>
        <v>8511.5</v>
      </c>
    </row>
    <row r="8" spans="1:32" x14ac:dyDescent="0.25">
      <c r="A8" s="95"/>
      <c r="B8" s="100"/>
      <c r="C8" s="100"/>
      <c r="D8" s="100"/>
      <c r="E8" s="100"/>
      <c r="F8" s="100"/>
      <c r="G8" s="100"/>
      <c r="H8" s="100"/>
      <c r="I8" s="96"/>
      <c r="J8" s="96">
        <f t="shared" si="1"/>
        <v>0</v>
      </c>
      <c r="K8" s="179"/>
      <c r="L8" s="192">
        <v>45736</v>
      </c>
      <c r="M8" s="100">
        <v>28.65</v>
      </c>
      <c r="N8" s="100"/>
      <c r="O8" s="100"/>
      <c r="P8" s="100"/>
      <c r="Q8" s="100"/>
      <c r="R8" s="100"/>
      <c r="S8" s="100"/>
      <c r="T8" s="96">
        <v>290</v>
      </c>
      <c r="U8" s="193">
        <f t="shared" si="2"/>
        <v>8308.5</v>
      </c>
    </row>
    <row r="9" spans="1:32" ht="16.5" thickBot="1" x14ac:dyDescent="0.3">
      <c r="A9" s="95"/>
      <c r="B9" s="100"/>
      <c r="C9" s="100"/>
      <c r="D9" s="100"/>
      <c r="E9" s="100"/>
      <c r="F9" s="100"/>
      <c r="G9" s="100"/>
      <c r="H9" s="100"/>
      <c r="I9" s="96"/>
      <c r="J9" s="96">
        <f t="shared" si="1"/>
        <v>0</v>
      </c>
      <c r="K9" s="179"/>
      <c r="L9" s="194">
        <v>45737</v>
      </c>
      <c r="M9" s="196">
        <v>14.6</v>
      </c>
      <c r="N9" s="196"/>
      <c r="O9" s="196"/>
      <c r="P9" s="196"/>
      <c r="Q9" s="196"/>
      <c r="R9" s="196"/>
      <c r="S9" s="196"/>
      <c r="T9" s="197">
        <v>290</v>
      </c>
      <c r="U9" s="198">
        <f t="shared" si="2"/>
        <v>4234</v>
      </c>
    </row>
    <row r="10" spans="1:32" ht="16.5" thickBot="1" x14ac:dyDescent="0.3">
      <c r="A10" s="101">
        <v>45772</v>
      </c>
      <c r="B10" s="100"/>
      <c r="C10" s="100">
        <v>180.9</v>
      </c>
      <c r="D10" s="100"/>
      <c r="E10" s="100"/>
      <c r="F10" s="100"/>
      <c r="G10" s="100"/>
      <c r="H10" s="100"/>
      <c r="I10" s="96">
        <v>280</v>
      </c>
      <c r="J10" s="96">
        <f t="shared" si="1"/>
        <v>50652</v>
      </c>
      <c r="K10" s="179"/>
      <c r="L10" s="205">
        <v>45777</v>
      </c>
      <c r="M10" s="207"/>
      <c r="N10" s="207">
        <v>180.9</v>
      </c>
      <c r="O10" s="207"/>
      <c r="P10" s="207"/>
      <c r="Q10" s="207"/>
      <c r="R10" s="207"/>
      <c r="S10" s="207"/>
      <c r="T10" s="208">
        <v>280</v>
      </c>
      <c r="U10" s="209">
        <f t="shared" si="2"/>
        <v>50652</v>
      </c>
    </row>
    <row r="11" spans="1:32" x14ac:dyDescent="0.25">
      <c r="A11" s="95"/>
      <c r="B11" s="100"/>
      <c r="C11" s="100"/>
      <c r="D11" s="100"/>
      <c r="E11" s="100"/>
      <c r="F11" s="100"/>
      <c r="G11" s="100"/>
      <c r="H11" s="100"/>
      <c r="I11" s="96"/>
      <c r="J11" s="96">
        <f t="shared" si="1"/>
        <v>0</v>
      </c>
      <c r="K11" s="97"/>
      <c r="L11" s="183"/>
      <c r="M11" s="185"/>
      <c r="N11" s="185"/>
      <c r="O11" s="185"/>
      <c r="P11" s="185"/>
      <c r="Q11" s="185"/>
      <c r="R11" s="185"/>
      <c r="S11" s="185"/>
      <c r="T11" s="186"/>
      <c r="U11" s="186">
        <f t="shared" si="2"/>
        <v>0</v>
      </c>
    </row>
    <row r="12" spans="1:32" x14ac:dyDescent="0.25">
      <c r="A12" s="95" t="s">
        <v>97</v>
      </c>
      <c r="B12" s="100"/>
      <c r="C12" s="100">
        <v>166</v>
      </c>
      <c r="D12" s="100"/>
      <c r="E12" s="100"/>
      <c r="F12" s="100"/>
      <c r="G12" s="100"/>
      <c r="H12" s="100"/>
      <c r="I12" s="96">
        <v>280</v>
      </c>
      <c r="J12" s="96">
        <f t="shared" si="1"/>
        <v>46480</v>
      </c>
      <c r="K12" s="97"/>
      <c r="L12" s="95"/>
      <c r="M12" s="100"/>
      <c r="N12" s="100"/>
      <c r="O12" s="100"/>
      <c r="P12" s="100"/>
      <c r="Q12" s="100"/>
      <c r="R12" s="100"/>
      <c r="S12" s="100"/>
      <c r="T12" s="96"/>
      <c r="U12" s="96">
        <f t="shared" si="2"/>
        <v>0</v>
      </c>
    </row>
    <row r="13" spans="1:32" x14ac:dyDescent="0.25">
      <c r="A13" s="95"/>
      <c r="B13" s="100"/>
      <c r="C13" s="100"/>
      <c r="D13" s="100"/>
      <c r="E13" s="100"/>
      <c r="F13" s="100"/>
      <c r="G13" s="100"/>
      <c r="H13" s="100"/>
      <c r="I13" s="96"/>
      <c r="J13" s="96">
        <f t="shared" si="1"/>
        <v>0</v>
      </c>
      <c r="K13" s="97"/>
      <c r="L13" s="101"/>
      <c r="M13" s="100"/>
      <c r="N13" s="100"/>
      <c r="O13" s="100"/>
      <c r="P13" s="100"/>
      <c r="Q13" s="100"/>
      <c r="R13" s="100"/>
      <c r="S13" s="100"/>
      <c r="T13" s="96"/>
      <c r="U13" s="96">
        <f t="shared" si="2"/>
        <v>0</v>
      </c>
    </row>
    <row r="14" spans="1:32" x14ac:dyDescent="0.25">
      <c r="A14" s="95"/>
      <c r="B14" s="100"/>
      <c r="C14" s="100"/>
      <c r="D14" s="100"/>
      <c r="E14" s="100"/>
      <c r="F14" s="100"/>
      <c r="G14" s="100"/>
      <c r="H14" s="100"/>
      <c r="I14" s="96"/>
      <c r="J14" s="96">
        <f t="shared" si="1"/>
        <v>0</v>
      </c>
      <c r="K14" s="97"/>
      <c r="L14" s="95"/>
      <c r="M14" s="100"/>
      <c r="N14" s="100"/>
      <c r="O14" s="100"/>
      <c r="P14" s="100"/>
      <c r="Q14" s="100"/>
      <c r="R14" s="100"/>
      <c r="S14" s="100"/>
      <c r="T14" s="96"/>
      <c r="U14" s="96">
        <f t="shared" si="2"/>
        <v>0</v>
      </c>
    </row>
    <row r="15" spans="1:32" x14ac:dyDescent="0.25">
      <c r="A15" s="101"/>
      <c r="B15" s="100"/>
      <c r="C15" s="100"/>
      <c r="D15" s="100"/>
      <c r="E15" s="100"/>
      <c r="F15" s="100"/>
      <c r="G15" s="100"/>
      <c r="H15" s="100"/>
      <c r="I15" s="96"/>
      <c r="J15" s="96">
        <f t="shared" si="1"/>
        <v>0</v>
      </c>
      <c r="K15" s="97"/>
      <c r="L15" s="95"/>
      <c r="M15" s="100"/>
      <c r="N15" s="100"/>
      <c r="O15" s="100"/>
      <c r="P15" s="100"/>
      <c r="Q15" s="100"/>
      <c r="R15" s="100"/>
      <c r="S15" s="100"/>
      <c r="T15" s="96"/>
      <c r="U15" s="96">
        <f t="shared" si="2"/>
        <v>0</v>
      </c>
    </row>
    <row r="16" spans="1:32" x14ac:dyDescent="0.25">
      <c r="A16" s="95"/>
      <c r="B16" s="100"/>
      <c r="C16" s="100"/>
      <c r="D16" s="100"/>
      <c r="E16" s="100"/>
      <c r="F16" s="100"/>
      <c r="G16" s="100"/>
      <c r="H16" s="100"/>
      <c r="I16" s="96"/>
      <c r="J16" s="96">
        <f t="shared" si="1"/>
        <v>0</v>
      </c>
      <c r="K16" s="97"/>
      <c r="L16" s="101"/>
      <c r="M16" s="100"/>
      <c r="N16" s="100"/>
      <c r="O16" s="100"/>
      <c r="P16" s="100"/>
      <c r="Q16" s="100"/>
      <c r="R16" s="100"/>
      <c r="S16" s="100"/>
      <c r="T16" s="96"/>
      <c r="U16" s="96">
        <f t="shared" si="2"/>
        <v>0</v>
      </c>
    </row>
    <row r="17" spans="1:21" x14ac:dyDescent="0.25">
      <c r="A17" s="95"/>
      <c r="B17" s="100"/>
      <c r="C17" s="100"/>
      <c r="D17" s="100"/>
      <c r="E17" s="100"/>
      <c r="F17" s="100"/>
      <c r="G17" s="100"/>
      <c r="H17" s="100"/>
      <c r="I17" s="96"/>
      <c r="J17" s="96">
        <f t="shared" si="1"/>
        <v>0</v>
      </c>
      <c r="K17" s="97"/>
      <c r="L17" s="101"/>
      <c r="M17" s="100"/>
      <c r="N17" s="100"/>
      <c r="O17" s="100"/>
      <c r="P17" s="100"/>
      <c r="Q17" s="100"/>
      <c r="R17" s="100"/>
      <c r="S17" s="100"/>
      <c r="T17" s="96"/>
      <c r="U17" s="96">
        <f t="shared" si="2"/>
        <v>0</v>
      </c>
    </row>
    <row r="18" spans="1:21" x14ac:dyDescent="0.25">
      <c r="A18" s="95"/>
      <c r="B18" s="100"/>
      <c r="C18" s="100"/>
      <c r="D18" s="100"/>
      <c r="E18" s="100"/>
      <c r="F18" s="100"/>
      <c r="G18" s="100"/>
      <c r="H18" s="100"/>
      <c r="I18" s="96"/>
      <c r="J18" s="96">
        <f t="shared" si="1"/>
        <v>0</v>
      </c>
      <c r="K18" s="97"/>
      <c r="L18" s="95"/>
      <c r="M18" s="100"/>
      <c r="N18" s="100"/>
      <c r="O18" s="100"/>
      <c r="P18" s="100"/>
      <c r="Q18" s="100"/>
      <c r="R18" s="100"/>
      <c r="S18" s="100"/>
      <c r="T18" s="96"/>
      <c r="U18" s="96">
        <f t="shared" si="2"/>
        <v>0</v>
      </c>
    </row>
    <row r="19" spans="1:21" x14ac:dyDescent="0.25">
      <c r="A19" s="95"/>
      <c r="B19" s="100"/>
      <c r="C19" s="100"/>
      <c r="D19" s="100"/>
      <c r="E19" s="100"/>
      <c r="F19" s="100"/>
      <c r="G19" s="100"/>
      <c r="H19" s="100"/>
      <c r="I19" s="96"/>
      <c r="J19" s="96">
        <f t="shared" si="1"/>
        <v>0</v>
      </c>
      <c r="K19" s="97"/>
      <c r="L19" s="101"/>
      <c r="M19" s="100"/>
      <c r="N19" s="100"/>
      <c r="O19" s="100"/>
      <c r="P19" s="100"/>
      <c r="Q19" s="100"/>
      <c r="R19" s="100"/>
      <c r="S19" s="100"/>
      <c r="T19" s="96"/>
      <c r="U19" s="96">
        <f t="shared" si="2"/>
        <v>0</v>
      </c>
    </row>
    <row r="20" spans="1:21" x14ac:dyDescent="0.25">
      <c r="A20" s="95"/>
      <c r="B20" s="100"/>
      <c r="C20" s="100"/>
      <c r="D20" s="100"/>
      <c r="E20" s="100"/>
      <c r="F20" s="100"/>
      <c r="G20" s="100"/>
      <c r="H20" s="100"/>
      <c r="I20" s="96"/>
      <c r="J20" s="96">
        <f t="shared" si="1"/>
        <v>0</v>
      </c>
      <c r="K20" s="97"/>
      <c r="L20" s="101"/>
      <c r="M20" s="100"/>
      <c r="N20" s="100"/>
      <c r="O20" s="100"/>
      <c r="P20" s="100"/>
      <c r="Q20" s="100"/>
      <c r="R20" s="100"/>
      <c r="S20" s="100"/>
      <c r="T20" s="96"/>
      <c r="U20" s="96">
        <f t="shared" si="2"/>
        <v>0</v>
      </c>
    </row>
    <row r="21" spans="1:21" x14ac:dyDescent="0.25">
      <c r="A21" s="95"/>
      <c r="B21" s="100"/>
      <c r="C21" s="100"/>
      <c r="D21" s="100"/>
      <c r="E21" s="100"/>
      <c r="F21" s="100"/>
      <c r="G21" s="100"/>
      <c r="H21" s="100"/>
      <c r="I21" s="96"/>
      <c r="J21" s="96">
        <f t="shared" si="1"/>
        <v>0</v>
      </c>
      <c r="K21" s="97"/>
      <c r="L21" s="101"/>
      <c r="M21" s="100"/>
      <c r="N21" s="100"/>
      <c r="O21" s="100"/>
      <c r="P21" s="100"/>
      <c r="Q21" s="100"/>
      <c r="R21" s="100"/>
      <c r="S21" s="100"/>
      <c r="T21" s="96"/>
      <c r="U21" s="96">
        <f t="shared" si="2"/>
        <v>0</v>
      </c>
    </row>
    <row r="22" spans="1:21" x14ac:dyDescent="0.25">
      <c r="A22" s="95"/>
      <c r="B22" s="100"/>
      <c r="C22" s="100"/>
      <c r="D22" s="100"/>
      <c r="E22" s="100"/>
      <c r="F22" s="100"/>
      <c r="G22" s="100"/>
      <c r="H22" s="100"/>
      <c r="I22" s="96"/>
      <c r="J22" s="96">
        <f t="shared" si="1"/>
        <v>0</v>
      </c>
      <c r="K22" s="97"/>
      <c r="L22" s="101"/>
      <c r="M22" s="100"/>
      <c r="N22" s="100"/>
      <c r="O22" s="100"/>
      <c r="P22" s="100"/>
      <c r="Q22" s="100"/>
      <c r="R22" s="100"/>
      <c r="S22" s="100"/>
      <c r="T22" s="96"/>
      <c r="U22" s="96">
        <f t="shared" si="2"/>
        <v>0</v>
      </c>
    </row>
    <row r="23" spans="1:21" x14ac:dyDescent="0.25">
      <c r="A23" s="95"/>
      <c r="B23" s="100"/>
      <c r="C23" s="100"/>
      <c r="D23" s="100"/>
      <c r="E23" s="100"/>
      <c r="F23" s="100"/>
      <c r="G23" s="100"/>
      <c r="H23" s="100"/>
      <c r="I23" s="96"/>
      <c r="J23" s="96">
        <f t="shared" si="1"/>
        <v>0</v>
      </c>
      <c r="K23" s="97"/>
      <c r="L23" s="101"/>
      <c r="M23" s="100"/>
      <c r="N23" s="100"/>
      <c r="O23" s="100"/>
      <c r="P23" s="100"/>
      <c r="Q23" s="100"/>
      <c r="R23" s="100"/>
      <c r="S23" s="100"/>
      <c r="T23" s="96"/>
      <c r="U23" s="96">
        <f t="shared" si="2"/>
        <v>0</v>
      </c>
    </row>
    <row r="24" spans="1:21" x14ac:dyDescent="0.25">
      <c r="A24" s="95"/>
      <c r="B24" s="100"/>
      <c r="C24" s="100"/>
      <c r="D24" s="100"/>
      <c r="E24" s="100"/>
      <c r="F24" s="100"/>
      <c r="G24" s="100"/>
      <c r="H24" s="100"/>
      <c r="I24" s="96"/>
      <c r="J24" s="96">
        <f t="shared" si="1"/>
        <v>0</v>
      </c>
      <c r="K24" s="97"/>
      <c r="L24" s="101"/>
      <c r="M24" s="100"/>
      <c r="N24" s="100"/>
      <c r="O24" s="100"/>
      <c r="P24" s="100"/>
      <c r="Q24" s="100"/>
      <c r="R24" s="100"/>
      <c r="S24" s="100"/>
      <c r="T24" s="96"/>
      <c r="U24" s="96">
        <f t="shared" si="2"/>
        <v>0</v>
      </c>
    </row>
    <row r="25" spans="1:21" x14ac:dyDescent="0.25">
      <c r="A25" s="95"/>
      <c r="B25" s="100"/>
      <c r="C25" s="100"/>
      <c r="D25" s="100"/>
      <c r="E25" s="100"/>
      <c r="F25" s="100"/>
      <c r="G25" s="100"/>
      <c r="H25" s="100"/>
      <c r="I25" s="96"/>
      <c r="J25" s="96">
        <f t="shared" si="1"/>
        <v>0</v>
      </c>
      <c r="K25" s="97"/>
      <c r="L25" s="95"/>
      <c r="M25" s="100"/>
      <c r="N25" s="100"/>
      <c r="O25" s="100"/>
      <c r="P25" s="100"/>
      <c r="Q25" s="100"/>
      <c r="R25" s="100"/>
      <c r="S25" s="100"/>
      <c r="T25" s="96"/>
      <c r="U25" s="96">
        <f t="shared" si="2"/>
        <v>0</v>
      </c>
    </row>
    <row r="26" spans="1:21" x14ac:dyDescent="0.25">
      <c r="A26" s="95"/>
      <c r="B26" s="100"/>
      <c r="C26" s="100"/>
      <c r="D26" s="100"/>
      <c r="E26" s="100"/>
      <c r="F26" s="100"/>
      <c r="G26" s="100"/>
      <c r="H26" s="100"/>
      <c r="I26" s="96"/>
      <c r="J26" s="96">
        <f t="shared" si="1"/>
        <v>0</v>
      </c>
      <c r="K26" s="97"/>
      <c r="L26" s="95"/>
      <c r="M26" s="100"/>
      <c r="N26" s="100"/>
      <c r="O26" s="100"/>
      <c r="P26" s="100"/>
      <c r="Q26" s="100"/>
      <c r="R26" s="100"/>
      <c r="S26" s="100"/>
      <c r="T26" s="96"/>
      <c r="U26" s="96">
        <f t="shared" si="2"/>
        <v>0</v>
      </c>
    </row>
    <row r="27" spans="1:21" x14ac:dyDescent="0.25">
      <c r="A27" s="95"/>
      <c r="B27" s="100"/>
      <c r="C27" s="100"/>
      <c r="D27" s="100"/>
      <c r="E27" s="100"/>
      <c r="F27" s="100"/>
      <c r="G27" s="100"/>
      <c r="H27" s="100"/>
      <c r="I27" s="96"/>
      <c r="J27" s="96">
        <f t="shared" si="1"/>
        <v>0</v>
      </c>
      <c r="K27" s="97"/>
      <c r="L27" s="95"/>
      <c r="M27" s="100"/>
      <c r="N27" s="100"/>
      <c r="O27" s="100"/>
      <c r="P27" s="100"/>
      <c r="Q27" s="100"/>
      <c r="R27" s="100"/>
      <c r="S27" s="100"/>
      <c r="T27" s="96"/>
      <c r="U27" s="96">
        <f t="shared" si="2"/>
        <v>0</v>
      </c>
    </row>
    <row r="28" spans="1:21" x14ac:dyDescent="0.25">
      <c r="A28" s="95"/>
      <c r="B28" s="100"/>
      <c r="C28" s="100"/>
      <c r="D28" s="100"/>
      <c r="E28" s="100"/>
      <c r="F28" s="100"/>
      <c r="G28" s="100"/>
      <c r="H28" s="100"/>
      <c r="I28" s="96"/>
      <c r="J28" s="96">
        <f t="shared" si="1"/>
        <v>0</v>
      </c>
      <c r="K28" s="97"/>
      <c r="L28" s="95"/>
      <c r="M28" s="100"/>
      <c r="N28" s="100"/>
      <c r="O28" s="100"/>
      <c r="P28" s="100"/>
      <c r="Q28" s="100"/>
      <c r="R28" s="100"/>
      <c r="S28" s="100"/>
      <c r="T28" s="96"/>
      <c r="U28" s="96">
        <f t="shared" si="2"/>
        <v>0</v>
      </c>
    </row>
    <row r="29" spans="1:21" x14ac:dyDescent="0.25">
      <c r="A29" s="95"/>
      <c r="B29" s="100"/>
      <c r="C29" s="100"/>
      <c r="D29" s="100"/>
      <c r="E29" s="100"/>
      <c r="F29" s="100"/>
      <c r="G29" s="100"/>
      <c r="H29" s="100"/>
      <c r="I29" s="96"/>
      <c r="J29" s="96">
        <f t="shared" si="1"/>
        <v>0</v>
      </c>
      <c r="K29" s="97"/>
      <c r="L29" s="95"/>
      <c r="M29" s="100"/>
      <c r="N29" s="100"/>
      <c r="O29" s="100"/>
      <c r="P29" s="100"/>
      <c r="Q29" s="100"/>
      <c r="R29" s="100"/>
      <c r="S29" s="100"/>
      <c r="T29" s="96"/>
      <c r="U29" s="96">
        <f t="shared" si="2"/>
        <v>0</v>
      </c>
    </row>
    <row r="30" spans="1:21" x14ac:dyDescent="0.25">
      <c r="A30" s="95"/>
      <c r="B30" s="100"/>
      <c r="C30" s="100"/>
      <c r="D30" s="100"/>
      <c r="E30" s="100"/>
      <c r="F30" s="100"/>
      <c r="G30" s="100"/>
      <c r="H30" s="100"/>
      <c r="I30" s="96"/>
      <c r="J30" s="96">
        <f t="shared" si="1"/>
        <v>0</v>
      </c>
      <c r="K30" s="97"/>
      <c r="L30" s="95"/>
      <c r="M30" s="100"/>
      <c r="N30" s="100"/>
      <c r="O30" s="100"/>
      <c r="P30" s="100"/>
      <c r="Q30" s="100"/>
      <c r="R30" s="100"/>
      <c r="S30" s="100"/>
      <c r="T30" s="96"/>
      <c r="U30" s="96">
        <f t="shared" si="2"/>
        <v>0</v>
      </c>
    </row>
    <row r="31" spans="1:21" x14ac:dyDescent="0.25">
      <c r="A31" s="95"/>
      <c r="B31" s="100"/>
      <c r="C31" s="100"/>
      <c r="D31" s="100"/>
      <c r="E31" s="100"/>
      <c r="F31" s="100"/>
      <c r="G31" s="100"/>
      <c r="H31" s="100"/>
      <c r="I31" s="96"/>
      <c r="J31" s="96">
        <f t="shared" si="1"/>
        <v>0</v>
      </c>
      <c r="K31" s="97"/>
      <c r="L31" s="95"/>
      <c r="M31" s="100"/>
      <c r="N31" s="100"/>
      <c r="O31" s="100"/>
      <c r="P31" s="100"/>
      <c r="Q31" s="100"/>
      <c r="R31" s="100"/>
      <c r="S31" s="100"/>
      <c r="T31" s="96"/>
      <c r="U31" s="96">
        <f t="shared" si="2"/>
        <v>0</v>
      </c>
    </row>
    <row r="32" spans="1:21" x14ac:dyDescent="0.25">
      <c r="A32" s="95"/>
      <c r="B32" s="100"/>
      <c r="C32" s="100"/>
      <c r="D32" s="100"/>
      <c r="E32" s="100"/>
      <c r="F32" s="100"/>
      <c r="G32" s="100"/>
      <c r="H32" s="100"/>
      <c r="I32" s="96"/>
      <c r="J32" s="96">
        <f t="shared" si="1"/>
        <v>0</v>
      </c>
      <c r="K32" s="97"/>
      <c r="L32" s="95"/>
      <c r="M32" s="100"/>
      <c r="N32" s="100"/>
      <c r="O32" s="100"/>
      <c r="P32" s="100"/>
      <c r="Q32" s="100"/>
      <c r="R32" s="100"/>
      <c r="S32" s="100"/>
      <c r="T32" s="96"/>
      <c r="U32" s="96">
        <f t="shared" si="2"/>
        <v>0</v>
      </c>
    </row>
    <row r="33" spans="1:21" x14ac:dyDescent="0.25">
      <c r="A33" s="95"/>
      <c r="B33" s="100"/>
      <c r="C33" s="100"/>
      <c r="D33" s="100"/>
      <c r="E33" s="100"/>
      <c r="F33" s="100"/>
      <c r="G33" s="100"/>
      <c r="H33" s="100"/>
      <c r="I33" s="96"/>
      <c r="J33" s="96">
        <f t="shared" si="1"/>
        <v>0</v>
      </c>
      <c r="K33" s="97"/>
      <c r="L33" s="95"/>
      <c r="M33" s="100"/>
      <c r="N33" s="100"/>
      <c r="O33" s="100"/>
      <c r="P33" s="100"/>
      <c r="Q33" s="100"/>
      <c r="R33" s="100"/>
      <c r="S33" s="100"/>
      <c r="T33" s="96"/>
      <c r="U33" s="96">
        <f t="shared" si="2"/>
        <v>0</v>
      </c>
    </row>
    <row r="34" spans="1:21" x14ac:dyDescent="0.25">
      <c r="A34" s="95"/>
      <c r="B34" s="100"/>
      <c r="C34" s="100"/>
      <c r="D34" s="100"/>
      <c r="E34" s="100"/>
      <c r="F34" s="100"/>
      <c r="G34" s="100"/>
      <c r="H34" s="100"/>
      <c r="I34" s="96"/>
      <c r="J34" s="96">
        <f t="shared" si="1"/>
        <v>0</v>
      </c>
      <c r="K34" s="97"/>
      <c r="L34" s="95"/>
      <c r="M34" s="100"/>
      <c r="N34" s="100"/>
      <c r="O34" s="100"/>
      <c r="P34" s="100"/>
      <c r="Q34" s="100"/>
      <c r="R34" s="100"/>
      <c r="S34" s="100"/>
      <c r="T34" s="96"/>
      <c r="U34" s="96">
        <f t="shared" si="2"/>
        <v>0</v>
      </c>
    </row>
    <row r="35" spans="1:21" x14ac:dyDescent="0.25">
      <c r="A35" s="95"/>
      <c r="B35" s="100"/>
      <c r="C35" s="100"/>
      <c r="D35" s="100"/>
      <c r="E35" s="100"/>
      <c r="F35" s="100"/>
      <c r="G35" s="100"/>
      <c r="H35" s="100"/>
      <c r="I35" s="96"/>
      <c r="J35" s="96">
        <f t="shared" si="1"/>
        <v>0</v>
      </c>
      <c r="K35" s="97"/>
      <c r="L35" s="95"/>
      <c r="M35" s="100"/>
      <c r="N35" s="100"/>
      <c r="O35" s="100"/>
      <c r="P35" s="100"/>
      <c r="Q35" s="100"/>
      <c r="R35" s="100"/>
      <c r="S35" s="100"/>
      <c r="T35" s="96"/>
      <c r="U35" s="96">
        <f t="shared" si="2"/>
        <v>0</v>
      </c>
    </row>
    <row r="36" spans="1:21" x14ac:dyDescent="0.25">
      <c r="A36" s="95"/>
      <c r="B36" s="100">
        <f>SUM(B3:B35)</f>
        <v>284.55</v>
      </c>
      <c r="C36" s="100">
        <f>SUM(C3:C35)</f>
        <v>346.9</v>
      </c>
      <c r="D36" s="100">
        <f>SUM(D3:D35)</f>
        <v>0</v>
      </c>
      <c r="E36" s="100">
        <f t="shared" ref="E36:H36" si="4">SUM(E3:E35)</f>
        <v>0</v>
      </c>
      <c r="F36" s="100">
        <f t="shared" si="4"/>
        <v>0</v>
      </c>
      <c r="G36" s="100">
        <f t="shared" si="4"/>
        <v>0</v>
      </c>
      <c r="H36" s="100">
        <f t="shared" si="4"/>
        <v>0</v>
      </c>
      <c r="I36" s="96"/>
      <c r="J36" s="96"/>
      <c r="K36" s="97"/>
      <c r="L36" s="95"/>
      <c r="M36" s="100">
        <f>SUM(M3:M35)</f>
        <v>145.35</v>
      </c>
      <c r="N36" s="100">
        <f t="shared" ref="N36:S36" si="5">SUM(N3:N35)</f>
        <v>180.9</v>
      </c>
      <c r="O36" s="100">
        <f t="shared" si="5"/>
        <v>0</v>
      </c>
      <c r="P36" s="100">
        <f t="shared" si="5"/>
        <v>0</v>
      </c>
      <c r="Q36" s="100">
        <f t="shared" si="5"/>
        <v>0</v>
      </c>
      <c r="R36" s="100">
        <f t="shared" si="5"/>
        <v>0</v>
      </c>
      <c r="S36" s="100">
        <f t="shared" si="5"/>
        <v>0</v>
      </c>
      <c r="T36" s="96"/>
      <c r="U36" s="9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30"/>
  <sheetViews>
    <sheetView workbookViewId="0">
      <pane ySplit="1" topLeftCell="A2" activePane="bottomLeft" state="frozen"/>
      <selection pane="bottomLeft" activeCell="S24" sqref="S24"/>
    </sheetView>
  </sheetViews>
  <sheetFormatPr defaultColWidth="8.85546875" defaultRowHeight="15.75" x14ac:dyDescent="0.25"/>
  <cols>
    <col min="1" max="1" width="11.140625" style="98" customWidth="1"/>
    <col min="2" max="4" width="12.425781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11" width="13.28515625" style="98" customWidth="1"/>
    <col min="12" max="12" width="10.5703125" style="102" customWidth="1"/>
    <col min="13" max="13" width="14.42578125" style="102" bestFit="1" customWidth="1"/>
    <col min="14" max="15" width="8.85546875" style="98"/>
    <col min="16" max="16" width="14.42578125" style="98" bestFit="1" customWidth="1"/>
    <col min="17" max="17" width="12.7109375" style="98" customWidth="1"/>
    <col min="18" max="16384" width="8.85546875" style="98"/>
  </cols>
  <sheetData>
    <row r="1" spans="1:24" s="93" customFormat="1" ht="42.75" x14ac:dyDescent="0.25">
      <c r="A1" s="90" t="s">
        <v>60</v>
      </c>
      <c r="B1" s="90" t="s">
        <v>3</v>
      </c>
      <c r="C1" s="90"/>
      <c r="D1" s="90"/>
      <c r="E1" s="91" t="s">
        <v>61</v>
      </c>
      <c r="F1" s="91" t="s">
        <v>62</v>
      </c>
      <c r="G1" s="91"/>
      <c r="H1" s="90" t="s">
        <v>63</v>
      </c>
      <c r="I1" s="90" t="s">
        <v>3</v>
      </c>
      <c r="J1" s="90"/>
      <c r="K1" s="90"/>
      <c r="L1" s="91" t="s">
        <v>61</v>
      </c>
      <c r="M1" s="91" t="s">
        <v>62</v>
      </c>
      <c r="N1" s="92"/>
      <c r="O1" s="92"/>
      <c r="P1" s="90" t="s">
        <v>3</v>
      </c>
      <c r="Q1" s="90"/>
      <c r="R1" s="90"/>
      <c r="S1" s="90"/>
      <c r="T1" s="90"/>
    </row>
    <row r="2" spans="1:24" x14ac:dyDescent="0.25">
      <c r="A2" s="151" t="s">
        <v>67</v>
      </c>
      <c r="B2" s="95"/>
      <c r="C2" s="95"/>
      <c r="D2" s="95"/>
      <c r="E2" s="96"/>
      <c r="F2" s="96"/>
      <c r="G2" s="97"/>
      <c r="H2" s="199" t="s">
        <v>67</v>
      </c>
      <c r="I2" s="200"/>
      <c r="J2" s="200"/>
      <c r="K2" s="200"/>
      <c r="L2" s="201"/>
      <c r="M2" s="201"/>
      <c r="O2" s="99"/>
      <c r="P2" s="100">
        <f>0+B30-I30</f>
        <v>47400</v>
      </c>
      <c r="Q2" s="100">
        <f>0+C30-J30</f>
        <v>0</v>
      </c>
      <c r="R2" s="100"/>
      <c r="S2" s="100"/>
      <c r="T2" s="100"/>
      <c r="U2" s="99"/>
      <c r="V2" s="99"/>
      <c r="W2" s="99"/>
      <c r="X2" s="99"/>
    </row>
    <row r="3" spans="1:24" ht="16.5" thickBot="1" x14ac:dyDescent="0.3">
      <c r="A3" s="101">
        <v>45740</v>
      </c>
      <c r="B3" s="100">
        <v>53760</v>
      </c>
      <c r="C3" s="100"/>
      <c r="D3" s="100"/>
      <c r="E3" s="96">
        <v>5.3</v>
      </c>
      <c r="F3" s="96">
        <f>B3*E3+C3*E3+D3*E3</f>
        <v>284928</v>
      </c>
      <c r="G3" s="179"/>
      <c r="H3" s="203"/>
      <c r="I3" s="204"/>
      <c r="J3" s="204"/>
      <c r="K3" s="204"/>
      <c r="L3" s="201"/>
      <c r="M3" s="201">
        <f>I3*L3+J3*L3+K3*L3</f>
        <v>0</v>
      </c>
      <c r="P3" s="96">
        <v>5.3</v>
      </c>
      <c r="Q3" s="96"/>
      <c r="R3" s="96"/>
      <c r="S3" s="96"/>
      <c r="T3" s="96"/>
      <c r="U3" s="102"/>
      <c r="V3" s="102"/>
      <c r="W3" s="102"/>
    </row>
    <row r="4" spans="1:24" x14ac:dyDescent="0.25">
      <c r="A4" s="101"/>
      <c r="B4" s="100"/>
      <c r="C4" s="100"/>
      <c r="D4" s="100"/>
      <c r="E4" s="96"/>
      <c r="F4" s="96">
        <f>B4*E4+C4*E4+D4*E4</f>
        <v>0</v>
      </c>
      <c r="G4" s="179"/>
      <c r="H4" s="187">
        <v>45741</v>
      </c>
      <c r="I4" s="189">
        <v>840</v>
      </c>
      <c r="J4" s="189"/>
      <c r="K4" s="189"/>
      <c r="L4" s="190">
        <v>5.3</v>
      </c>
      <c r="M4" s="191">
        <f t="shared" ref="M4:M29" si="0">I4*L4+J4*L4+K4*L4</f>
        <v>4452</v>
      </c>
      <c r="P4" s="160">
        <f>P2*P3</f>
        <v>251220</v>
      </c>
      <c r="Q4" s="160">
        <f>Q2*Q3</f>
        <v>0</v>
      </c>
      <c r="R4" s="160"/>
      <c r="S4" s="160"/>
      <c r="T4" s="160"/>
      <c r="U4" s="102"/>
      <c r="V4" s="102"/>
      <c r="W4" s="102"/>
    </row>
    <row r="5" spans="1:24" x14ac:dyDescent="0.25">
      <c r="A5" s="95"/>
      <c r="B5" s="100"/>
      <c r="C5" s="100"/>
      <c r="D5" s="100"/>
      <c r="E5" s="96"/>
      <c r="F5" s="96">
        <f t="shared" ref="F5:F8" si="1">B5*E5+C5*E5+D5*E5</f>
        <v>0</v>
      </c>
      <c r="G5" s="179"/>
      <c r="H5" s="192">
        <v>45742</v>
      </c>
      <c r="I5" s="100">
        <v>2520</v>
      </c>
      <c r="J5" s="100"/>
      <c r="K5" s="100"/>
      <c r="L5" s="96">
        <v>5.3</v>
      </c>
      <c r="M5" s="193">
        <f t="shared" si="0"/>
        <v>13356</v>
      </c>
    </row>
    <row r="6" spans="1:24" x14ac:dyDescent="0.25">
      <c r="A6" s="95"/>
      <c r="B6" s="100"/>
      <c r="C6" s="100"/>
      <c r="D6" s="100"/>
      <c r="E6" s="96"/>
      <c r="F6" s="96">
        <f t="shared" si="1"/>
        <v>0</v>
      </c>
      <c r="G6" s="179"/>
      <c r="H6" s="192">
        <v>45743</v>
      </c>
      <c r="I6" s="100">
        <v>5040</v>
      </c>
      <c r="J6" s="100"/>
      <c r="K6" s="100"/>
      <c r="L6" s="96">
        <v>5.3</v>
      </c>
      <c r="M6" s="193">
        <f t="shared" si="0"/>
        <v>26712</v>
      </c>
    </row>
    <row r="7" spans="1:24" x14ac:dyDescent="0.25">
      <c r="A7" s="95"/>
      <c r="B7" s="100"/>
      <c r="C7" s="100"/>
      <c r="D7" s="100"/>
      <c r="E7" s="96"/>
      <c r="F7" s="96">
        <f t="shared" si="1"/>
        <v>0</v>
      </c>
      <c r="G7" s="179"/>
      <c r="H7" s="192">
        <v>45744</v>
      </c>
      <c r="I7" s="100">
        <v>1680</v>
      </c>
      <c r="J7" s="100"/>
      <c r="K7" s="100"/>
      <c r="L7" s="96">
        <v>5.3</v>
      </c>
      <c r="M7" s="193">
        <f t="shared" si="0"/>
        <v>8904</v>
      </c>
    </row>
    <row r="8" spans="1:24" ht="16.5" thickBot="1" x14ac:dyDescent="0.3">
      <c r="A8" s="95"/>
      <c r="B8" s="100"/>
      <c r="C8" s="100"/>
      <c r="D8" s="100"/>
      <c r="E8" s="96"/>
      <c r="F8" s="96">
        <f t="shared" si="1"/>
        <v>0</v>
      </c>
      <c r="G8" s="179"/>
      <c r="H8" s="194">
        <v>45747</v>
      </c>
      <c r="I8" s="196">
        <v>4200</v>
      </c>
      <c r="J8" s="196"/>
      <c r="K8" s="196"/>
      <c r="L8" s="197">
        <v>5.3</v>
      </c>
      <c r="M8" s="198">
        <f t="shared" si="0"/>
        <v>22260</v>
      </c>
    </row>
    <row r="9" spans="1:24" ht="16.5" thickBot="1" x14ac:dyDescent="0.3">
      <c r="A9" s="147"/>
      <c r="B9" s="148"/>
      <c r="C9" s="148"/>
      <c r="D9" s="148"/>
      <c r="E9" s="149"/>
      <c r="F9" s="149"/>
      <c r="G9" s="223"/>
      <c r="H9" s="224" t="s">
        <v>75</v>
      </c>
      <c r="I9" s="226"/>
      <c r="J9" s="226"/>
      <c r="K9" s="226"/>
      <c r="L9" s="227"/>
      <c r="M9" s="227">
        <f t="shared" si="0"/>
        <v>0</v>
      </c>
    </row>
    <row r="10" spans="1:24" x14ac:dyDescent="0.25">
      <c r="A10" s="95"/>
      <c r="B10" s="100"/>
      <c r="C10" s="100"/>
      <c r="D10" s="100"/>
      <c r="E10" s="96"/>
      <c r="F10" s="96"/>
      <c r="G10" s="179"/>
      <c r="H10" s="187">
        <v>45749</v>
      </c>
      <c r="I10" s="189">
        <v>3360</v>
      </c>
      <c r="J10" s="189"/>
      <c r="K10" s="189"/>
      <c r="L10" s="190">
        <v>5.3</v>
      </c>
      <c r="M10" s="191">
        <f t="shared" si="0"/>
        <v>17808</v>
      </c>
    </row>
    <row r="11" spans="1:24" x14ac:dyDescent="0.25">
      <c r="A11" s="95"/>
      <c r="B11" s="100"/>
      <c r="C11" s="100"/>
      <c r="D11" s="100"/>
      <c r="E11" s="96"/>
      <c r="F11" s="96"/>
      <c r="G11" s="179"/>
      <c r="H11" s="192">
        <v>45750</v>
      </c>
      <c r="I11" s="100">
        <v>5880</v>
      </c>
      <c r="J11" s="100"/>
      <c r="K11" s="100"/>
      <c r="L11" s="96">
        <v>5.3</v>
      </c>
      <c r="M11" s="193">
        <f t="shared" si="0"/>
        <v>31164</v>
      </c>
    </row>
    <row r="12" spans="1:24" ht="16.5" thickBot="1" x14ac:dyDescent="0.3">
      <c r="A12" s="95"/>
      <c r="B12" s="100"/>
      <c r="C12" s="100"/>
      <c r="D12" s="100"/>
      <c r="E12" s="96"/>
      <c r="F12" s="96"/>
      <c r="G12" s="179"/>
      <c r="H12" s="194">
        <v>45751</v>
      </c>
      <c r="I12" s="196">
        <v>4200</v>
      </c>
      <c r="J12" s="196"/>
      <c r="K12" s="196"/>
      <c r="L12" s="197">
        <v>5.3</v>
      </c>
      <c r="M12" s="198">
        <f t="shared" si="0"/>
        <v>22260</v>
      </c>
    </row>
    <row r="13" spans="1:24" x14ac:dyDescent="0.25">
      <c r="A13" s="95"/>
      <c r="B13" s="100"/>
      <c r="C13" s="100"/>
      <c r="D13" s="100"/>
      <c r="E13" s="96"/>
      <c r="F13" s="96"/>
      <c r="G13" s="179"/>
      <c r="H13" s="187">
        <v>45754</v>
      </c>
      <c r="I13" s="189">
        <v>3360</v>
      </c>
      <c r="J13" s="189"/>
      <c r="K13" s="189"/>
      <c r="L13" s="190">
        <v>5.3</v>
      </c>
      <c r="M13" s="191">
        <f t="shared" si="0"/>
        <v>17808</v>
      </c>
    </row>
    <row r="14" spans="1:24" x14ac:dyDescent="0.25">
      <c r="A14" s="95"/>
      <c r="B14" s="100"/>
      <c r="C14" s="100"/>
      <c r="D14" s="100"/>
      <c r="E14" s="96"/>
      <c r="F14" s="96"/>
      <c r="G14" s="179"/>
      <c r="H14" s="192">
        <v>45755</v>
      </c>
      <c r="I14" s="100">
        <v>5880</v>
      </c>
      <c r="J14" s="100"/>
      <c r="K14" s="100"/>
      <c r="L14" s="96">
        <v>5.3</v>
      </c>
      <c r="M14" s="193">
        <f t="shared" si="0"/>
        <v>31164</v>
      </c>
    </row>
    <row r="15" spans="1:24" x14ac:dyDescent="0.25">
      <c r="A15" s="95"/>
      <c r="B15" s="100"/>
      <c r="C15" s="100"/>
      <c r="D15" s="100"/>
      <c r="E15" s="96"/>
      <c r="F15" s="96"/>
      <c r="G15" s="179"/>
      <c r="H15" s="192">
        <v>45756</v>
      </c>
      <c r="I15" s="100">
        <v>3360</v>
      </c>
      <c r="J15" s="100"/>
      <c r="K15" s="100"/>
      <c r="L15" s="96">
        <v>5.3</v>
      </c>
      <c r="M15" s="193">
        <f t="shared" si="0"/>
        <v>17808</v>
      </c>
    </row>
    <row r="16" spans="1:24" x14ac:dyDescent="0.25">
      <c r="A16" s="101">
        <v>45757</v>
      </c>
      <c r="B16" s="100">
        <v>46200</v>
      </c>
      <c r="C16" s="100"/>
      <c r="D16" s="100"/>
      <c r="E16" s="96">
        <v>5.3</v>
      </c>
      <c r="F16" s="96">
        <f t="shared" ref="F16:F29" si="2">B16*E16+C16*E16+D16*E16</f>
        <v>244860</v>
      </c>
      <c r="G16" s="179"/>
      <c r="H16" s="192">
        <v>45757</v>
      </c>
      <c r="I16" s="100">
        <v>6720</v>
      </c>
      <c r="J16" s="100"/>
      <c r="K16" s="100"/>
      <c r="L16" s="96">
        <v>5.3</v>
      </c>
      <c r="M16" s="193">
        <f t="shared" si="0"/>
        <v>35616</v>
      </c>
    </row>
    <row r="17" spans="1:13" ht="16.5" thickBot="1" x14ac:dyDescent="0.3">
      <c r="A17" s="95"/>
      <c r="B17" s="100"/>
      <c r="C17" s="100"/>
      <c r="D17" s="100"/>
      <c r="E17" s="96"/>
      <c r="F17" s="96">
        <f t="shared" si="2"/>
        <v>0</v>
      </c>
      <c r="G17" s="179"/>
      <c r="H17" s="194" t="s">
        <v>78</v>
      </c>
      <c r="I17" s="196">
        <v>35760</v>
      </c>
      <c r="J17" s="196"/>
      <c r="K17" s="196"/>
      <c r="L17" s="197">
        <v>5.3</v>
      </c>
      <c r="M17" s="198">
        <f t="shared" si="0"/>
        <v>189528</v>
      </c>
    </row>
    <row r="18" spans="1:13" x14ac:dyDescent="0.25">
      <c r="A18" s="95"/>
      <c r="B18" s="100"/>
      <c r="C18" s="100"/>
      <c r="D18" s="100"/>
      <c r="E18" s="96"/>
      <c r="F18" s="96">
        <f t="shared" si="2"/>
        <v>0</v>
      </c>
      <c r="G18" s="179"/>
      <c r="H18" s="187">
        <v>45769</v>
      </c>
      <c r="I18" s="189">
        <v>13440</v>
      </c>
      <c r="J18" s="189"/>
      <c r="K18" s="189"/>
      <c r="L18" s="190">
        <v>5.3</v>
      </c>
      <c r="M18" s="191">
        <f t="shared" si="0"/>
        <v>71232</v>
      </c>
    </row>
    <row r="19" spans="1:13" x14ac:dyDescent="0.25">
      <c r="A19" s="101">
        <v>45772</v>
      </c>
      <c r="B19" s="100">
        <v>40320</v>
      </c>
      <c r="C19" s="100"/>
      <c r="D19" s="100"/>
      <c r="E19" s="96">
        <v>5.3</v>
      </c>
      <c r="F19" s="96">
        <f t="shared" si="2"/>
        <v>213696</v>
      </c>
      <c r="G19" s="179"/>
      <c r="H19" s="218">
        <v>45772</v>
      </c>
      <c r="I19" s="185">
        <v>840</v>
      </c>
      <c r="J19" s="185"/>
      <c r="K19" s="185"/>
      <c r="L19" s="186">
        <v>5.3</v>
      </c>
      <c r="M19" s="219">
        <f t="shared" si="0"/>
        <v>4452</v>
      </c>
    </row>
    <row r="20" spans="1:13" x14ac:dyDescent="0.25">
      <c r="A20" s="95"/>
      <c r="B20" s="100"/>
      <c r="C20" s="100"/>
      <c r="D20" s="100"/>
      <c r="E20" s="96"/>
      <c r="F20" s="96">
        <f t="shared" si="2"/>
        <v>0</v>
      </c>
      <c r="G20" s="179"/>
      <c r="H20" s="192">
        <v>45775</v>
      </c>
      <c r="I20" s="100">
        <v>7560</v>
      </c>
      <c r="J20" s="100"/>
      <c r="K20" s="100"/>
      <c r="L20" s="96">
        <v>5.3</v>
      </c>
      <c r="M20" s="193">
        <f t="shared" si="0"/>
        <v>40068</v>
      </c>
    </row>
    <row r="21" spans="1:13" x14ac:dyDescent="0.25">
      <c r="A21" s="200"/>
      <c r="B21" s="204"/>
      <c r="C21" s="204"/>
      <c r="D21" s="204"/>
      <c r="E21" s="201"/>
      <c r="F21" s="201">
        <f t="shared" si="2"/>
        <v>0</v>
      </c>
      <c r="G21" s="258"/>
      <c r="H21" s="230">
        <v>45777</v>
      </c>
      <c r="I21" s="204">
        <v>10080</v>
      </c>
      <c r="J21" s="204"/>
      <c r="K21" s="204"/>
      <c r="L21" s="201">
        <v>5.3</v>
      </c>
      <c r="M21" s="251">
        <f t="shared" si="0"/>
        <v>53424</v>
      </c>
    </row>
    <row r="22" spans="1:13" x14ac:dyDescent="0.25">
      <c r="A22" s="247">
        <v>62160</v>
      </c>
      <c r="B22" s="248"/>
      <c r="C22" s="248"/>
      <c r="D22" s="248"/>
      <c r="E22" s="249"/>
      <c r="F22" s="249"/>
      <c r="G22" s="249"/>
      <c r="H22" s="150" t="s">
        <v>99</v>
      </c>
      <c r="I22" s="248"/>
      <c r="J22" s="248"/>
      <c r="K22" s="248"/>
      <c r="L22" s="249"/>
      <c r="M22" s="249"/>
    </row>
    <row r="23" spans="1:13" ht="16.5" thickBot="1" x14ac:dyDescent="0.3">
      <c r="A23" s="184" t="s">
        <v>98</v>
      </c>
      <c r="B23" s="185">
        <v>62160</v>
      </c>
      <c r="C23" s="185"/>
      <c r="D23" s="185"/>
      <c r="E23" s="186">
        <v>5.3</v>
      </c>
      <c r="F23" s="186">
        <f t="shared" si="2"/>
        <v>329448</v>
      </c>
      <c r="G23" s="242"/>
      <c r="H23" s="183" t="s">
        <v>95</v>
      </c>
      <c r="I23" s="185">
        <v>6720</v>
      </c>
      <c r="J23" s="185"/>
      <c r="K23" s="185"/>
      <c r="L23" s="221">
        <v>5.3</v>
      </c>
      <c r="M23" s="186">
        <f t="shared" si="0"/>
        <v>35616</v>
      </c>
    </row>
    <row r="24" spans="1:13" ht="16.5" thickBot="1" x14ac:dyDescent="0.3">
      <c r="A24" s="95"/>
      <c r="B24" s="100"/>
      <c r="C24" s="100"/>
      <c r="D24" s="100"/>
      <c r="E24" s="96"/>
      <c r="F24" s="96">
        <f t="shared" si="2"/>
        <v>0</v>
      </c>
      <c r="G24" s="97"/>
      <c r="H24" s="101" t="s">
        <v>96</v>
      </c>
      <c r="I24" s="100">
        <v>6720</v>
      </c>
      <c r="J24" s="100"/>
      <c r="K24" s="100"/>
      <c r="L24" s="197">
        <v>5.3</v>
      </c>
      <c r="M24" s="96">
        <f t="shared" si="0"/>
        <v>35616</v>
      </c>
    </row>
    <row r="25" spans="1:13" ht="16.5" thickBot="1" x14ac:dyDescent="0.3">
      <c r="A25" s="95"/>
      <c r="B25" s="100"/>
      <c r="C25" s="100"/>
      <c r="D25" s="100"/>
      <c r="E25" s="96"/>
      <c r="F25" s="96">
        <f t="shared" si="2"/>
        <v>0</v>
      </c>
      <c r="G25" s="97"/>
      <c r="H25" s="101" t="s">
        <v>97</v>
      </c>
      <c r="I25" s="100">
        <v>13440</v>
      </c>
      <c r="J25" s="100"/>
      <c r="K25" s="100"/>
      <c r="L25" s="197">
        <v>5.3</v>
      </c>
      <c r="M25" s="96">
        <f t="shared" si="0"/>
        <v>71232</v>
      </c>
    </row>
    <row r="26" spans="1:13" ht="16.5" thickBot="1" x14ac:dyDescent="0.3">
      <c r="A26" s="95"/>
      <c r="B26" s="100"/>
      <c r="C26" s="100"/>
      <c r="D26" s="100"/>
      <c r="E26" s="96"/>
      <c r="F26" s="96">
        <f t="shared" si="2"/>
        <v>0</v>
      </c>
      <c r="G26" s="97"/>
      <c r="H26" s="101" t="s">
        <v>102</v>
      </c>
      <c r="I26" s="100">
        <v>13440</v>
      </c>
      <c r="J26" s="100"/>
      <c r="K26" s="100"/>
      <c r="L26" s="197">
        <v>5.3</v>
      </c>
      <c r="M26" s="96">
        <f t="shared" si="0"/>
        <v>71232</v>
      </c>
    </row>
    <row r="27" spans="1:13" x14ac:dyDescent="0.25">
      <c r="A27" s="95"/>
      <c r="B27" s="100"/>
      <c r="C27" s="100"/>
      <c r="D27" s="100"/>
      <c r="E27" s="96"/>
      <c r="F27" s="96">
        <f t="shared" si="2"/>
        <v>0</v>
      </c>
      <c r="G27" s="97"/>
      <c r="H27" s="101"/>
      <c r="I27" s="100"/>
      <c r="J27" s="100"/>
      <c r="K27" s="100"/>
      <c r="L27" s="96"/>
      <c r="M27" s="96">
        <f t="shared" si="0"/>
        <v>0</v>
      </c>
    </row>
    <row r="28" spans="1:13" x14ac:dyDescent="0.25">
      <c r="A28" s="95"/>
      <c r="B28" s="100"/>
      <c r="C28" s="100"/>
      <c r="D28" s="100"/>
      <c r="E28" s="96"/>
      <c r="F28" s="96">
        <f t="shared" si="2"/>
        <v>0</v>
      </c>
      <c r="G28" s="97"/>
      <c r="H28" s="95"/>
      <c r="I28" s="100"/>
      <c r="J28" s="100"/>
      <c r="K28" s="100"/>
      <c r="L28" s="96"/>
      <c r="M28" s="96">
        <f t="shared" si="0"/>
        <v>0</v>
      </c>
    </row>
    <row r="29" spans="1:13" x14ac:dyDescent="0.25">
      <c r="A29" s="95"/>
      <c r="B29" s="100"/>
      <c r="C29" s="100"/>
      <c r="D29" s="100"/>
      <c r="E29" s="96"/>
      <c r="F29" s="96">
        <f t="shared" si="2"/>
        <v>0</v>
      </c>
      <c r="G29" s="97"/>
      <c r="H29" s="95"/>
      <c r="I29" s="100"/>
      <c r="J29" s="100"/>
      <c r="K29" s="100"/>
      <c r="L29" s="96"/>
      <c r="M29" s="96">
        <f t="shared" si="0"/>
        <v>0</v>
      </c>
    </row>
    <row r="30" spans="1:13" s="162" customFormat="1" x14ac:dyDescent="0.25">
      <c r="A30" s="158"/>
      <c r="B30" s="159">
        <f>SUM(B3:B29)</f>
        <v>202440</v>
      </c>
      <c r="C30" s="159">
        <f t="shared" ref="C30:D30" si="3">SUM(C3:C29)</f>
        <v>0</v>
      </c>
      <c r="D30" s="159">
        <f t="shared" si="3"/>
        <v>0</v>
      </c>
      <c r="E30" s="160"/>
      <c r="F30" s="160"/>
      <c r="G30" s="161"/>
      <c r="H30" s="158"/>
      <c r="I30" s="159">
        <f>SUM(I3:I29)</f>
        <v>155040</v>
      </c>
      <c r="J30" s="159">
        <f t="shared" ref="J30:K30" si="4">SUM(J3:J29)</f>
        <v>0</v>
      </c>
      <c r="K30" s="159">
        <f t="shared" si="4"/>
        <v>0</v>
      </c>
      <c r="L30" s="160"/>
      <c r="M30" s="16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44"/>
  <sheetViews>
    <sheetView workbookViewId="0">
      <pane ySplit="1" topLeftCell="A20" activePane="bottomLeft" state="frozen"/>
      <selection pane="bottomLeft" activeCell="Q49" sqref="Q49"/>
    </sheetView>
  </sheetViews>
  <sheetFormatPr defaultColWidth="8.85546875" defaultRowHeight="15.75" x14ac:dyDescent="0.25"/>
  <cols>
    <col min="1" max="1" width="11.140625" style="98" customWidth="1"/>
    <col min="2" max="2" width="12.85546875" style="98" customWidth="1"/>
    <col min="3" max="8" width="11.140625" style="98" customWidth="1"/>
    <col min="9" max="9" width="10.5703125" style="102" customWidth="1"/>
    <col min="10" max="10" width="14.42578125" style="102" bestFit="1" customWidth="1"/>
    <col min="11" max="11" width="4.140625" style="102" customWidth="1"/>
    <col min="12" max="12" width="10.42578125" style="98" customWidth="1"/>
    <col min="13" max="13" width="13.7109375" style="98" customWidth="1"/>
    <col min="14" max="14" width="11.7109375" style="98" customWidth="1"/>
    <col min="15" max="20" width="11.28515625" style="98" customWidth="1"/>
    <col min="21" max="21" width="10.5703125" style="102" customWidth="1"/>
    <col min="22" max="22" width="14.42578125" style="102" bestFit="1" customWidth="1"/>
    <col min="23" max="23" width="4.7109375" style="98" customWidth="1"/>
    <col min="24" max="24" width="8.85546875" style="98" hidden="1" customWidth="1"/>
    <col min="25" max="25" width="12.140625" style="98" customWidth="1"/>
    <col min="26" max="26" width="11.5703125" style="98" bestFit="1" customWidth="1"/>
    <col min="27" max="27" width="12" style="98" customWidth="1"/>
    <col min="28" max="31" width="10.42578125" style="98" bestFit="1" customWidth="1"/>
    <col min="32" max="16384" width="8.85546875" style="98"/>
  </cols>
  <sheetData>
    <row r="1" spans="1:33" s="93" customFormat="1" ht="63.75" x14ac:dyDescent="0.25">
      <c r="A1" s="90" t="s">
        <v>60</v>
      </c>
      <c r="B1" s="90" t="s">
        <v>7</v>
      </c>
      <c r="C1" s="90" t="s">
        <v>8</v>
      </c>
      <c r="D1" s="133" t="s">
        <v>9</v>
      </c>
      <c r="E1" s="133" t="s">
        <v>32</v>
      </c>
      <c r="F1" s="133" t="s">
        <v>32</v>
      </c>
      <c r="G1" s="133" t="s">
        <v>33</v>
      </c>
      <c r="H1" s="133" t="s">
        <v>29</v>
      </c>
      <c r="I1" s="91" t="s">
        <v>61</v>
      </c>
      <c r="J1" s="91" t="s">
        <v>62</v>
      </c>
      <c r="K1" s="91"/>
      <c r="L1" s="90" t="s">
        <v>63</v>
      </c>
      <c r="M1" s="90" t="s">
        <v>64</v>
      </c>
      <c r="N1" s="90" t="s">
        <v>7</v>
      </c>
      <c r="O1" s="90" t="s">
        <v>8</v>
      </c>
      <c r="P1" s="133" t="s">
        <v>9</v>
      </c>
      <c r="Q1" s="133" t="s">
        <v>32</v>
      </c>
      <c r="R1" s="133" t="s">
        <v>32</v>
      </c>
      <c r="S1" s="133" t="s">
        <v>33</v>
      </c>
      <c r="T1" s="133" t="s">
        <v>29</v>
      </c>
      <c r="U1" s="91" t="s">
        <v>61</v>
      </c>
      <c r="V1" s="91" t="s">
        <v>62</v>
      </c>
      <c r="W1" s="92"/>
      <c r="X1" s="92"/>
      <c r="Y1" s="90" t="s">
        <v>7</v>
      </c>
      <c r="Z1" s="90" t="s">
        <v>8</v>
      </c>
      <c r="AA1" s="133" t="s">
        <v>9</v>
      </c>
      <c r="AB1" s="133" t="s">
        <v>32</v>
      </c>
      <c r="AC1" s="133" t="s">
        <v>32</v>
      </c>
      <c r="AD1" s="133" t="s">
        <v>33</v>
      </c>
      <c r="AE1" s="133" t="s">
        <v>29</v>
      </c>
    </row>
    <row r="2" spans="1:33" x14ac:dyDescent="0.25">
      <c r="A2" s="94" t="s">
        <v>65</v>
      </c>
      <c r="B2" s="95"/>
      <c r="C2" s="95"/>
      <c r="D2" s="95"/>
      <c r="E2" s="95"/>
      <c r="F2" s="95"/>
      <c r="G2" s="95"/>
      <c r="H2" s="95"/>
      <c r="I2" s="96"/>
      <c r="J2" s="96"/>
      <c r="K2" s="97"/>
      <c r="L2" s="94" t="s">
        <v>65</v>
      </c>
      <c r="M2" s="95"/>
      <c r="N2" s="95"/>
      <c r="O2" s="95"/>
      <c r="P2" s="95"/>
      <c r="Q2" s="95"/>
      <c r="R2" s="95"/>
      <c r="S2" s="95"/>
      <c r="T2" s="95"/>
      <c r="U2" s="96"/>
      <c r="V2" s="96"/>
      <c r="X2" s="99"/>
      <c r="Y2" s="100">
        <f t="shared" ref="Y2:AD2" si="0">0+B44-N44</f>
        <v>492</v>
      </c>
      <c r="Z2" s="100">
        <f t="shared" si="0"/>
        <v>0</v>
      </c>
      <c r="AA2" s="100">
        <f t="shared" si="0"/>
        <v>29</v>
      </c>
      <c r="AB2" s="100">
        <f t="shared" si="0"/>
        <v>1580</v>
      </c>
      <c r="AC2" s="100">
        <f t="shared" si="0"/>
        <v>0</v>
      </c>
      <c r="AD2" s="100">
        <f t="shared" si="0"/>
        <v>3.6500000000000004</v>
      </c>
      <c r="AE2" s="100">
        <f>0+H44-T44</f>
        <v>0</v>
      </c>
      <c r="AF2" s="99"/>
      <c r="AG2" s="99"/>
    </row>
    <row r="3" spans="1:33" x14ac:dyDescent="0.25">
      <c r="A3" s="101">
        <v>45603</v>
      </c>
      <c r="B3" s="100">
        <v>500</v>
      </c>
      <c r="C3" s="100"/>
      <c r="D3" s="100"/>
      <c r="E3" s="100"/>
      <c r="F3" s="100"/>
      <c r="G3" s="100"/>
      <c r="H3" s="100"/>
      <c r="I3" s="96">
        <v>4</v>
      </c>
      <c r="J3" s="96">
        <f>B3*I3+C3*I3+D3*I3+E3*I3+F3*I3+G3*I3+H3*I3</f>
        <v>2000</v>
      </c>
      <c r="K3" s="97"/>
      <c r="L3" s="101"/>
      <c r="M3" s="95"/>
      <c r="N3" s="100"/>
      <c r="O3" s="100"/>
      <c r="P3" s="100"/>
      <c r="Q3" s="100"/>
      <c r="R3" s="100"/>
      <c r="S3" s="100"/>
      <c r="T3" s="100"/>
      <c r="U3" s="96"/>
      <c r="V3" s="96">
        <f>N3*U3+O3*U3+P3*U3+Q3*U3+R3*U3+S3*U3+T3*U3</f>
        <v>0</v>
      </c>
      <c r="Y3" s="96">
        <v>4</v>
      </c>
      <c r="Z3" s="96">
        <v>446.12</v>
      </c>
      <c r="AA3" s="96">
        <v>441.6866</v>
      </c>
      <c r="AB3" s="96">
        <v>2.9</v>
      </c>
      <c r="AC3" s="96">
        <v>2.86</v>
      </c>
      <c r="AD3" s="96">
        <v>499.4</v>
      </c>
      <c r="AE3" s="96">
        <v>18</v>
      </c>
      <c r="AF3" s="102"/>
    </row>
    <row r="4" spans="1:33" x14ac:dyDescent="0.25">
      <c r="A4" s="101"/>
      <c r="B4" s="100"/>
      <c r="C4" s="100">
        <v>6</v>
      </c>
      <c r="D4" s="100"/>
      <c r="E4" s="100"/>
      <c r="F4" s="100"/>
      <c r="G4" s="100"/>
      <c r="H4" s="100"/>
      <c r="I4" s="96">
        <v>320</v>
      </c>
      <c r="J4" s="96">
        <f t="shared" ref="J4:J43" si="1">B4*I4+C4*I4+D4*I4+E4*I4+F4*I4+G4*I4+H4*I4</f>
        <v>1920</v>
      </c>
      <c r="K4" s="97"/>
      <c r="L4" s="101"/>
      <c r="M4" s="95"/>
      <c r="N4" s="100"/>
      <c r="O4" s="100"/>
      <c r="P4" s="100"/>
      <c r="Q4" s="100"/>
      <c r="R4" s="100"/>
      <c r="S4" s="100"/>
      <c r="T4" s="100"/>
      <c r="U4" s="96"/>
      <c r="V4" s="96">
        <f t="shared" ref="V4:V43" si="2">N4*U4+O4*U4+P4*U4+Q4*U4+R4*U4+S4*U4+T4*U4</f>
        <v>0</v>
      </c>
      <c r="Y4" s="96">
        <f>Y2*Y3</f>
        <v>1968</v>
      </c>
      <c r="Z4" s="96">
        <f>Z2*Z3</f>
        <v>0</v>
      </c>
      <c r="AA4" s="96">
        <f>AA2*AA3</f>
        <v>12808.911400000001</v>
      </c>
      <c r="AB4" s="96">
        <f t="shared" ref="AB4:AE4" si="3">AB2*AB3</f>
        <v>4582</v>
      </c>
      <c r="AC4" s="96">
        <f t="shared" si="3"/>
        <v>0</v>
      </c>
      <c r="AD4" s="96">
        <f t="shared" si="3"/>
        <v>1822.8100000000002</v>
      </c>
      <c r="AE4" s="96">
        <f t="shared" si="3"/>
        <v>0</v>
      </c>
      <c r="AF4" s="102"/>
    </row>
    <row r="5" spans="1:33" x14ac:dyDescent="0.25">
      <c r="A5" s="95"/>
      <c r="B5" s="100"/>
      <c r="C5" s="100"/>
      <c r="D5" s="100"/>
      <c r="E5" s="100"/>
      <c r="F5" s="100"/>
      <c r="G5" s="100"/>
      <c r="H5" s="100"/>
      <c r="I5" s="96"/>
      <c r="J5" s="96">
        <f t="shared" si="1"/>
        <v>0</v>
      </c>
      <c r="K5" s="97"/>
      <c r="L5" s="101">
        <v>45609</v>
      </c>
      <c r="M5" s="95" t="s">
        <v>66</v>
      </c>
      <c r="N5" s="100"/>
      <c r="O5" s="100">
        <v>5</v>
      </c>
      <c r="P5" s="100"/>
      <c r="Q5" s="100"/>
      <c r="R5" s="100"/>
      <c r="S5" s="100"/>
      <c r="T5" s="100"/>
      <c r="U5" s="96">
        <v>320</v>
      </c>
      <c r="V5" s="96">
        <f t="shared" si="2"/>
        <v>1600</v>
      </c>
    </row>
    <row r="6" spans="1:33" x14ac:dyDescent="0.25">
      <c r="A6" s="101">
        <v>45610</v>
      </c>
      <c r="B6" s="100"/>
      <c r="C6" s="100"/>
      <c r="D6" s="100">
        <v>12</v>
      </c>
      <c r="E6" s="100"/>
      <c r="F6" s="100"/>
      <c r="G6" s="100"/>
      <c r="H6" s="100"/>
      <c r="I6" s="96">
        <v>441.6866</v>
      </c>
      <c r="J6" s="96">
        <f t="shared" si="1"/>
        <v>5300.2392</v>
      </c>
      <c r="K6" s="97"/>
      <c r="L6" s="101">
        <v>45610</v>
      </c>
      <c r="M6" s="95" t="s">
        <v>66</v>
      </c>
      <c r="N6" s="100"/>
      <c r="O6" s="100"/>
      <c r="P6" s="100">
        <v>4</v>
      </c>
      <c r="Q6" s="100"/>
      <c r="R6" s="100"/>
      <c r="S6" s="100"/>
      <c r="T6" s="100"/>
      <c r="U6" s="96">
        <v>441.6866</v>
      </c>
      <c r="V6" s="96">
        <f t="shared" si="2"/>
        <v>1766.7464</v>
      </c>
    </row>
    <row r="7" spans="1:33" x14ac:dyDescent="0.25">
      <c r="A7" s="101">
        <v>45616</v>
      </c>
      <c r="B7" s="100"/>
      <c r="C7" s="100"/>
      <c r="D7" s="100"/>
      <c r="E7" s="100">
        <v>1600</v>
      </c>
      <c r="F7" s="100"/>
      <c r="G7" s="100"/>
      <c r="H7" s="100"/>
      <c r="I7" s="96">
        <v>2.9</v>
      </c>
      <c r="J7" s="96">
        <f t="shared" si="1"/>
        <v>4640</v>
      </c>
      <c r="K7" s="97"/>
      <c r="L7" s="101"/>
      <c r="M7" s="95" t="s">
        <v>66</v>
      </c>
      <c r="N7" s="100"/>
      <c r="O7" s="100">
        <v>1</v>
      </c>
      <c r="P7" s="100"/>
      <c r="Q7" s="100"/>
      <c r="R7" s="100"/>
      <c r="S7" s="100"/>
      <c r="T7" s="100"/>
      <c r="U7" s="96">
        <v>320</v>
      </c>
      <c r="V7" s="96">
        <f t="shared" si="2"/>
        <v>320</v>
      </c>
    </row>
    <row r="8" spans="1:33" x14ac:dyDescent="0.25">
      <c r="A8" s="95"/>
      <c r="B8" s="100"/>
      <c r="C8" s="100"/>
      <c r="D8" s="100"/>
      <c r="E8" s="100"/>
      <c r="F8" s="100">
        <v>1400</v>
      </c>
      <c r="G8" s="100"/>
      <c r="H8" s="100"/>
      <c r="I8" s="96">
        <v>2.86</v>
      </c>
      <c r="J8" s="96">
        <f t="shared" si="1"/>
        <v>4004</v>
      </c>
      <c r="K8" s="97"/>
      <c r="L8" s="101">
        <v>45614</v>
      </c>
      <c r="M8" s="95" t="s">
        <v>66</v>
      </c>
      <c r="N8" s="100">
        <v>8</v>
      </c>
      <c r="O8" s="100"/>
      <c r="P8" s="100"/>
      <c r="Q8" s="100"/>
      <c r="R8" s="100"/>
      <c r="S8" s="100"/>
      <c r="T8" s="100"/>
      <c r="U8" s="96">
        <v>4</v>
      </c>
      <c r="V8" s="96">
        <f t="shared" si="2"/>
        <v>32</v>
      </c>
    </row>
    <row r="9" spans="1:33" x14ac:dyDescent="0.25">
      <c r="A9" s="95"/>
      <c r="B9" s="100"/>
      <c r="C9" s="100"/>
      <c r="D9" s="100"/>
      <c r="E9" s="100"/>
      <c r="F9" s="100"/>
      <c r="G9" s="100">
        <v>6.65</v>
      </c>
      <c r="H9" s="100"/>
      <c r="I9" s="96">
        <v>499.4</v>
      </c>
      <c r="J9" s="96">
        <f t="shared" si="1"/>
        <v>3321.01</v>
      </c>
      <c r="K9" s="97"/>
      <c r="L9" s="101">
        <v>45618</v>
      </c>
      <c r="M9" s="95" t="s">
        <v>66</v>
      </c>
      <c r="N9" s="100"/>
      <c r="O9" s="100"/>
      <c r="P9" s="100">
        <v>0.1</v>
      </c>
      <c r="Q9" s="100"/>
      <c r="R9" s="100"/>
      <c r="S9" s="100"/>
      <c r="T9" s="100"/>
      <c r="U9" s="96">
        <v>441.69</v>
      </c>
      <c r="V9" s="96">
        <f t="shared" si="2"/>
        <v>44.169000000000004</v>
      </c>
    </row>
    <row r="10" spans="1:33" x14ac:dyDescent="0.25">
      <c r="A10" s="101">
        <v>45639</v>
      </c>
      <c r="B10" s="100"/>
      <c r="C10" s="100"/>
      <c r="D10" s="100"/>
      <c r="E10" s="100"/>
      <c r="F10" s="100"/>
      <c r="G10" s="100"/>
      <c r="H10" s="100">
        <v>100</v>
      </c>
      <c r="I10" s="96">
        <v>18</v>
      </c>
      <c r="J10" s="96">
        <f t="shared" si="1"/>
        <v>1800</v>
      </c>
      <c r="K10" s="97"/>
      <c r="L10" s="95"/>
      <c r="M10" s="95"/>
      <c r="N10" s="100"/>
      <c r="O10" s="100"/>
      <c r="P10" s="100"/>
      <c r="Q10" s="100"/>
      <c r="R10" s="100"/>
      <c r="S10" s="100"/>
      <c r="T10" s="100"/>
      <c r="U10" s="96"/>
      <c r="V10" s="96">
        <f t="shared" si="2"/>
        <v>0</v>
      </c>
    </row>
    <row r="11" spans="1:33" x14ac:dyDescent="0.25">
      <c r="A11" s="95"/>
      <c r="B11" s="100"/>
      <c r="C11" s="100"/>
      <c r="D11" s="100"/>
      <c r="E11" s="100"/>
      <c r="F11" s="100"/>
      <c r="G11" s="100"/>
      <c r="H11" s="100"/>
      <c r="I11" s="96"/>
      <c r="J11" s="96">
        <f t="shared" si="1"/>
        <v>0</v>
      </c>
      <c r="K11" s="97"/>
      <c r="L11" s="101">
        <v>45642</v>
      </c>
      <c r="M11" s="95" t="s">
        <v>66</v>
      </c>
      <c r="N11" s="100"/>
      <c r="O11" s="100"/>
      <c r="P11" s="100"/>
      <c r="Q11" s="100"/>
      <c r="R11" s="100"/>
      <c r="S11" s="100"/>
      <c r="T11" s="100">
        <v>50</v>
      </c>
      <c r="U11" s="96">
        <v>18</v>
      </c>
      <c r="V11" s="96">
        <f t="shared" si="2"/>
        <v>900</v>
      </c>
    </row>
    <row r="12" spans="1:33" x14ac:dyDescent="0.25">
      <c r="A12" s="147"/>
      <c r="B12" s="148"/>
      <c r="C12" s="148"/>
      <c r="D12" s="148"/>
      <c r="E12" s="148"/>
      <c r="F12" s="148"/>
      <c r="G12" s="148"/>
      <c r="H12" s="148"/>
      <c r="I12" s="149"/>
      <c r="J12" s="149">
        <f t="shared" si="1"/>
        <v>0</v>
      </c>
      <c r="K12" s="149"/>
      <c r="L12" s="147" t="s">
        <v>67</v>
      </c>
      <c r="M12" s="147"/>
      <c r="N12" s="148"/>
      <c r="O12" s="148"/>
      <c r="P12" s="148"/>
      <c r="Q12" s="148"/>
      <c r="R12" s="148"/>
      <c r="S12" s="148"/>
      <c r="T12" s="148"/>
      <c r="U12" s="149"/>
      <c r="V12" s="149">
        <f t="shared" si="2"/>
        <v>0</v>
      </c>
    </row>
    <row r="13" spans="1:33" x14ac:dyDescent="0.25">
      <c r="A13" s="95"/>
      <c r="B13" s="100"/>
      <c r="C13" s="100"/>
      <c r="D13" s="100"/>
      <c r="E13" s="100"/>
      <c r="F13" s="100"/>
      <c r="G13" s="100"/>
      <c r="H13" s="100"/>
      <c r="I13" s="96"/>
      <c r="J13" s="96">
        <f t="shared" si="1"/>
        <v>0</v>
      </c>
      <c r="K13" s="97"/>
      <c r="L13" s="101">
        <v>45672</v>
      </c>
      <c r="M13" s="95" t="s">
        <v>66</v>
      </c>
      <c r="N13" s="100"/>
      <c r="O13" s="100"/>
      <c r="P13" s="100">
        <v>4</v>
      </c>
      <c r="Q13" s="100"/>
      <c r="R13" s="100"/>
      <c r="S13" s="100"/>
      <c r="T13" s="100"/>
      <c r="U13" s="96">
        <v>441.69</v>
      </c>
      <c r="V13" s="96">
        <f t="shared" si="2"/>
        <v>1766.76</v>
      </c>
    </row>
    <row r="14" spans="1:33" x14ac:dyDescent="0.25">
      <c r="A14" s="95"/>
      <c r="B14" s="100"/>
      <c r="C14" s="100"/>
      <c r="D14" s="100"/>
      <c r="E14" s="100"/>
      <c r="F14" s="100"/>
      <c r="G14" s="100"/>
      <c r="H14" s="100"/>
      <c r="I14" s="96"/>
      <c r="J14" s="96">
        <f t="shared" si="1"/>
        <v>0</v>
      </c>
      <c r="K14" s="97"/>
      <c r="L14" s="95"/>
      <c r="M14" s="95" t="s">
        <v>66</v>
      </c>
      <c r="N14" s="100"/>
      <c r="O14" s="100"/>
      <c r="P14" s="100"/>
      <c r="Q14" s="100"/>
      <c r="R14" s="100"/>
      <c r="S14" s="100">
        <v>3</v>
      </c>
      <c r="T14" s="100"/>
      <c r="U14" s="96">
        <v>499.4</v>
      </c>
      <c r="V14" s="96">
        <f t="shared" si="2"/>
        <v>1498.1999999999998</v>
      </c>
    </row>
    <row r="15" spans="1:33" x14ac:dyDescent="0.25">
      <c r="A15" s="101">
        <v>45681</v>
      </c>
      <c r="B15" s="100"/>
      <c r="C15" s="100">
        <v>60</v>
      </c>
      <c r="D15" s="100"/>
      <c r="E15" s="100"/>
      <c r="F15" s="100"/>
      <c r="G15" s="100"/>
      <c r="H15" s="100"/>
      <c r="I15" s="96">
        <v>446.12</v>
      </c>
      <c r="J15" s="96">
        <f t="shared" si="1"/>
        <v>26767.200000000001</v>
      </c>
      <c r="K15" s="97"/>
      <c r="L15" s="95"/>
      <c r="M15" s="95"/>
      <c r="N15" s="100"/>
      <c r="O15" s="100"/>
      <c r="P15" s="100"/>
      <c r="Q15" s="100"/>
      <c r="R15" s="100"/>
      <c r="S15" s="100"/>
      <c r="T15" s="100"/>
      <c r="U15" s="96"/>
      <c r="V15" s="96">
        <f t="shared" si="2"/>
        <v>0</v>
      </c>
    </row>
    <row r="16" spans="1:33" x14ac:dyDescent="0.25">
      <c r="A16" s="95"/>
      <c r="B16" s="100"/>
      <c r="C16" s="100"/>
      <c r="D16" s="100"/>
      <c r="E16" s="100"/>
      <c r="F16" s="100"/>
      <c r="G16" s="100"/>
      <c r="H16" s="100"/>
      <c r="I16" s="96"/>
      <c r="J16" s="96">
        <f t="shared" si="1"/>
        <v>0</v>
      </c>
      <c r="K16" s="97"/>
      <c r="L16" s="150">
        <v>45691</v>
      </c>
      <c r="M16" s="95" t="s">
        <v>66</v>
      </c>
      <c r="N16" s="100"/>
      <c r="O16" s="100">
        <v>10.3</v>
      </c>
      <c r="P16" s="100"/>
      <c r="Q16" s="100"/>
      <c r="R16" s="100"/>
      <c r="S16" s="100"/>
      <c r="T16" s="100"/>
      <c r="U16" s="96">
        <v>446.12</v>
      </c>
      <c r="V16" s="96">
        <f t="shared" si="2"/>
        <v>4595.0360000000001</v>
      </c>
    </row>
    <row r="17" spans="1:22" x14ac:dyDescent="0.25">
      <c r="A17" s="95"/>
      <c r="B17" s="100"/>
      <c r="C17" s="100"/>
      <c r="D17" s="100"/>
      <c r="E17" s="100"/>
      <c r="F17" s="100"/>
      <c r="G17" s="100"/>
      <c r="H17" s="100"/>
      <c r="I17" s="96"/>
      <c r="J17" s="96">
        <f t="shared" si="1"/>
        <v>0</v>
      </c>
      <c r="K17" s="97"/>
      <c r="L17" s="101">
        <v>45694</v>
      </c>
      <c r="M17" s="95" t="s">
        <v>66</v>
      </c>
      <c r="N17" s="100"/>
      <c r="O17" s="100">
        <v>4</v>
      </c>
      <c r="P17" s="100"/>
      <c r="Q17" s="100"/>
      <c r="R17" s="100"/>
      <c r="S17" s="100"/>
      <c r="T17" s="100"/>
      <c r="U17" s="96">
        <v>446.12</v>
      </c>
      <c r="V17" s="96">
        <f t="shared" si="2"/>
        <v>1784.48</v>
      </c>
    </row>
    <row r="18" spans="1:22" x14ac:dyDescent="0.25">
      <c r="A18" s="95"/>
      <c r="B18" s="100"/>
      <c r="C18" s="100"/>
      <c r="D18" s="100"/>
      <c r="E18" s="100"/>
      <c r="F18" s="100"/>
      <c r="G18" s="100"/>
      <c r="H18" s="100"/>
      <c r="I18" s="96"/>
      <c r="J18" s="96">
        <f t="shared" si="1"/>
        <v>0</v>
      </c>
      <c r="K18" s="97"/>
      <c r="L18" s="95"/>
      <c r="M18" s="95" t="s">
        <v>66</v>
      </c>
      <c r="N18" s="100"/>
      <c r="O18" s="100"/>
      <c r="P18" s="100"/>
      <c r="Q18" s="100"/>
      <c r="R18" s="100">
        <v>1400</v>
      </c>
      <c r="S18" s="100"/>
      <c r="T18" s="100"/>
      <c r="U18" s="96">
        <v>2.86</v>
      </c>
      <c r="V18" s="96">
        <f t="shared" si="2"/>
        <v>4004</v>
      </c>
    </row>
    <row r="19" spans="1:22" x14ac:dyDescent="0.25">
      <c r="A19" s="95"/>
      <c r="B19" s="100"/>
      <c r="C19" s="100"/>
      <c r="D19" s="100"/>
      <c r="E19" s="100"/>
      <c r="F19" s="100"/>
      <c r="G19" s="100"/>
      <c r="H19" s="100"/>
      <c r="I19" s="96"/>
      <c r="J19" s="96">
        <f t="shared" si="1"/>
        <v>0</v>
      </c>
      <c r="K19" s="97"/>
      <c r="L19" s="101">
        <v>45695</v>
      </c>
      <c r="M19" s="95" t="s">
        <v>66</v>
      </c>
      <c r="N19" s="100"/>
      <c r="O19" s="100">
        <v>4</v>
      </c>
      <c r="P19" s="100"/>
      <c r="Q19" s="100"/>
      <c r="R19" s="100"/>
      <c r="S19" s="100"/>
      <c r="T19" s="100"/>
      <c r="U19" s="96">
        <v>446.12</v>
      </c>
      <c r="V19" s="96">
        <f t="shared" si="2"/>
        <v>1784.48</v>
      </c>
    </row>
    <row r="20" spans="1:22" x14ac:dyDescent="0.25">
      <c r="A20" s="95"/>
      <c r="B20" s="100"/>
      <c r="C20" s="100"/>
      <c r="D20" s="100"/>
      <c r="E20" s="100"/>
      <c r="F20" s="100"/>
      <c r="G20" s="100"/>
      <c r="H20" s="100"/>
      <c r="I20" s="96"/>
      <c r="J20" s="96">
        <f t="shared" si="1"/>
        <v>0</v>
      </c>
      <c r="K20" s="97"/>
      <c r="L20" s="101">
        <v>45701</v>
      </c>
      <c r="M20" s="95" t="s">
        <v>66</v>
      </c>
      <c r="N20" s="100"/>
      <c r="O20" s="100">
        <v>6.7</v>
      </c>
      <c r="P20" s="100"/>
      <c r="Q20" s="100"/>
      <c r="R20" s="100"/>
      <c r="S20" s="100"/>
      <c r="T20" s="100"/>
      <c r="U20" s="96">
        <v>446.12</v>
      </c>
      <c r="V20" s="96">
        <f t="shared" si="2"/>
        <v>2989.0039999999999</v>
      </c>
    </row>
    <row r="21" spans="1:22" x14ac:dyDescent="0.25">
      <c r="A21" s="95"/>
      <c r="B21" s="100"/>
      <c r="C21" s="100"/>
      <c r="D21" s="100"/>
      <c r="E21" s="100"/>
      <c r="F21" s="100"/>
      <c r="G21" s="100"/>
      <c r="H21" s="100"/>
      <c r="I21" s="96"/>
      <c r="J21" s="96">
        <f t="shared" si="1"/>
        <v>0</v>
      </c>
      <c r="K21" s="97"/>
      <c r="L21" s="101">
        <v>45705</v>
      </c>
      <c r="M21" s="95" t="s">
        <v>66</v>
      </c>
      <c r="N21" s="100"/>
      <c r="O21" s="100">
        <v>6</v>
      </c>
      <c r="P21" s="100"/>
      <c r="Q21" s="100"/>
      <c r="R21" s="100"/>
      <c r="S21" s="100"/>
      <c r="T21" s="100"/>
      <c r="U21" s="96">
        <v>446.12</v>
      </c>
      <c r="V21" s="96">
        <f t="shared" si="2"/>
        <v>2676.7200000000003</v>
      </c>
    </row>
    <row r="22" spans="1:22" x14ac:dyDescent="0.25">
      <c r="A22" s="95"/>
      <c r="B22" s="100"/>
      <c r="C22" s="100"/>
      <c r="D22" s="100"/>
      <c r="E22" s="100"/>
      <c r="F22" s="100"/>
      <c r="G22" s="100"/>
      <c r="H22" s="100"/>
      <c r="I22" s="96"/>
      <c r="J22" s="96">
        <f t="shared" si="1"/>
        <v>0</v>
      </c>
      <c r="K22" s="97"/>
      <c r="L22" s="101">
        <v>45706</v>
      </c>
      <c r="M22" s="95" t="s">
        <v>66</v>
      </c>
      <c r="N22" s="100"/>
      <c r="O22" s="100">
        <v>3</v>
      </c>
      <c r="P22" s="100"/>
      <c r="Q22" s="100"/>
      <c r="R22" s="100"/>
      <c r="S22" s="100"/>
      <c r="T22" s="100"/>
      <c r="U22" s="96">
        <v>446.12</v>
      </c>
      <c r="V22" s="96">
        <f t="shared" si="2"/>
        <v>1338.3600000000001</v>
      </c>
    </row>
    <row r="23" spans="1:22" x14ac:dyDescent="0.25">
      <c r="A23" s="95"/>
      <c r="B23" s="100"/>
      <c r="C23" s="100"/>
      <c r="D23" s="100"/>
      <c r="E23" s="100"/>
      <c r="F23" s="100"/>
      <c r="G23" s="100"/>
      <c r="H23" s="100"/>
      <c r="I23" s="96"/>
      <c r="J23" s="96">
        <f t="shared" si="1"/>
        <v>0</v>
      </c>
      <c r="K23" s="97"/>
      <c r="L23" s="101">
        <v>45707</v>
      </c>
      <c r="M23" s="95" t="s">
        <v>66</v>
      </c>
      <c r="N23" s="100"/>
      <c r="O23" s="100">
        <v>5</v>
      </c>
      <c r="P23" s="100"/>
      <c r="Q23" s="100"/>
      <c r="R23" s="100"/>
      <c r="S23" s="100"/>
      <c r="T23" s="100"/>
      <c r="U23" s="96">
        <v>446.12</v>
      </c>
      <c r="V23" s="96">
        <f t="shared" si="2"/>
        <v>2230.6</v>
      </c>
    </row>
    <row r="24" spans="1:22" x14ac:dyDescent="0.25">
      <c r="A24" s="95"/>
      <c r="B24" s="100"/>
      <c r="C24" s="100"/>
      <c r="D24" s="100"/>
      <c r="E24" s="100"/>
      <c r="F24" s="100"/>
      <c r="G24" s="100"/>
      <c r="H24" s="100"/>
      <c r="I24" s="96"/>
      <c r="J24" s="96">
        <f t="shared" si="1"/>
        <v>0</v>
      </c>
      <c r="K24" s="97"/>
      <c r="L24" s="101">
        <v>45709</v>
      </c>
      <c r="M24" s="95" t="s">
        <v>66</v>
      </c>
      <c r="N24" s="100"/>
      <c r="O24" s="100">
        <v>2</v>
      </c>
      <c r="P24" s="100"/>
      <c r="Q24" s="100"/>
      <c r="R24" s="100"/>
      <c r="S24" s="100"/>
      <c r="T24" s="100"/>
      <c r="U24" s="96">
        <v>446.12</v>
      </c>
      <c r="V24" s="96">
        <f t="shared" si="2"/>
        <v>892.24</v>
      </c>
    </row>
    <row r="25" spans="1:22" x14ac:dyDescent="0.25">
      <c r="A25" s="95"/>
      <c r="B25" s="100"/>
      <c r="C25" s="100"/>
      <c r="D25" s="100"/>
      <c r="E25" s="100"/>
      <c r="F25" s="100"/>
      <c r="G25" s="100"/>
      <c r="H25" s="100"/>
      <c r="I25" s="96"/>
      <c r="J25" s="96">
        <f t="shared" si="1"/>
        <v>0</v>
      </c>
      <c r="K25" s="97"/>
      <c r="L25" s="101">
        <v>45713</v>
      </c>
      <c r="M25" s="95" t="s">
        <v>66</v>
      </c>
      <c r="N25" s="100"/>
      <c r="O25" s="100">
        <v>2</v>
      </c>
      <c r="P25" s="100"/>
      <c r="Q25" s="100"/>
      <c r="R25" s="100"/>
      <c r="S25" s="100"/>
      <c r="T25" s="100"/>
      <c r="U25" s="96">
        <v>446.12</v>
      </c>
      <c r="V25" s="96">
        <f t="shared" si="2"/>
        <v>892.24</v>
      </c>
    </row>
    <row r="26" spans="1:22" x14ac:dyDescent="0.25">
      <c r="A26" s="95"/>
      <c r="B26" s="100"/>
      <c r="C26" s="100"/>
      <c r="D26" s="100"/>
      <c r="E26" s="100"/>
      <c r="F26" s="100"/>
      <c r="G26" s="100"/>
      <c r="H26" s="100"/>
      <c r="I26" s="96"/>
      <c r="J26" s="96">
        <f t="shared" si="1"/>
        <v>0</v>
      </c>
      <c r="K26" s="97"/>
      <c r="L26" s="101">
        <v>45714</v>
      </c>
      <c r="M26" s="95" t="s">
        <v>66</v>
      </c>
      <c r="N26" s="100"/>
      <c r="O26" s="100">
        <v>2</v>
      </c>
      <c r="P26" s="100"/>
      <c r="Q26" s="100"/>
      <c r="R26" s="100"/>
      <c r="S26" s="100"/>
      <c r="T26" s="100"/>
      <c r="U26" s="96">
        <v>446.12</v>
      </c>
      <c r="V26" s="96">
        <f t="shared" si="2"/>
        <v>892.24</v>
      </c>
    </row>
    <row r="27" spans="1:22" ht="16.5" thickBot="1" x14ac:dyDescent="0.3">
      <c r="A27" s="95"/>
      <c r="B27" s="100"/>
      <c r="C27" s="100"/>
      <c r="D27" s="100"/>
      <c r="E27" s="100"/>
      <c r="F27" s="100"/>
      <c r="G27" s="100"/>
      <c r="H27" s="100"/>
      <c r="I27" s="96"/>
      <c r="J27" s="96">
        <f t="shared" si="1"/>
        <v>0</v>
      </c>
      <c r="K27" s="97"/>
      <c r="L27" s="180" t="s">
        <v>68</v>
      </c>
      <c r="M27" s="180" t="s">
        <v>66</v>
      </c>
      <c r="N27" s="181"/>
      <c r="O27" s="181"/>
      <c r="P27" s="181"/>
      <c r="Q27" s="181"/>
      <c r="R27" s="181"/>
      <c r="S27" s="181"/>
      <c r="T27" s="181"/>
      <c r="U27" s="182"/>
      <c r="V27" s="182">
        <f t="shared" si="2"/>
        <v>0</v>
      </c>
    </row>
    <row r="28" spans="1:22" x14ac:dyDescent="0.25">
      <c r="A28" s="95"/>
      <c r="B28" s="100"/>
      <c r="C28" s="100"/>
      <c r="D28" s="100"/>
      <c r="E28" s="100"/>
      <c r="F28" s="100"/>
      <c r="G28" s="100"/>
      <c r="H28" s="100"/>
      <c r="I28" s="96"/>
      <c r="J28" s="96">
        <f t="shared" si="1"/>
        <v>0</v>
      </c>
      <c r="K28" s="179"/>
      <c r="L28" s="187">
        <v>45720</v>
      </c>
      <c r="M28" s="188" t="s">
        <v>66</v>
      </c>
      <c r="N28" s="189"/>
      <c r="O28" s="189">
        <v>3</v>
      </c>
      <c r="P28" s="189"/>
      <c r="Q28" s="189"/>
      <c r="R28" s="189"/>
      <c r="S28" s="189"/>
      <c r="T28" s="189"/>
      <c r="U28" s="190">
        <v>446.12</v>
      </c>
      <c r="V28" s="191">
        <f t="shared" si="2"/>
        <v>1338.3600000000001</v>
      </c>
    </row>
    <row r="29" spans="1:22" x14ac:dyDescent="0.25">
      <c r="A29" s="95"/>
      <c r="B29" s="100"/>
      <c r="C29" s="100"/>
      <c r="D29" s="100"/>
      <c r="E29" s="100"/>
      <c r="F29" s="100"/>
      <c r="G29" s="100"/>
      <c r="H29" s="100"/>
      <c r="I29" s="96"/>
      <c r="J29" s="96">
        <f t="shared" si="1"/>
        <v>0</v>
      </c>
      <c r="K29" s="179"/>
      <c r="L29" s="192">
        <v>45722</v>
      </c>
      <c r="M29" s="95" t="s">
        <v>66</v>
      </c>
      <c r="N29" s="100"/>
      <c r="O29" s="100"/>
      <c r="P29" s="100"/>
      <c r="Q29" s="100"/>
      <c r="R29" s="100"/>
      <c r="S29" s="100"/>
      <c r="T29" s="100"/>
      <c r="U29" s="96"/>
      <c r="V29" s="193">
        <f t="shared" si="2"/>
        <v>0</v>
      </c>
    </row>
    <row r="30" spans="1:22" ht="16.5" thickBot="1" x14ac:dyDescent="0.3">
      <c r="A30" s="95"/>
      <c r="B30" s="100"/>
      <c r="C30" s="100"/>
      <c r="D30" s="100"/>
      <c r="E30" s="100"/>
      <c r="F30" s="100"/>
      <c r="G30" s="100"/>
      <c r="H30" s="100"/>
      <c r="I30" s="96"/>
      <c r="J30" s="96">
        <f t="shared" si="1"/>
        <v>0</v>
      </c>
      <c r="K30" s="179"/>
      <c r="L30" s="194"/>
      <c r="M30" s="195" t="s">
        <v>66</v>
      </c>
      <c r="N30" s="196"/>
      <c r="O30" s="196"/>
      <c r="P30" s="196"/>
      <c r="Q30" s="196">
        <v>20</v>
      </c>
      <c r="R30" s="196"/>
      <c r="S30" s="196"/>
      <c r="T30" s="196"/>
      <c r="U30" s="197">
        <v>2.9</v>
      </c>
      <c r="V30" s="198">
        <f t="shared" si="2"/>
        <v>58</v>
      </c>
    </row>
    <row r="31" spans="1:22" x14ac:dyDescent="0.25">
      <c r="A31" s="95"/>
      <c r="B31" s="100"/>
      <c r="C31" s="100"/>
      <c r="D31" s="100"/>
      <c r="E31" s="100"/>
      <c r="F31" s="100"/>
      <c r="G31" s="100"/>
      <c r="H31" s="100"/>
      <c r="I31" s="96"/>
      <c r="J31" s="96">
        <f t="shared" si="1"/>
        <v>0</v>
      </c>
      <c r="K31" s="179"/>
      <c r="L31" s="187">
        <v>45728</v>
      </c>
      <c r="M31" s="188" t="s">
        <v>66</v>
      </c>
      <c r="N31" s="189"/>
      <c r="O31" s="189">
        <v>3</v>
      </c>
      <c r="P31" s="189"/>
      <c r="Q31" s="189"/>
      <c r="R31" s="189"/>
      <c r="S31" s="189"/>
      <c r="T31" s="189"/>
      <c r="U31" s="190">
        <v>446.12</v>
      </c>
      <c r="V31" s="191">
        <f t="shared" si="2"/>
        <v>1338.3600000000001</v>
      </c>
    </row>
    <row r="32" spans="1:22" ht="16.5" thickBot="1" x14ac:dyDescent="0.3">
      <c r="A32" s="95"/>
      <c r="B32" s="100"/>
      <c r="C32" s="100"/>
      <c r="D32" s="100"/>
      <c r="E32" s="100"/>
      <c r="F32" s="100"/>
      <c r="G32" s="100"/>
      <c r="H32" s="100"/>
      <c r="I32" s="96"/>
      <c r="J32" s="96">
        <f t="shared" si="1"/>
        <v>0</v>
      </c>
      <c r="K32" s="179"/>
      <c r="L32" s="194">
        <v>45730</v>
      </c>
      <c r="M32" s="195" t="s">
        <v>66</v>
      </c>
      <c r="N32" s="196"/>
      <c r="O32" s="196">
        <v>2</v>
      </c>
      <c r="P32" s="196"/>
      <c r="Q32" s="196"/>
      <c r="R32" s="196"/>
      <c r="S32" s="196"/>
      <c r="T32" s="196"/>
      <c r="U32" s="197">
        <v>446.12</v>
      </c>
      <c r="V32" s="198">
        <f t="shared" si="2"/>
        <v>892.24</v>
      </c>
    </row>
    <row r="33" spans="1:22" ht="16.5" thickBot="1" x14ac:dyDescent="0.3">
      <c r="A33" s="95"/>
      <c r="B33" s="100"/>
      <c r="C33" s="100"/>
      <c r="D33" s="100"/>
      <c r="E33" s="100"/>
      <c r="F33" s="100"/>
      <c r="G33" s="100"/>
      <c r="H33" s="100"/>
      <c r="I33" s="96"/>
      <c r="J33" s="96">
        <f t="shared" si="1"/>
        <v>0</v>
      </c>
      <c r="K33" s="179"/>
      <c r="L33" s="205">
        <v>45734</v>
      </c>
      <c r="M33" s="206" t="s">
        <v>66</v>
      </c>
      <c r="N33" s="207"/>
      <c r="O33" s="207">
        <v>1</v>
      </c>
      <c r="P33" s="207"/>
      <c r="Q33" s="207"/>
      <c r="R33" s="207"/>
      <c r="S33" s="207"/>
      <c r="T33" s="207"/>
      <c r="U33" s="208">
        <v>446.12</v>
      </c>
      <c r="V33" s="209">
        <f t="shared" si="2"/>
        <v>446.12</v>
      </c>
    </row>
    <row r="34" spans="1:22" x14ac:dyDescent="0.25">
      <c r="A34" s="95"/>
      <c r="B34" s="100"/>
      <c r="C34" s="100"/>
      <c r="D34" s="100"/>
      <c r="E34" s="100"/>
      <c r="F34" s="100"/>
      <c r="G34" s="100"/>
      <c r="H34" s="100"/>
      <c r="I34" s="96"/>
      <c r="J34" s="96">
        <f t="shared" si="1"/>
        <v>0</v>
      </c>
      <c r="K34" s="179"/>
      <c r="L34" s="187">
        <v>45740</v>
      </c>
      <c r="M34" s="188" t="s">
        <v>66</v>
      </c>
      <c r="N34" s="189"/>
      <c r="O34" s="189">
        <v>1</v>
      </c>
      <c r="P34" s="189"/>
      <c r="Q34" s="189"/>
      <c r="R34" s="189"/>
      <c r="S34" s="189"/>
      <c r="T34" s="189"/>
      <c r="U34" s="190">
        <v>446.12</v>
      </c>
      <c r="V34" s="191">
        <f t="shared" si="2"/>
        <v>446.12</v>
      </c>
    </row>
    <row r="35" spans="1:22" x14ac:dyDescent="0.25">
      <c r="A35" s="95"/>
      <c r="B35" s="100"/>
      <c r="C35" s="100"/>
      <c r="D35" s="100"/>
      <c r="E35" s="100"/>
      <c r="F35" s="100"/>
      <c r="G35" s="100"/>
      <c r="H35" s="100"/>
      <c r="I35" s="96"/>
      <c r="J35" s="96">
        <f t="shared" si="1"/>
        <v>0</v>
      </c>
      <c r="K35" s="179"/>
      <c r="L35" s="192"/>
      <c r="M35" s="95" t="s">
        <v>66</v>
      </c>
      <c r="N35" s="100"/>
      <c r="O35" s="100"/>
      <c r="P35" s="100">
        <v>3.9</v>
      </c>
      <c r="Q35" s="100"/>
      <c r="R35" s="100"/>
      <c r="S35" s="100"/>
      <c r="T35" s="100"/>
      <c r="U35" s="96">
        <v>441.69</v>
      </c>
      <c r="V35" s="193">
        <f t="shared" si="2"/>
        <v>1722.5909999999999</v>
      </c>
    </row>
    <row r="36" spans="1:22" x14ac:dyDescent="0.25">
      <c r="A36" s="95"/>
      <c r="B36" s="100"/>
      <c r="C36" s="100"/>
      <c r="D36" s="100"/>
      <c r="E36" s="100"/>
      <c r="F36" s="100"/>
      <c r="G36" s="100"/>
      <c r="H36" s="100"/>
      <c r="I36" s="96"/>
      <c r="J36" s="96">
        <f t="shared" si="1"/>
        <v>0</v>
      </c>
      <c r="K36" s="179"/>
      <c r="L36" s="192">
        <v>45742</v>
      </c>
      <c r="M36" s="95" t="s">
        <v>66</v>
      </c>
      <c r="N36" s="100"/>
      <c r="O36" s="100">
        <v>5</v>
      </c>
      <c r="P36" s="100"/>
      <c r="Q36" s="100"/>
      <c r="R36" s="100"/>
      <c r="S36" s="100"/>
      <c r="T36" s="100"/>
      <c r="U36" s="96">
        <v>446.12</v>
      </c>
      <c r="V36" s="193">
        <f t="shared" si="2"/>
        <v>2230.6</v>
      </c>
    </row>
    <row r="37" spans="1:22" x14ac:dyDescent="0.25">
      <c r="A37" s="95"/>
      <c r="B37" s="100"/>
      <c r="C37" s="100"/>
      <c r="D37" s="100"/>
      <c r="E37" s="100"/>
      <c r="F37" s="100"/>
      <c r="G37" s="100"/>
      <c r="H37" s="100"/>
      <c r="I37" s="96"/>
      <c r="J37" s="96">
        <f t="shared" si="1"/>
        <v>0</v>
      </c>
      <c r="K37" s="179"/>
      <c r="L37" s="230">
        <v>45744</v>
      </c>
      <c r="M37" s="200" t="s">
        <v>66</v>
      </c>
      <c r="N37" s="204"/>
      <c r="O37" s="204"/>
      <c r="P37" s="204"/>
      <c r="Q37" s="204"/>
      <c r="R37" s="204"/>
      <c r="S37" s="204"/>
      <c r="T37" s="204">
        <v>50</v>
      </c>
      <c r="U37" s="201">
        <v>18</v>
      </c>
      <c r="V37" s="251">
        <f t="shared" si="2"/>
        <v>900</v>
      </c>
    </row>
    <row r="38" spans="1:22" x14ac:dyDescent="0.25">
      <c r="A38" s="150" t="s">
        <v>99</v>
      </c>
      <c r="B38" s="248"/>
      <c r="C38" s="248"/>
      <c r="D38" s="248"/>
      <c r="E38" s="248"/>
      <c r="F38" s="248"/>
      <c r="G38" s="248"/>
      <c r="H38" s="248"/>
      <c r="I38" s="249"/>
      <c r="J38" s="249"/>
      <c r="K38" s="250"/>
      <c r="L38" s="150" t="s">
        <v>99</v>
      </c>
      <c r="M38" s="247"/>
      <c r="N38" s="248"/>
      <c r="O38" s="248"/>
      <c r="P38" s="248"/>
      <c r="Q38" s="248"/>
      <c r="R38" s="248"/>
      <c r="S38" s="248"/>
      <c r="T38" s="248"/>
      <c r="U38" s="249"/>
      <c r="V38" s="249"/>
    </row>
    <row r="39" spans="1:22" x14ac:dyDescent="0.25">
      <c r="A39" s="95" t="s">
        <v>97</v>
      </c>
      <c r="B39" s="100"/>
      <c r="C39" s="100"/>
      <c r="D39" s="100">
        <v>60</v>
      </c>
      <c r="E39" s="100"/>
      <c r="F39" s="100"/>
      <c r="G39" s="100"/>
      <c r="H39" s="100"/>
      <c r="I39" s="96">
        <v>432.82</v>
      </c>
      <c r="J39" s="96">
        <f t="shared" ref="J39" si="4">B39*I39+C39*I39+D39*I39+E39*I39+F39*I39+G39*I39+H39*I39</f>
        <v>25969.200000000001</v>
      </c>
      <c r="K39" s="97"/>
      <c r="L39" s="183" t="s">
        <v>94</v>
      </c>
      <c r="M39" s="184" t="s">
        <v>66</v>
      </c>
      <c r="N39" s="185"/>
      <c r="O39" s="185"/>
      <c r="P39" s="185">
        <v>5</v>
      </c>
      <c r="Q39" s="185"/>
      <c r="R39" s="185"/>
      <c r="S39" s="185"/>
      <c r="T39" s="185"/>
      <c r="U39" s="186">
        <v>432.82</v>
      </c>
      <c r="V39" s="186">
        <f t="shared" si="2"/>
        <v>2164.1</v>
      </c>
    </row>
    <row r="40" spans="1:22" x14ac:dyDescent="0.25">
      <c r="A40" s="95"/>
      <c r="B40" s="100"/>
      <c r="C40" s="100"/>
      <c r="D40" s="100"/>
      <c r="E40" s="100"/>
      <c r="F40" s="100"/>
      <c r="G40" s="100"/>
      <c r="H40" s="100"/>
      <c r="I40" s="96"/>
      <c r="J40" s="96"/>
      <c r="K40" s="97"/>
      <c r="L40" s="95" t="s">
        <v>100</v>
      </c>
      <c r="M40" s="95"/>
      <c r="N40" s="100"/>
      <c r="O40" s="100"/>
      <c r="P40" s="100">
        <v>6</v>
      </c>
      <c r="Q40" s="100"/>
      <c r="R40" s="100"/>
      <c r="S40" s="100"/>
      <c r="T40" s="100"/>
      <c r="U40" s="186">
        <v>432.82</v>
      </c>
      <c r="V40" s="96">
        <f t="shared" si="2"/>
        <v>2596.92</v>
      </c>
    </row>
    <row r="41" spans="1:22" x14ac:dyDescent="0.25">
      <c r="A41" s="95"/>
      <c r="B41" s="100"/>
      <c r="C41" s="100"/>
      <c r="D41" s="100"/>
      <c r="E41" s="100"/>
      <c r="F41" s="100"/>
      <c r="G41" s="100"/>
      <c r="H41" s="100"/>
      <c r="I41" s="96"/>
      <c r="J41" s="96">
        <f t="shared" si="1"/>
        <v>0</v>
      </c>
      <c r="K41" s="97"/>
      <c r="L41" s="95" t="s">
        <v>102</v>
      </c>
      <c r="M41" s="95"/>
      <c r="N41" s="100"/>
      <c r="O41" s="100"/>
      <c r="P41" s="100">
        <v>14</v>
      </c>
      <c r="Q41" s="100"/>
      <c r="R41" s="100"/>
      <c r="S41" s="100"/>
      <c r="T41" s="100"/>
      <c r="U41" s="96">
        <v>432.82</v>
      </c>
      <c r="V41" s="96">
        <f t="shared" si="2"/>
        <v>6059.48</v>
      </c>
    </row>
    <row r="42" spans="1:22" x14ac:dyDescent="0.25">
      <c r="A42" s="95"/>
      <c r="B42" s="100"/>
      <c r="C42" s="100"/>
      <c r="D42" s="100"/>
      <c r="E42" s="100"/>
      <c r="F42" s="100"/>
      <c r="G42" s="100"/>
      <c r="H42" s="100"/>
      <c r="I42" s="96"/>
      <c r="J42" s="96">
        <f t="shared" si="1"/>
        <v>0</v>
      </c>
      <c r="K42" s="97"/>
      <c r="L42" s="95" t="s">
        <v>104</v>
      </c>
      <c r="M42" s="95"/>
      <c r="N42" s="100"/>
      <c r="O42" s="100"/>
      <c r="P42" s="100">
        <v>6</v>
      </c>
      <c r="Q42" s="100"/>
      <c r="R42" s="100"/>
      <c r="S42" s="100"/>
      <c r="T42" s="100"/>
      <c r="U42" s="96">
        <v>432.82</v>
      </c>
      <c r="V42" s="96">
        <f t="shared" si="2"/>
        <v>2596.92</v>
      </c>
    </row>
    <row r="43" spans="1:22" x14ac:dyDescent="0.25">
      <c r="A43" s="95"/>
      <c r="B43" s="100"/>
      <c r="C43" s="100"/>
      <c r="D43" s="100"/>
      <c r="E43" s="100"/>
      <c r="F43" s="100"/>
      <c r="G43" s="100"/>
      <c r="H43" s="100"/>
      <c r="I43" s="96"/>
      <c r="J43" s="96">
        <f t="shared" si="1"/>
        <v>0</v>
      </c>
      <c r="K43" s="97"/>
      <c r="L43" s="95"/>
      <c r="M43" s="95"/>
      <c r="N43" s="100"/>
      <c r="O43" s="100"/>
      <c r="P43" s="100"/>
      <c r="Q43" s="100"/>
      <c r="R43" s="100"/>
      <c r="S43" s="100"/>
      <c r="T43" s="100"/>
      <c r="U43" s="96"/>
      <c r="V43" s="96">
        <f t="shared" si="2"/>
        <v>0</v>
      </c>
    </row>
    <row r="44" spans="1:22" x14ac:dyDescent="0.25">
      <c r="A44" s="95"/>
      <c r="B44" s="100">
        <f t="shared" ref="B44:H44" si="5">SUM(B3:B43)</f>
        <v>500</v>
      </c>
      <c r="C44" s="100">
        <f t="shared" si="5"/>
        <v>66</v>
      </c>
      <c r="D44" s="100">
        <f t="shared" si="5"/>
        <v>72</v>
      </c>
      <c r="E44" s="100">
        <f t="shared" si="5"/>
        <v>1600</v>
      </c>
      <c r="F44" s="100">
        <f t="shared" si="5"/>
        <v>1400</v>
      </c>
      <c r="G44" s="100">
        <f t="shared" si="5"/>
        <v>6.65</v>
      </c>
      <c r="H44" s="100">
        <f t="shared" si="5"/>
        <v>100</v>
      </c>
      <c r="I44" s="96"/>
      <c r="J44" s="96"/>
      <c r="K44" s="97"/>
      <c r="L44" s="95"/>
      <c r="M44" s="95"/>
      <c r="N44" s="100">
        <f>SUM(N3:N43)</f>
        <v>8</v>
      </c>
      <c r="O44" s="100">
        <f t="shared" ref="O44:T44" si="6">SUM(O3:O43)</f>
        <v>66</v>
      </c>
      <c r="P44" s="100">
        <f t="shared" si="6"/>
        <v>43</v>
      </c>
      <c r="Q44" s="100">
        <f t="shared" si="6"/>
        <v>20</v>
      </c>
      <c r="R44" s="100">
        <f t="shared" si="6"/>
        <v>1400</v>
      </c>
      <c r="S44" s="100">
        <f t="shared" si="6"/>
        <v>3</v>
      </c>
      <c r="T44" s="100">
        <f t="shared" si="6"/>
        <v>100</v>
      </c>
      <c r="U44" s="96"/>
      <c r="V44" s="9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52"/>
  <sheetViews>
    <sheetView workbookViewId="0">
      <pane ySplit="1" topLeftCell="A2" activePane="bottomLeft" state="frozen"/>
      <selection pane="bottomLeft" activeCell="J15" sqref="J15"/>
    </sheetView>
  </sheetViews>
  <sheetFormatPr defaultColWidth="8.85546875" defaultRowHeight="15.75" x14ac:dyDescent="0.25"/>
  <cols>
    <col min="1" max="1" width="11.140625" style="98" customWidth="1"/>
    <col min="2" max="4" width="13.1406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9" width="13.7109375" style="98" customWidth="1"/>
    <col min="10" max="12" width="13.140625" style="98" customWidth="1"/>
    <col min="13" max="13" width="10.5703125" style="102" customWidth="1"/>
    <col min="14" max="14" width="14.42578125" style="102" bestFit="1" customWidth="1"/>
    <col min="15" max="16" width="8.85546875" style="98"/>
    <col min="17" max="17" width="14.42578125" style="98" bestFit="1" customWidth="1"/>
    <col min="18" max="18" width="12.85546875" style="98" customWidth="1"/>
    <col min="19" max="16384" width="8.85546875" style="98"/>
  </cols>
  <sheetData>
    <row r="1" spans="1:25" s="93" customFormat="1" ht="42.75" x14ac:dyDescent="0.25">
      <c r="A1" s="90" t="s">
        <v>60</v>
      </c>
      <c r="B1" s="90" t="s">
        <v>35</v>
      </c>
      <c r="C1" s="90" t="s">
        <v>36</v>
      </c>
      <c r="D1" s="90"/>
      <c r="E1" s="91" t="s">
        <v>61</v>
      </c>
      <c r="F1" s="91" t="s">
        <v>62</v>
      </c>
      <c r="G1" s="91"/>
      <c r="H1" s="90" t="s">
        <v>63</v>
      </c>
      <c r="I1" s="90" t="s">
        <v>64</v>
      </c>
      <c r="J1" s="90" t="s">
        <v>35</v>
      </c>
      <c r="K1" s="90" t="s">
        <v>36</v>
      </c>
      <c r="L1" s="90"/>
      <c r="M1" s="91" t="s">
        <v>61</v>
      </c>
      <c r="N1" s="91" t="s">
        <v>62</v>
      </c>
      <c r="O1" s="92"/>
      <c r="P1" s="92"/>
      <c r="Q1" s="90" t="s">
        <v>35</v>
      </c>
      <c r="R1" s="90" t="s">
        <v>36</v>
      </c>
      <c r="S1" s="90"/>
      <c r="T1" s="90"/>
      <c r="U1" s="90"/>
    </row>
    <row r="2" spans="1:25" x14ac:dyDescent="0.25">
      <c r="A2" s="94" t="s">
        <v>67</v>
      </c>
      <c r="B2" s="95"/>
      <c r="C2" s="95"/>
      <c r="D2" s="95"/>
      <c r="E2" s="96"/>
      <c r="F2" s="96"/>
      <c r="G2" s="97"/>
      <c r="H2" s="94" t="s">
        <v>67</v>
      </c>
      <c r="I2" s="95"/>
      <c r="J2" s="95"/>
      <c r="K2" s="95"/>
      <c r="L2" s="95"/>
      <c r="M2" s="96"/>
      <c r="N2" s="96"/>
      <c r="P2" s="99"/>
      <c r="Q2" s="100">
        <f>0+B52-J52</f>
        <v>0</v>
      </c>
      <c r="R2" s="100">
        <f>0+C52-K52</f>
        <v>0</v>
      </c>
      <c r="S2" s="100"/>
      <c r="T2" s="100"/>
      <c r="U2" s="100"/>
      <c r="V2" s="99"/>
      <c r="W2" s="99"/>
      <c r="X2" s="99"/>
      <c r="Y2" s="99"/>
    </row>
    <row r="3" spans="1:25" x14ac:dyDescent="0.25">
      <c r="A3" s="101">
        <v>45684</v>
      </c>
      <c r="B3" s="100">
        <v>50000</v>
      </c>
      <c r="C3" s="100">
        <v>50000</v>
      </c>
      <c r="D3" s="100"/>
      <c r="E3" s="96">
        <v>0.85</v>
      </c>
      <c r="F3" s="96">
        <f>B3*E3+C3*E3+D3*E3</f>
        <v>85000</v>
      </c>
      <c r="G3" s="97"/>
      <c r="H3" s="101"/>
      <c r="I3" s="95"/>
      <c r="J3" s="100"/>
      <c r="K3" s="100"/>
      <c r="L3" s="100"/>
      <c r="M3" s="96"/>
      <c r="N3" s="96"/>
      <c r="Q3" s="96">
        <v>0.54</v>
      </c>
      <c r="R3" s="96">
        <v>0.54</v>
      </c>
      <c r="S3" s="96"/>
      <c r="T3" s="96"/>
      <c r="U3" s="96"/>
      <c r="V3" s="102"/>
      <c r="W3" s="102"/>
      <c r="X3" s="102"/>
    </row>
    <row r="4" spans="1:25" x14ac:dyDescent="0.25">
      <c r="A4" s="95"/>
      <c r="B4" s="100"/>
      <c r="C4" s="100"/>
      <c r="D4" s="100"/>
      <c r="E4" s="96"/>
      <c r="F4" s="96">
        <f t="shared" ref="F4:F17" si="0">B4*E4+C4*E4+D4*E4</f>
        <v>0</v>
      </c>
      <c r="G4" s="97"/>
      <c r="H4" s="101">
        <v>45687</v>
      </c>
      <c r="I4" s="95" t="s">
        <v>66</v>
      </c>
      <c r="J4" s="100">
        <v>50000</v>
      </c>
      <c r="K4" s="100">
        <v>50000</v>
      </c>
      <c r="L4" s="100"/>
      <c r="M4" s="96">
        <v>0.85</v>
      </c>
      <c r="N4" s="96">
        <f>J4*M4+K4*M4+L4*M4</f>
        <v>85000</v>
      </c>
      <c r="Q4" s="96">
        <f>Q2*Q3</f>
        <v>0</v>
      </c>
      <c r="R4" s="96">
        <f>R2*R3</f>
        <v>0</v>
      </c>
      <c r="S4" s="96"/>
      <c r="T4" s="96"/>
      <c r="U4" s="96"/>
      <c r="V4" s="102"/>
      <c r="W4" s="102"/>
      <c r="X4" s="102"/>
    </row>
    <row r="5" spans="1:25" x14ac:dyDescent="0.25">
      <c r="A5" s="150">
        <v>45698</v>
      </c>
      <c r="B5" s="100">
        <v>120000</v>
      </c>
      <c r="C5" s="100">
        <v>120000</v>
      </c>
      <c r="D5" s="100"/>
      <c r="E5" s="96">
        <v>0.54</v>
      </c>
      <c r="F5" s="96">
        <f t="shared" si="0"/>
        <v>129600.00000000001</v>
      </c>
      <c r="G5" s="97"/>
      <c r="H5" s="150">
        <v>45699</v>
      </c>
      <c r="I5" s="95" t="s">
        <v>66</v>
      </c>
      <c r="J5" s="100">
        <v>120000</v>
      </c>
      <c r="K5" s="100">
        <v>120000</v>
      </c>
      <c r="L5" s="100"/>
      <c r="M5" s="96">
        <v>0.54</v>
      </c>
      <c r="N5" s="96">
        <f t="shared" ref="N5:N51" si="1">J5*M5+K5*M5+L5*M5</f>
        <v>129600.00000000001</v>
      </c>
    </row>
    <row r="6" spans="1:25" ht="16.5" thickBot="1" x14ac:dyDescent="0.3">
      <c r="A6" s="101">
        <v>45716</v>
      </c>
      <c r="B6" s="100">
        <v>120000</v>
      </c>
      <c r="C6" s="100">
        <v>120000</v>
      </c>
      <c r="D6" s="100"/>
      <c r="E6" s="96">
        <v>0.54</v>
      </c>
      <c r="F6" s="96">
        <f t="shared" si="0"/>
        <v>129600.00000000001</v>
      </c>
      <c r="G6" s="97"/>
      <c r="H6" s="203"/>
      <c r="I6" s="200"/>
      <c r="J6" s="204"/>
      <c r="K6" s="204"/>
      <c r="L6" s="204"/>
      <c r="M6" s="201"/>
      <c r="N6" s="201">
        <f t="shared" si="1"/>
        <v>0</v>
      </c>
    </row>
    <row r="7" spans="1:25" ht="16.5" thickBot="1" x14ac:dyDescent="0.3">
      <c r="A7" s="95"/>
      <c r="B7" s="100"/>
      <c r="C7" s="100"/>
      <c r="D7" s="100"/>
      <c r="E7" s="96"/>
      <c r="F7" s="96">
        <f t="shared" si="0"/>
        <v>0</v>
      </c>
      <c r="G7" s="179"/>
      <c r="H7" s="205">
        <v>45722</v>
      </c>
      <c r="I7" s="206" t="s">
        <v>66</v>
      </c>
      <c r="J7" s="207">
        <v>120000</v>
      </c>
      <c r="K7" s="207">
        <v>120000</v>
      </c>
      <c r="L7" s="207"/>
      <c r="M7" s="208">
        <v>0.54</v>
      </c>
      <c r="N7" s="209">
        <f t="shared" si="1"/>
        <v>129600.00000000001</v>
      </c>
    </row>
    <row r="8" spans="1:25" x14ac:dyDescent="0.25">
      <c r="A8" s="95"/>
      <c r="B8" s="100"/>
      <c r="C8" s="100"/>
      <c r="D8" s="100"/>
      <c r="E8" s="96"/>
      <c r="F8" s="96">
        <f t="shared" si="0"/>
        <v>0</v>
      </c>
      <c r="G8" s="97"/>
      <c r="H8" s="183"/>
      <c r="I8" s="184"/>
      <c r="J8" s="185"/>
      <c r="K8" s="185"/>
      <c r="L8" s="185"/>
      <c r="M8" s="186"/>
      <c r="N8" s="186">
        <f t="shared" si="1"/>
        <v>0</v>
      </c>
    </row>
    <row r="9" spans="1:25" x14ac:dyDescent="0.25">
      <c r="A9" s="95"/>
      <c r="B9" s="100"/>
      <c r="C9" s="100"/>
      <c r="D9" s="100"/>
      <c r="E9" s="96"/>
      <c r="F9" s="96">
        <f t="shared" si="0"/>
        <v>0</v>
      </c>
      <c r="G9" s="97"/>
      <c r="H9" s="101"/>
      <c r="I9" s="95"/>
      <c r="J9" s="100"/>
      <c r="K9" s="100"/>
      <c r="L9" s="100"/>
      <c r="M9" s="96"/>
      <c r="N9" s="96">
        <f t="shared" si="1"/>
        <v>0</v>
      </c>
    </row>
    <row r="10" spans="1:25" x14ac:dyDescent="0.25">
      <c r="A10" s="95"/>
      <c r="B10" s="100"/>
      <c r="C10" s="100"/>
      <c r="D10" s="100"/>
      <c r="E10" s="96"/>
      <c r="F10" s="96">
        <f t="shared" si="0"/>
        <v>0</v>
      </c>
      <c r="G10" s="97"/>
      <c r="H10" s="101"/>
      <c r="I10" s="95"/>
      <c r="J10" s="100"/>
      <c r="K10" s="100"/>
      <c r="L10" s="100"/>
      <c r="M10" s="96"/>
      <c r="N10" s="96">
        <f t="shared" si="1"/>
        <v>0</v>
      </c>
    </row>
    <row r="11" spans="1:25" x14ac:dyDescent="0.25">
      <c r="A11" s="95"/>
      <c r="B11" s="100"/>
      <c r="C11" s="100"/>
      <c r="D11" s="100"/>
      <c r="E11" s="96"/>
      <c r="F11" s="96">
        <f t="shared" si="0"/>
        <v>0</v>
      </c>
      <c r="G11" s="97"/>
      <c r="H11" s="101"/>
      <c r="I11" s="95"/>
      <c r="J11" s="100"/>
      <c r="K11" s="100"/>
      <c r="L11" s="100"/>
      <c r="M11" s="96"/>
      <c r="N11" s="96">
        <f t="shared" si="1"/>
        <v>0</v>
      </c>
    </row>
    <row r="12" spans="1:25" x14ac:dyDescent="0.25">
      <c r="A12" s="95"/>
      <c r="B12" s="100"/>
      <c r="C12" s="100"/>
      <c r="D12" s="100"/>
      <c r="E12" s="96"/>
      <c r="F12" s="96">
        <f t="shared" si="0"/>
        <v>0</v>
      </c>
      <c r="G12" s="97"/>
      <c r="H12" s="101"/>
      <c r="I12" s="95"/>
      <c r="J12" s="100"/>
      <c r="K12" s="100"/>
      <c r="L12" s="100"/>
      <c r="M12" s="96"/>
      <c r="N12" s="96">
        <f t="shared" si="1"/>
        <v>0</v>
      </c>
    </row>
    <row r="13" spans="1:25" x14ac:dyDescent="0.25">
      <c r="A13" s="95"/>
      <c r="B13" s="100"/>
      <c r="C13" s="100"/>
      <c r="D13" s="100"/>
      <c r="E13" s="96"/>
      <c r="F13" s="96">
        <f t="shared" si="0"/>
        <v>0</v>
      </c>
      <c r="G13" s="97"/>
      <c r="H13" s="101"/>
      <c r="I13" s="95"/>
      <c r="J13" s="100"/>
      <c r="K13" s="100"/>
      <c r="L13" s="100"/>
      <c r="M13" s="96"/>
      <c r="N13" s="96">
        <f t="shared" si="1"/>
        <v>0</v>
      </c>
    </row>
    <row r="14" spans="1:25" x14ac:dyDescent="0.25">
      <c r="A14" s="95"/>
      <c r="B14" s="100"/>
      <c r="C14" s="100"/>
      <c r="D14" s="100"/>
      <c r="E14" s="96"/>
      <c r="F14" s="96">
        <f t="shared" si="0"/>
        <v>0</v>
      </c>
      <c r="G14" s="97"/>
      <c r="H14" s="101"/>
      <c r="I14" s="95"/>
      <c r="J14" s="100"/>
      <c r="K14" s="100"/>
      <c r="L14" s="100"/>
      <c r="M14" s="96"/>
      <c r="N14" s="96">
        <f t="shared" si="1"/>
        <v>0</v>
      </c>
    </row>
    <row r="15" spans="1:25" x14ac:dyDescent="0.25">
      <c r="A15" s="95"/>
      <c r="B15" s="100"/>
      <c r="C15" s="100"/>
      <c r="D15" s="100"/>
      <c r="E15" s="96"/>
      <c r="F15" s="96">
        <f t="shared" si="0"/>
        <v>0</v>
      </c>
      <c r="G15" s="97"/>
      <c r="H15" s="101"/>
      <c r="I15" s="95"/>
      <c r="J15" s="100"/>
      <c r="K15" s="100"/>
      <c r="L15" s="100"/>
      <c r="M15" s="96"/>
      <c r="N15" s="96">
        <f t="shared" si="1"/>
        <v>0</v>
      </c>
    </row>
    <row r="16" spans="1:25" x14ac:dyDescent="0.25">
      <c r="A16" s="95"/>
      <c r="B16" s="100"/>
      <c r="C16" s="100"/>
      <c r="D16" s="100"/>
      <c r="E16" s="96"/>
      <c r="F16" s="96">
        <f t="shared" si="0"/>
        <v>0</v>
      </c>
      <c r="G16" s="97"/>
      <c r="H16" s="101"/>
      <c r="I16" s="95"/>
      <c r="J16" s="100"/>
      <c r="K16" s="100"/>
      <c r="L16" s="100"/>
      <c r="M16" s="96"/>
      <c r="N16" s="96">
        <f t="shared" si="1"/>
        <v>0</v>
      </c>
    </row>
    <row r="17" spans="1:14" x14ac:dyDescent="0.25">
      <c r="A17" s="95"/>
      <c r="B17" s="100"/>
      <c r="C17" s="100"/>
      <c r="D17" s="100"/>
      <c r="E17" s="96"/>
      <c r="F17" s="96">
        <f t="shared" si="0"/>
        <v>0</v>
      </c>
      <c r="G17" s="97"/>
      <c r="H17" s="101"/>
      <c r="I17" s="95"/>
      <c r="J17" s="100"/>
      <c r="K17" s="100"/>
      <c r="L17" s="100"/>
      <c r="M17" s="96"/>
      <c r="N17" s="96">
        <f t="shared" si="1"/>
        <v>0</v>
      </c>
    </row>
    <row r="18" spans="1:14" x14ac:dyDescent="0.25">
      <c r="A18" s="95"/>
      <c r="B18" s="100"/>
      <c r="C18" s="100"/>
      <c r="D18" s="100"/>
      <c r="E18" s="96"/>
      <c r="F18" s="96"/>
      <c r="G18" s="97"/>
      <c r="H18" s="101"/>
      <c r="I18" s="95"/>
      <c r="J18" s="100"/>
      <c r="K18" s="100"/>
      <c r="L18" s="100"/>
      <c r="M18" s="96"/>
      <c r="N18" s="96">
        <f t="shared" si="1"/>
        <v>0</v>
      </c>
    </row>
    <row r="19" spans="1:14" x14ac:dyDescent="0.25">
      <c r="A19" s="95"/>
      <c r="B19" s="100"/>
      <c r="C19" s="100"/>
      <c r="D19" s="100"/>
      <c r="E19" s="96"/>
      <c r="F19" s="96"/>
      <c r="G19" s="97"/>
      <c r="H19" s="101"/>
      <c r="I19" s="95"/>
      <c r="J19" s="100"/>
      <c r="K19" s="100"/>
      <c r="L19" s="100"/>
      <c r="M19" s="96"/>
      <c r="N19" s="96">
        <f t="shared" si="1"/>
        <v>0</v>
      </c>
    </row>
    <row r="20" spans="1:14" x14ac:dyDescent="0.25">
      <c r="A20" s="95"/>
      <c r="B20" s="100"/>
      <c r="C20" s="100"/>
      <c r="D20" s="100"/>
      <c r="E20" s="96"/>
      <c r="F20" s="96"/>
      <c r="G20" s="97"/>
      <c r="H20" s="101"/>
      <c r="I20" s="95"/>
      <c r="J20" s="100"/>
      <c r="K20" s="100"/>
      <c r="L20" s="100"/>
      <c r="M20" s="96"/>
      <c r="N20" s="96">
        <f t="shared" si="1"/>
        <v>0</v>
      </c>
    </row>
    <row r="21" spans="1:14" x14ac:dyDescent="0.25">
      <c r="A21" s="95"/>
      <c r="B21" s="100"/>
      <c r="C21" s="100"/>
      <c r="D21" s="100"/>
      <c r="E21" s="96"/>
      <c r="F21" s="96"/>
      <c r="G21" s="97"/>
      <c r="H21" s="101"/>
      <c r="I21" s="95"/>
      <c r="J21" s="100"/>
      <c r="K21" s="100"/>
      <c r="L21" s="100"/>
      <c r="M21" s="96"/>
      <c r="N21" s="96">
        <f t="shared" si="1"/>
        <v>0</v>
      </c>
    </row>
    <row r="22" spans="1:14" x14ac:dyDescent="0.25">
      <c r="A22" s="95"/>
      <c r="B22" s="100"/>
      <c r="C22" s="100"/>
      <c r="D22" s="100"/>
      <c r="E22" s="96"/>
      <c r="F22" s="96"/>
      <c r="G22" s="97"/>
      <c r="H22" s="101"/>
      <c r="I22" s="95"/>
      <c r="J22" s="100"/>
      <c r="K22" s="100"/>
      <c r="L22" s="100"/>
      <c r="M22" s="96"/>
      <c r="N22" s="96">
        <f t="shared" si="1"/>
        <v>0</v>
      </c>
    </row>
    <row r="23" spans="1:14" x14ac:dyDescent="0.25">
      <c r="A23" s="95"/>
      <c r="B23" s="100"/>
      <c r="C23" s="100"/>
      <c r="D23" s="100"/>
      <c r="E23" s="96"/>
      <c r="F23" s="96"/>
      <c r="G23" s="97"/>
      <c r="H23" s="101"/>
      <c r="I23" s="95"/>
      <c r="J23" s="100"/>
      <c r="K23" s="100"/>
      <c r="L23" s="100"/>
      <c r="M23" s="96"/>
      <c r="N23" s="96">
        <f t="shared" si="1"/>
        <v>0</v>
      </c>
    </row>
    <row r="24" spans="1:14" x14ac:dyDescent="0.25">
      <c r="A24" s="95"/>
      <c r="B24" s="100"/>
      <c r="C24" s="100"/>
      <c r="D24" s="100"/>
      <c r="E24" s="96"/>
      <c r="F24" s="96"/>
      <c r="G24" s="97"/>
      <c r="H24" s="101"/>
      <c r="I24" s="95"/>
      <c r="J24" s="100"/>
      <c r="K24" s="100"/>
      <c r="L24" s="100"/>
      <c r="M24" s="96"/>
      <c r="N24" s="96">
        <f t="shared" si="1"/>
        <v>0</v>
      </c>
    </row>
    <row r="25" spans="1:14" x14ac:dyDescent="0.25">
      <c r="A25" s="95"/>
      <c r="B25" s="100"/>
      <c r="C25" s="100"/>
      <c r="D25" s="100"/>
      <c r="E25" s="96"/>
      <c r="F25" s="96"/>
      <c r="G25" s="97"/>
      <c r="H25" s="101"/>
      <c r="I25" s="95"/>
      <c r="J25" s="100"/>
      <c r="K25" s="100"/>
      <c r="L25" s="100"/>
      <c r="M25" s="96"/>
      <c r="N25" s="96">
        <f t="shared" si="1"/>
        <v>0</v>
      </c>
    </row>
    <row r="26" spans="1:14" x14ac:dyDescent="0.25">
      <c r="A26" s="95"/>
      <c r="B26" s="100"/>
      <c r="C26" s="100"/>
      <c r="D26" s="100"/>
      <c r="E26" s="96"/>
      <c r="F26" s="96"/>
      <c r="G26" s="97"/>
      <c r="H26" s="101"/>
      <c r="I26" s="95"/>
      <c r="J26" s="100"/>
      <c r="K26" s="100"/>
      <c r="L26" s="100"/>
      <c r="M26" s="96"/>
      <c r="N26" s="96">
        <f t="shared" si="1"/>
        <v>0</v>
      </c>
    </row>
    <row r="27" spans="1:14" x14ac:dyDescent="0.25">
      <c r="A27" s="95"/>
      <c r="B27" s="100"/>
      <c r="C27" s="100"/>
      <c r="D27" s="100"/>
      <c r="E27" s="96"/>
      <c r="F27" s="96"/>
      <c r="G27" s="97"/>
      <c r="H27" s="101"/>
      <c r="I27" s="95"/>
      <c r="J27" s="100"/>
      <c r="K27" s="100"/>
      <c r="L27" s="100"/>
      <c r="M27" s="96"/>
      <c r="N27" s="96">
        <f t="shared" si="1"/>
        <v>0</v>
      </c>
    </row>
    <row r="28" spans="1:14" x14ac:dyDescent="0.25">
      <c r="A28" s="95"/>
      <c r="B28" s="100"/>
      <c r="C28" s="100"/>
      <c r="D28" s="100"/>
      <c r="E28" s="96"/>
      <c r="F28" s="96"/>
      <c r="G28" s="97"/>
      <c r="H28" s="101"/>
      <c r="I28" s="95"/>
      <c r="J28" s="100"/>
      <c r="K28" s="100"/>
      <c r="L28" s="100"/>
      <c r="M28" s="96"/>
      <c r="N28" s="96">
        <f t="shared" si="1"/>
        <v>0</v>
      </c>
    </row>
    <row r="29" spans="1:14" x14ac:dyDescent="0.25">
      <c r="A29" s="95"/>
      <c r="B29" s="100"/>
      <c r="C29" s="100"/>
      <c r="D29" s="100"/>
      <c r="E29" s="96"/>
      <c r="F29" s="96"/>
      <c r="G29" s="96"/>
      <c r="H29" s="101"/>
      <c r="I29" s="95"/>
      <c r="J29" s="100"/>
      <c r="K29" s="100"/>
      <c r="L29" s="100"/>
      <c r="M29" s="96"/>
      <c r="N29" s="96">
        <f t="shared" si="1"/>
        <v>0</v>
      </c>
    </row>
    <row r="30" spans="1:14" x14ac:dyDescent="0.25">
      <c r="A30" s="95"/>
      <c r="B30" s="100"/>
      <c r="C30" s="100"/>
      <c r="D30" s="100"/>
      <c r="E30" s="96"/>
      <c r="F30" s="96"/>
      <c r="G30" s="97"/>
      <c r="H30" s="101"/>
      <c r="I30" s="95"/>
      <c r="J30" s="100"/>
      <c r="K30" s="100"/>
      <c r="L30" s="100"/>
      <c r="M30" s="96"/>
      <c r="N30" s="96">
        <f t="shared" si="1"/>
        <v>0</v>
      </c>
    </row>
    <row r="31" spans="1:14" x14ac:dyDescent="0.25">
      <c r="A31" s="95"/>
      <c r="B31" s="100"/>
      <c r="C31" s="100"/>
      <c r="D31" s="100"/>
      <c r="E31" s="96"/>
      <c r="F31" s="96"/>
      <c r="G31" s="97"/>
      <c r="H31" s="101"/>
      <c r="I31" s="95"/>
      <c r="J31" s="100"/>
      <c r="K31" s="100"/>
      <c r="L31" s="100"/>
      <c r="M31" s="96"/>
      <c r="N31" s="96">
        <f t="shared" si="1"/>
        <v>0</v>
      </c>
    </row>
    <row r="32" spans="1:14" x14ac:dyDescent="0.25">
      <c r="A32" s="95"/>
      <c r="B32" s="100"/>
      <c r="C32" s="100"/>
      <c r="D32" s="100"/>
      <c r="E32" s="96"/>
      <c r="F32" s="96"/>
      <c r="G32" s="97"/>
      <c r="H32" s="101"/>
      <c r="I32" s="95"/>
      <c r="J32" s="100"/>
      <c r="K32" s="100"/>
      <c r="L32" s="100"/>
      <c r="M32" s="96"/>
      <c r="N32" s="96">
        <f t="shared" si="1"/>
        <v>0</v>
      </c>
    </row>
    <row r="33" spans="1:14" x14ac:dyDescent="0.25">
      <c r="A33" s="95"/>
      <c r="B33" s="100"/>
      <c r="C33" s="100"/>
      <c r="D33" s="100"/>
      <c r="E33" s="96"/>
      <c r="F33" s="96"/>
      <c r="G33" s="97"/>
      <c r="H33" s="101"/>
      <c r="I33" s="95"/>
      <c r="J33" s="100"/>
      <c r="K33" s="100"/>
      <c r="L33" s="100"/>
      <c r="M33" s="96"/>
      <c r="N33" s="96">
        <f t="shared" si="1"/>
        <v>0</v>
      </c>
    </row>
    <row r="34" spans="1:14" x14ac:dyDescent="0.25">
      <c r="A34" s="95"/>
      <c r="B34" s="100"/>
      <c r="C34" s="100"/>
      <c r="D34" s="100"/>
      <c r="E34" s="96"/>
      <c r="F34" s="96"/>
      <c r="G34" s="97"/>
      <c r="H34" s="101"/>
      <c r="I34" s="95"/>
      <c r="J34" s="100"/>
      <c r="K34" s="100"/>
      <c r="L34" s="100"/>
      <c r="M34" s="96"/>
      <c r="N34" s="96">
        <f t="shared" si="1"/>
        <v>0</v>
      </c>
    </row>
    <row r="35" spans="1:14" x14ac:dyDescent="0.25">
      <c r="A35" s="95"/>
      <c r="B35" s="100"/>
      <c r="C35" s="100"/>
      <c r="D35" s="100"/>
      <c r="E35" s="96"/>
      <c r="F35" s="96"/>
      <c r="G35" s="97"/>
      <c r="H35" s="101"/>
      <c r="I35" s="95"/>
      <c r="J35" s="100"/>
      <c r="K35" s="100"/>
      <c r="L35" s="100"/>
      <c r="M35" s="96"/>
      <c r="N35" s="96">
        <f t="shared" si="1"/>
        <v>0</v>
      </c>
    </row>
    <row r="36" spans="1:14" x14ac:dyDescent="0.25">
      <c r="A36" s="95"/>
      <c r="B36" s="100"/>
      <c r="C36" s="100"/>
      <c r="D36" s="100"/>
      <c r="E36" s="96"/>
      <c r="F36" s="96"/>
      <c r="G36" s="97"/>
      <c r="H36" s="101"/>
      <c r="I36" s="95"/>
      <c r="J36" s="100"/>
      <c r="K36" s="100"/>
      <c r="L36" s="100"/>
      <c r="M36" s="96"/>
      <c r="N36" s="96">
        <f t="shared" si="1"/>
        <v>0</v>
      </c>
    </row>
    <row r="37" spans="1:14" x14ac:dyDescent="0.25">
      <c r="A37" s="95"/>
      <c r="B37" s="100"/>
      <c r="C37" s="100"/>
      <c r="D37" s="100"/>
      <c r="E37" s="96"/>
      <c r="F37" s="96"/>
      <c r="G37" s="97"/>
      <c r="H37" s="101"/>
      <c r="I37" s="95"/>
      <c r="J37" s="100"/>
      <c r="K37" s="100"/>
      <c r="L37" s="100"/>
      <c r="M37" s="96"/>
      <c r="N37" s="96">
        <f t="shared" si="1"/>
        <v>0</v>
      </c>
    </row>
    <row r="38" spans="1:14" x14ac:dyDescent="0.25">
      <c r="A38" s="95"/>
      <c r="B38" s="100"/>
      <c r="C38" s="100"/>
      <c r="D38" s="100"/>
      <c r="E38" s="96"/>
      <c r="F38" s="96"/>
      <c r="G38" s="97"/>
      <c r="H38" s="101"/>
      <c r="I38" s="95"/>
      <c r="J38" s="100"/>
      <c r="K38" s="100"/>
      <c r="L38" s="100"/>
      <c r="M38" s="96"/>
      <c r="N38" s="96">
        <f t="shared" si="1"/>
        <v>0</v>
      </c>
    </row>
    <row r="39" spans="1:14" x14ac:dyDescent="0.25">
      <c r="A39" s="95"/>
      <c r="B39" s="100"/>
      <c r="C39" s="100"/>
      <c r="D39" s="100"/>
      <c r="E39" s="96"/>
      <c r="F39" s="96"/>
      <c r="G39" s="97"/>
      <c r="H39" s="101"/>
      <c r="I39" s="95"/>
      <c r="J39" s="100"/>
      <c r="K39" s="100"/>
      <c r="L39" s="100"/>
      <c r="M39" s="96"/>
      <c r="N39" s="96">
        <f t="shared" si="1"/>
        <v>0</v>
      </c>
    </row>
    <row r="40" spans="1:14" x14ac:dyDescent="0.25">
      <c r="A40" s="95"/>
      <c r="B40" s="100"/>
      <c r="C40" s="100"/>
      <c r="D40" s="100"/>
      <c r="E40" s="96"/>
      <c r="F40" s="96"/>
      <c r="G40" s="97"/>
      <c r="H40" s="101"/>
      <c r="I40" s="95"/>
      <c r="J40" s="100"/>
      <c r="K40" s="100"/>
      <c r="L40" s="100"/>
      <c r="M40" s="96"/>
      <c r="N40" s="96">
        <f t="shared" si="1"/>
        <v>0</v>
      </c>
    </row>
    <row r="41" spans="1:14" x14ac:dyDescent="0.25">
      <c r="A41" s="95"/>
      <c r="B41" s="100"/>
      <c r="C41" s="100"/>
      <c r="D41" s="100"/>
      <c r="E41" s="96"/>
      <c r="F41" s="96"/>
      <c r="G41" s="97"/>
      <c r="H41" s="101"/>
      <c r="I41" s="95"/>
      <c r="J41" s="100"/>
      <c r="K41" s="100"/>
      <c r="L41" s="100"/>
      <c r="M41" s="96"/>
      <c r="N41" s="96">
        <f t="shared" si="1"/>
        <v>0</v>
      </c>
    </row>
    <row r="42" spans="1:14" x14ac:dyDescent="0.25">
      <c r="A42" s="95"/>
      <c r="B42" s="100"/>
      <c r="C42" s="100"/>
      <c r="D42" s="100"/>
      <c r="E42" s="96"/>
      <c r="F42" s="96"/>
      <c r="G42" s="97"/>
      <c r="H42" s="101"/>
      <c r="I42" s="95"/>
      <c r="J42" s="100"/>
      <c r="K42" s="100"/>
      <c r="L42" s="100"/>
      <c r="M42" s="96"/>
      <c r="N42" s="96">
        <f t="shared" si="1"/>
        <v>0</v>
      </c>
    </row>
    <row r="43" spans="1:14" x14ac:dyDescent="0.25">
      <c r="A43" s="95"/>
      <c r="B43" s="100"/>
      <c r="C43" s="100"/>
      <c r="D43" s="100"/>
      <c r="E43" s="96"/>
      <c r="F43" s="96"/>
      <c r="G43" s="97"/>
      <c r="H43" s="101"/>
      <c r="I43" s="95"/>
      <c r="J43" s="100"/>
      <c r="K43" s="100"/>
      <c r="L43" s="100"/>
      <c r="M43" s="96"/>
      <c r="N43" s="96">
        <f t="shared" si="1"/>
        <v>0</v>
      </c>
    </row>
    <row r="44" spans="1:14" x14ac:dyDescent="0.25">
      <c r="A44" s="95"/>
      <c r="B44" s="100"/>
      <c r="C44" s="100"/>
      <c r="D44" s="100"/>
      <c r="E44" s="96"/>
      <c r="F44" s="96"/>
      <c r="G44" s="97"/>
      <c r="H44" s="101"/>
      <c r="I44" s="95"/>
      <c r="J44" s="100"/>
      <c r="K44" s="100"/>
      <c r="L44" s="100"/>
      <c r="M44" s="96"/>
      <c r="N44" s="96">
        <f t="shared" si="1"/>
        <v>0</v>
      </c>
    </row>
    <row r="45" spans="1:14" x14ac:dyDescent="0.25">
      <c r="A45" s="95"/>
      <c r="B45" s="100"/>
      <c r="C45" s="100"/>
      <c r="D45" s="100"/>
      <c r="E45" s="96"/>
      <c r="F45" s="96"/>
      <c r="G45" s="97"/>
      <c r="H45" s="101"/>
      <c r="I45" s="95"/>
      <c r="J45" s="100"/>
      <c r="K45" s="100"/>
      <c r="L45" s="100"/>
      <c r="M45" s="96"/>
      <c r="N45" s="96">
        <f t="shared" si="1"/>
        <v>0</v>
      </c>
    </row>
    <row r="46" spans="1:14" x14ac:dyDescent="0.25">
      <c r="A46" s="95"/>
      <c r="B46" s="100"/>
      <c r="C46" s="100"/>
      <c r="D46" s="100"/>
      <c r="E46" s="96"/>
      <c r="F46" s="96"/>
      <c r="G46" s="97"/>
      <c r="H46" s="101"/>
      <c r="I46" s="95"/>
      <c r="J46" s="100"/>
      <c r="K46" s="100"/>
      <c r="L46" s="100"/>
      <c r="M46" s="96"/>
      <c r="N46" s="96">
        <f t="shared" si="1"/>
        <v>0</v>
      </c>
    </row>
    <row r="47" spans="1:14" x14ac:dyDescent="0.25">
      <c r="A47" s="95"/>
      <c r="B47" s="100"/>
      <c r="C47" s="100"/>
      <c r="D47" s="100"/>
      <c r="E47" s="96"/>
      <c r="F47" s="96"/>
      <c r="G47" s="97"/>
      <c r="H47" s="101"/>
      <c r="I47" s="95"/>
      <c r="J47" s="100"/>
      <c r="K47" s="100"/>
      <c r="L47" s="100"/>
      <c r="M47" s="96"/>
      <c r="N47" s="96">
        <f t="shared" si="1"/>
        <v>0</v>
      </c>
    </row>
    <row r="48" spans="1:14" x14ac:dyDescent="0.25">
      <c r="A48" s="95"/>
      <c r="B48" s="100"/>
      <c r="C48" s="100"/>
      <c r="D48" s="100"/>
      <c r="E48" s="96"/>
      <c r="F48" s="96"/>
      <c r="G48" s="97"/>
      <c r="H48" s="101"/>
      <c r="I48" s="95"/>
      <c r="J48" s="100"/>
      <c r="K48" s="100"/>
      <c r="L48" s="100"/>
      <c r="M48" s="96"/>
      <c r="N48" s="96">
        <f t="shared" si="1"/>
        <v>0</v>
      </c>
    </row>
    <row r="49" spans="1:14" x14ac:dyDescent="0.25">
      <c r="A49" s="95"/>
      <c r="B49" s="100"/>
      <c r="C49" s="100"/>
      <c r="D49" s="100"/>
      <c r="E49" s="96"/>
      <c r="F49" s="96"/>
      <c r="G49" s="97"/>
      <c r="H49" s="101"/>
      <c r="I49" s="95"/>
      <c r="J49" s="100"/>
      <c r="K49" s="100"/>
      <c r="L49" s="100"/>
      <c r="M49" s="96"/>
      <c r="N49" s="96">
        <f t="shared" si="1"/>
        <v>0</v>
      </c>
    </row>
    <row r="50" spans="1:14" x14ac:dyDescent="0.25">
      <c r="A50" s="95"/>
      <c r="B50" s="100"/>
      <c r="C50" s="100"/>
      <c r="D50" s="100"/>
      <c r="E50" s="96"/>
      <c r="F50" s="96"/>
      <c r="G50" s="97"/>
      <c r="H50" s="95"/>
      <c r="I50" s="95"/>
      <c r="J50" s="100"/>
      <c r="K50" s="100"/>
      <c r="L50" s="100"/>
      <c r="M50" s="96"/>
      <c r="N50" s="96">
        <f t="shared" si="1"/>
        <v>0</v>
      </c>
    </row>
    <row r="51" spans="1:14" x14ac:dyDescent="0.25">
      <c r="A51" s="95"/>
      <c r="B51" s="100"/>
      <c r="C51" s="100"/>
      <c r="D51" s="100"/>
      <c r="E51" s="96"/>
      <c r="F51" s="96"/>
      <c r="G51" s="97"/>
      <c r="H51" s="95"/>
      <c r="I51" s="95"/>
      <c r="J51" s="100"/>
      <c r="K51" s="100"/>
      <c r="L51" s="100"/>
      <c r="M51" s="96"/>
      <c r="N51" s="96">
        <f t="shared" si="1"/>
        <v>0</v>
      </c>
    </row>
    <row r="52" spans="1:14" s="162" customFormat="1" x14ac:dyDescent="0.25">
      <c r="A52" s="158"/>
      <c r="B52" s="159">
        <f>SUM(B3:B51)</f>
        <v>290000</v>
      </c>
      <c r="C52" s="159">
        <f t="shared" ref="C52:D52" si="2">SUM(C3:C51)</f>
        <v>290000</v>
      </c>
      <c r="D52" s="159">
        <f t="shared" si="2"/>
        <v>0</v>
      </c>
      <c r="E52" s="160"/>
      <c r="F52" s="160"/>
      <c r="G52" s="161"/>
      <c r="H52" s="158"/>
      <c r="I52" s="158"/>
      <c r="J52" s="159">
        <f>SUM(J3:J51)</f>
        <v>290000</v>
      </c>
      <c r="K52" s="159">
        <f t="shared" ref="K52:L52" si="3">SUM(K3:K51)</f>
        <v>290000</v>
      </c>
      <c r="L52" s="159">
        <f t="shared" si="3"/>
        <v>0</v>
      </c>
      <c r="M52" s="160"/>
      <c r="N52" s="16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61"/>
  <sheetViews>
    <sheetView zoomScale="90" zoomScaleNormal="90" workbookViewId="0">
      <pane ySplit="1" topLeftCell="A34" activePane="bottomLeft" state="frozen"/>
      <selection pane="bottomLeft" activeCell="X57" sqref="X57:X58"/>
    </sheetView>
  </sheetViews>
  <sheetFormatPr defaultColWidth="8.85546875" defaultRowHeight="15.75" x14ac:dyDescent="0.25"/>
  <cols>
    <col min="1" max="1" width="12" style="98" customWidth="1"/>
    <col min="2" max="2" width="10.7109375" style="98" customWidth="1"/>
    <col min="3" max="3" width="12.28515625" style="98" customWidth="1"/>
    <col min="4" max="4" width="10.140625" style="98" customWidth="1"/>
    <col min="5" max="6" width="9.7109375" style="98" customWidth="1"/>
    <col min="7" max="8" width="10.85546875" style="98" customWidth="1"/>
    <col min="9" max="10" width="9.7109375" style="98" customWidth="1"/>
    <col min="11" max="11" width="10.5703125" style="102" customWidth="1"/>
    <col min="12" max="12" width="14.42578125" style="102" bestFit="1" customWidth="1"/>
    <col min="13" max="13" width="4.140625" style="102" customWidth="1"/>
    <col min="14" max="14" width="10.42578125" style="98" customWidth="1"/>
    <col min="15" max="15" width="9.7109375" style="98" customWidth="1"/>
    <col min="16" max="16" width="11.28515625" style="98" customWidth="1"/>
    <col min="17" max="17" width="9.7109375" style="98" customWidth="1"/>
    <col min="18" max="18" width="9.28515625" style="98" customWidth="1"/>
    <col min="19" max="19" width="10.85546875" style="98" customWidth="1"/>
    <col min="20" max="23" width="11.7109375" style="98" customWidth="1"/>
    <col min="24" max="24" width="10.5703125" style="102" customWidth="1"/>
    <col min="25" max="25" width="14.42578125" style="115" bestFit="1" customWidth="1"/>
    <col min="26" max="26" width="2.140625" style="98" customWidth="1"/>
    <col min="27" max="27" width="14.42578125" style="98" bestFit="1" customWidth="1"/>
    <col min="28" max="28" width="13.140625" style="98" customWidth="1"/>
    <col min="29" max="29" width="12.7109375" style="98" bestFit="1" customWidth="1"/>
    <col min="30" max="31" width="12.85546875" style="98" customWidth="1"/>
    <col min="32" max="32" width="12.7109375" style="98" bestFit="1" customWidth="1"/>
    <col min="33" max="33" width="9.42578125" style="98" customWidth="1"/>
    <col min="34" max="34" width="11.85546875" style="98" bestFit="1" customWidth="1"/>
    <col min="35" max="35" width="13" style="98" customWidth="1"/>
    <col min="36" max="16384" width="8.85546875" style="98"/>
  </cols>
  <sheetData>
    <row r="1" spans="1:35" s="93" customFormat="1" ht="121.5" x14ac:dyDescent="0.25">
      <c r="A1" s="90" t="s">
        <v>60</v>
      </c>
      <c r="B1" s="103" t="s">
        <v>79</v>
      </c>
      <c r="C1" s="103" t="s">
        <v>80</v>
      </c>
      <c r="D1" s="103" t="s">
        <v>81</v>
      </c>
      <c r="E1" s="103" t="s">
        <v>82</v>
      </c>
      <c r="F1" s="145" t="s">
        <v>83</v>
      </c>
      <c r="G1" s="145" t="s">
        <v>84</v>
      </c>
      <c r="H1" s="145" t="s">
        <v>26</v>
      </c>
      <c r="I1" s="145" t="s">
        <v>27</v>
      </c>
      <c r="J1" s="145" t="s">
        <v>31</v>
      </c>
      <c r="K1" s="91" t="s">
        <v>85</v>
      </c>
      <c r="L1" s="91" t="s">
        <v>62</v>
      </c>
      <c r="M1" s="91"/>
      <c r="N1" s="90" t="s">
        <v>63</v>
      </c>
      <c r="O1" s="103" t="s">
        <v>79</v>
      </c>
      <c r="P1" s="103" t="s">
        <v>80</v>
      </c>
      <c r="Q1" s="103" t="s">
        <v>81</v>
      </c>
      <c r="R1" s="103" t="s">
        <v>86</v>
      </c>
      <c r="S1" s="145" t="s">
        <v>83</v>
      </c>
      <c r="T1" s="145" t="s">
        <v>84</v>
      </c>
      <c r="U1" s="145" t="s">
        <v>26</v>
      </c>
      <c r="V1" s="145" t="s">
        <v>27</v>
      </c>
      <c r="W1" s="145" t="s">
        <v>31</v>
      </c>
      <c r="X1" s="91" t="s">
        <v>61</v>
      </c>
      <c r="Y1" s="113" t="s">
        <v>62</v>
      </c>
      <c r="Z1" s="92"/>
      <c r="AA1" s="90" t="s">
        <v>79</v>
      </c>
      <c r="AB1" s="90" t="s">
        <v>80</v>
      </c>
      <c r="AC1" s="90" t="s">
        <v>81</v>
      </c>
      <c r="AD1" s="90" t="s">
        <v>82</v>
      </c>
      <c r="AE1" s="145" t="s">
        <v>83</v>
      </c>
      <c r="AF1" s="145" t="s">
        <v>84</v>
      </c>
      <c r="AG1" s="145" t="s">
        <v>26</v>
      </c>
      <c r="AH1" s="145" t="s">
        <v>27</v>
      </c>
      <c r="AI1" s="145" t="s">
        <v>31</v>
      </c>
    </row>
    <row r="2" spans="1:35" x14ac:dyDescent="0.25">
      <c r="A2" s="94" t="s">
        <v>65</v>
      </c>
      <c r="B2" s="95"/>
      <c r="C2" s="95"/>
      <c r="D2" s="95"/>
      <c r="E2" s="95"/>
      <c r="F2" s="95"/>
      <c r="G2" s="95"/>
      <c r="H2" s="95"/>
      <c r="I2" s="95"/>
      <c r="J2" s="95"/>
      <c r="K2" s="96"/>
      <c r="L2" s="96"/>
      <c r="M2" s="97"/>
      <c r="N2" s="94" t="s">
        <v>65</v>
      </c>
      <c r="O2" s="95"/>
      <c r="P2" s="95"/>
      <c r="Q2" s="95"/>
      <c r="R2" s="95"/>
      <c r="S2" s="95"/>
      <c r="T2" s="95"/>
      <c r="U2" s="95"/>
      <c r="V2" s="95"/>
      <c r="W2" s="95"/>
      <c r="X2" s="96"/>
      <c r="Y2" s="114"/>
      <c r="AA2" s="237">
        <f t="shared" ref="AA2:AI2" si="0">0+B61-O61</f>
        <v>210.2</v>
      </c>
      <c r="AB2" s="237">
        <f t="shared" si="0"/>
        <v>204.85</v>
      </c>
      <c r="AC2" s="237">
        <f t="shared" si="0"/>
        <v>222.25</v>
      </c>
      <c r="AD2" s="237">
        <f t="shared" si="0"/>
        <v>222.9</v>
      </c>
      <c r="AE2" s="237">
        <f t="shared" si="0"/>
        <v>-181.85999999999996</v>
      </c>
      <c r="AF2" s="237">
        <f t="shared" si="0"/>
        <v>266</v>
      </c>
      <c r="AG2" s="237">
        <f t="shared" si="0"/>
        <v>0</v>
      </c>
      <c r="AH2" s="237">
        <f t="shared" si="0"/>
        <v>25.449999999999989</v>
      </c>
      <c r="AI2" s="237">
        <f t="shared" si="0"/>
        <v>434.12</v>
      </c>
    </row>
    <row r="3" spans="1:35" x14ac:dyDescent="0.25">
      <c r="A3" s="101">
        <v>45551</v>
      </c>
      <c r="B3" s="100">
        <v>224.7</v>
      </c>
      <c r="C3" s="100">
        <v>228.35</v>
      </c>
      <c r="D3" s="100">
        <v>224.75</v>
      </c>
      <c r="E3" s="100">
        <v>225.4</v>
      </c>
      <c r="F3" s="100"/>
      <c r="G3" s="100"/>
      <c r="H3" s="100"/>
      <c r="I3" s="100"/>
      <c r="J3" s="100"/>
      <c r="K3" s="104">
        <v>605</v>
      </c>
      <c r="L3" s="96">
        <f>B3*K3+C3*K3+D3*K3+E3*K3+F3*K3+G3*K3+H3*K3+I3*K3+J3*K3</f>
        <v>546436</v>
      </c>
      <c r="M3" s="97"/>
      <c r="N3" s="112" t="s">
        <v>87</v>
      </c>
      <c r="O3" s="100"/>
      <c r="P3" s="100">
        <v>1.5</v>
      </c>
      <c r="Q3" s="100">
        <v>1.5</v>
      </c>
      <c r="R3" s="100">
        <v>1.5</v>
      </c>
      <c r="S3" s="100"/>
      <c r="T3" s="100"/>
      <c r="U3" s="100"/>
      <c r="V3" s="100"/>
      <c r="W3" s="100"/>
      <c r="X3" s="96">
        <v>605</v>
      </c>
      <c r="Y3" s="114">
        <f>O3*X3+P3*X3+Q3*X3+R3*X3+S3*X3+T3*T3+U3*X3+V3*X3+W3*X3</f>
        <v>2722.5</v>
      </c>
      <c r="AA3" s="104">
        <v>605</v>
      </c>
      <c r="AB3" s="96">
        <v>605</v>
      </c>
      <c r="AC3" s="96">
        <v>605</v>
      </c>
      <c r="AD3" s="96">
        <v>605</v>
      </c>
      <c r="AE3" s="96">
        <v>682</v>
      </c>
      <c r="AF3" s="96">
        <v>692</v>
      </c>
      <c r="AG3" s="96">
        <v>414</v>
      </c>
      <c r="AH3" s="96">
        <v>414</v>
      </c>
      <c r="AI3" s="96">
        <v>625</v>
      </c>
    </row>
    <row r="4" spans="1:35" x14ac:dyDescent="0.25">
      <c r="A4" s="101">
        <v>45645</v>
      </c>
      <c r="B4" s="100"/>
      <c r="C4" s="100"/>
      <c r="D4" s="100"/>
      <c r="E4" s="100"/>
      <c r="F4" s="100">
        <v>229.2</v>
      </c>
      <c r="G4" s="100"/>
      <c r="H4" s="100"/>
      <c r="I4" s="100"/>
      <c r="J4" s="100"/>
      <c r="K4" s="96">
        <v>682</v>
      </c>
      <c r="L4" s="96">
        <f t="shared" ref="L4:L60" si="1">B4*K4+C4*K4+D4*K4+E4*K4+F4*K4+G4*K4+H4*K4+I4*K4+J4*K4</f>
        <v>156314.4</v>
      </c>
      <c r="M4" s="97"/>
      <c r="N4" s="95" t="s">
        <v>88</v>
      </c>
      <c r="O4" s="100"/>
      <c r="P4" s="100">
        <v>15</v>
      </c>
      <c r="Q4" s="100"/>
      <c r="R4" s="100"/>
      <c r="S4" s="100"/>
      <c r="T4" s="100"/>
      <c r="U4" s="100"/>
      <c r="V4" s="100"/>
      <c r="W4" s="100"/>
      <c r="X4" s="96">
        <v>605</v>
      </c>
      <c r="Y4" s="114">
        <f t="shared" ref="Y4:Y60" si="2">O4*X4+P4*X4+Q4*X4+R4*X4+S4*X4+T4*T4+U4*X4+V4*X4+W4*X4</f>
        <v>9075</v>
      </c>
      <c r="AA4" s="96">
        <f>AA2*AA3</f>
        <v>127171</v>
      </c>
      <c r="AB4" s="96">
        <f t="shared" ref="AB4:AI4" si="3">AB2*AB3</f>
        <v>123934.25</v>
      </c>
      <c r="AC4" s="96">
        <f t="shared" si="3"/>
        <v>134461.25</v>
      </c>
      <c r="AD4" s="96">
        <f t="shared" si="3"/>
        <v>134854.5</v>
      </c>
      <c r="AE4" s="96">
        <f t="shared" si="3"/>
        <v>-124028.51999999997</v>
      </c>
      <c r="AF4" s="96">
        <f t="shared" si="3"/>
        <v>184072</v>
      </c>
      <c r="AG4" s="96">
        <f t="shared" si="3"/>
        <v>0</v>
      </c>
      <c r="AH4" s="96">
        <f t="shared" si="3"/>
        <v>10536.299999999996</v>
      </c>
      <c r="AI4" s="96">
        <f t="shared" si="3"/>
        <v>271325</v>
      </c>
    </row>
    <row r="5" spans="1:35" x14ac:dyDescent="0.25">
      <c r="A5" s="95"/>
      <c r="B5" s="100"/>
      <c r="C5" s="100"/>
      <c r="D5" s="100"/>
      <c r="E5" s="100"/>
      <c r="F5" s="100"/>
      <c r="G5" s="100">
        <v>266</v>
      </c>
      <c r="H5" s="100"/>
      <c r="I5" s="100"/>
      <c r="J5" s="100"/>
      <c r="K5" s="96">
        <v>692</v>
      </c>
      <c r="L5" s="96">
        <f t="shared" si="1"/>
        <v>184072</v>
      </c>
      <c r="M5" s="97"/>
      <c r="N5" s="146">
        <v>45651</v>
      </c>
      <c r="O5" s="100"/>
      <c r="P5" s="100"/>
      <c r="Q5" s="100"/>
      <c r="R5" s="100"/>
      <c r="S5" s="100">
        <v>0.2</v>
      </c>
      <c r="T5" s="100"/>
      <c r="U5" s="100"/>
      <c r="V5" s="100"/>
      <c r="W5" s="100"/>
      <c r="X5" s="96">
        <v>682</v>
      </c>
      <c r="Y5" s="114">
        <f t="shared" si="2"/>
        <v>136.4</v>
      </c>
    </row>
    <row r="6" spans="1:35" x14ac:dyDescent="0.25">
      <c r="A6" s="95"/>
      <c r="B6" s="100"/>
      <c r="C6" s="100"/>
      <c r="D6" s="100"/>
      <c r="E6" s="100"/>
      <c r="F6" s="100"/>
      <c r="G6" s="100"/>
      <c r="H6" s="100"/>
      <c r="I6" s="100"/>
      <c r="J6" s="100"/>
      <c r="K6" s="96"/>
      <c r="L6" s="96">
        <f t="shared" si="1"/>
        <v>0</v>
      </c>
      <c r="M6" s="97"/>
      <c r="N6" s="146">
        <v>45652</v>
      </c>
      <c r="O6" s="100"/>
      <c r="P6" s="100"/>
      <c r="Q6" s="100"/>
      <c r="R6" s="100"/>
      <c r="S6" s="100">
        <v>0.2</v>
      </c>
      <c r="T6" s="100"/>
      <c r="U6" s="100"/>
      <c r="V6" s="100"/>
      <c r="W6" s="100"/>
      <c r="X6" s="96">
        <v>682</v>
      </c>
      <c r="Y6" s="114">
        <f t="shared" si="2"/>
        <v>136.4</v>
      </c>
    </row>
    <row r="7" spans="1:35" x14ac:dyDescent="0.25">
      <c r="A7" s="95"/>
      <c r="B7" s="100"/>
      <c r="C7" s="100"/>
      <c r="D7" s="100"/>
      <c r="E7" s="100"/>
      <c r="F7" s="100"/>
      <c r="G7" s="100"/>
      <c r="H7" s="100"/>
      <c r="I7" s="100"/>
      <c r="J7" s="100"/>
      <c r="K7" s="96"/>
      <c r="L7" s="96">
        <f t="shared" si="1"/>
        <v>0</v>
      </c>
      <c r="M7" s="97"/>
      <c r="N7" s="146">
        <v>45653</v>
      </c>
      <c r="O7" s="100"/>
      <c r="P7" s="100"/>
      <c r="Q7" s="100"/>
      <c r="R7" s="100"/>
      <c r="S7" s="100">
        <v>0.2</v>
      </c>
      <c r="T7" s="100"/>
      <c r="U7" s="100"/>
      <c r="V7" s="100"/>
      <c r="W7" s="100"/>
      <c r="X7" s="96">
        <v>682</v>
      </c>
      <c r="Y7" s="114">
        <f t="shared" si="2"/>
        <v>136.4</v>
      </c>
    </row>
    <row r="8" spans="1:35" x14ac:dyDescent="0.25">
      <c r="A8" s="147"/>
      <c r="B8" s="148"/>
      <c r="C8" s="148"/>
      <c r="D8" s="148"/>
      <c r="E8" s="148"/>
      <c r="F8" s="148"/>
      <c r="G8" s="148"/>
      <c r="H8" s="148"/>
      <c r="I8" s="148"/>
      <c r="J8" s="148"/>
      <c r="K8" s="149"/>
      <c r="L8" s="96">
        <f t="shared" si="1"/>
        <v>0</v>
      </c>
      <c r="M8" s="149"/>
      <c r="N8" s="147"/>
      <c r="O8" s="148"/>
      <c r="P8" s="148"/>
      <c r="Q8" s="148"/>
      <c r="R8" s="148"/>
      <c r="S8" s="148"/>
      <c r="T8" s="148"/>
      <c r="U8" s="148"/>
      <c r="V8" s="148"/>
      <c r="W8" s="148"/>
      <c r="X8" s="149"/>
      <c r="Y8" s="114">
        <f t="shared" si="2"/>
        <v>0</v>
      </c>
    </row>
    <row r="9" spans="1:35" x14ac:dyDescent="0.25">
      <c r="A9" s="95"/>
      <c r="B9" s="100"/>
      <c r="C9" s="100"/>
      <c r="D9" s="100"/>
      <c r="E9" s="100"/>
      <c r="F9" s="100"/>
      <c r="G9" s="100"/>
      <c r="H9" s="100"/>
      <c r="I9" s="100"/>
      <c r="J9" s="100"/>
      <c r="K9" s="96"/>
      <c r="L9" s="96">
        <f t="shared" si="1"/>
        <v>0</v>
      </c>
      <c r="M9" s="97"/>
      <c r="N9" s="101">
        <v>45666</v>
      </c>
      <c r="O9" s="100"/>
      <c r="P9" s="100">
        <v>3</v>
      </c>
      <c r="Q9" s="100"/>
      <c r="R9" s="100"/>
      <c r="S9" s="100"/>
      <c r="T9" s="100"/>
      <c r="U9" s="100"/>
      <c r="V9" s="100"/>
      <c r="W9" s="100"/>
      <c r="X9" s="96">
        <v>605</v>
      </c>
      <c r="Y9" s="114">
        <f t="shared" si="2"/>
        <v>1815</v>
      </c>
    </row>
    <row r="10" spans="1:35" x14ac:dyDescent="0.25">
      <c r="A10" s="95"/>
      <c r="B10" s="100"/>
      <c r="C10" s="100"/>
      <c r="D10" s="100"/>
      <c r="E10" s="100"/>
      <c r="F10" s="100"/>
      <c r="G10" s="100"/>
      <c r="H10" s="100"/>
      <c r="I10" s="100"/>
      <c r="J10" s="100"/>
      <c r="K10" s="96"/>
      <c r="L10" s="96">
        <f t="shared" si="1"/>
        <v>0</v>
      </c>
      <c r="M10" s="97"/>
      <c r="N10" s="95"/>
      <c r="O10" s="100"/>
      <c r="P10" s="100"/>
      <c r="Q10" s="100"/>
      <c r="R10" s="100"/>
      <c r="S10" s="100">
        <v>0.2</v>
      </c>
      <c r="T10" s="100"/>
      <c r="U10" s="100"/>
      <c r="V10" s="100"/>
      <c r="W10" s="100"/>
      <c r="X10" s="96">
        <v>682</v>
      </c>
      <c r="Y10" s="114">
        <f t="shared" si="2"/>
        <v>136.4</v>
      </c>
    </row>
    <row r="11" spans="1:35" x14ac:dyDescent="0.25">
      <c r="A11" s="95"/>
      <c r="B11" s="100"/>
      <c r="C11" s="100"/>
      <c r="D11" s="100"/>
      <c r="E11" s="100"/>
      <c r="F11" s="100"/>
      <c r="G11" s="100"/>
      <c r="H11" s="100"/>
      <c r="I11" s="100"/>
      <c r="J11" s="100"/>
      <c r="K11" s="96"/>
      <c r="L11" s="96">
        <f t="shared" si="1"/>
        <v>0</v>
      </c>
      <c r="M11" s="97"/>
      <c r="N11" s="101">
        <v>45667</v>
      </c>
      <c r="O11" s="100"/>
      <c r="P11" s="100">
        <v>3</v>
      </c>
      <c r="Q11" s="100"/>
      <c r="R11" s="100"/>
      <c r="S11" s="100"/>
      <c r="T11" s="100"/>
      <c r="U11" s="100"/>
      <c r="V11" s="100"/>
      <c r="W11" s="100"/>
      <c r="X11" s="96">
        <v>605</v>
      </c>
      <c r="Y11" s="114">
        <f t="shared" si="2"/>
        <v>1815</v>
      </c>
    </row>
    <row r="12" spans="1:35" x14ac:dyDescent="0.25">
      <c r="A12" s="95"/>
      <c r="B12" s="100"/>
      <c r="C12" s="100"/>
      <c r="D12" s="100"/>
      <c r="E12" s="100"/>
      <c r="F12" s="100"/>
      <c r="G12" s="100"/>
      <c r="H12" s="100"/>
      <c r="I12" s="100"/>
      <c r="J12" s="100"/>
      <c r="K12" s="96"/>
      <c r="L12" s="96">
        <f t="shared" si="1"/>
        <v>0</v>
      </c>
      <c r="M12" s="97"/>
      <c r="N12" s="101">
        <v>45681</v>
      </c>
      <c r="O12" s="100">
        <v>1</v>
      </c>
      <c r="P12" s="100">
        <v>1</v>
      </c>
      <c r="Q12" s="100">
        <v>1</v>
      </c>
      <c r="R12" s="100">
        <v>1</v>
      </c>
      <c r="S12" s="100"/>
      <c r="T12" s="100"/>
      <c r="U12" s="100"/>
      <c r="V12" s="100"/>
      <c r="W12" s="100"/>
      <c r="X12" s="96">
        <v>605</v>
      </c>
      <c r="Y12" s="114">
        <f t="shared" si="2"/>
        <v>2420</v>
      </c>
    </row>
    <row r="13" spans="1:35" x14ac:dyDescent="0.25">
      <c r="A13" s="95"/>
      <c r="B13" s="100"/>
      <c r="C13" s="100"/>
      <c r="D13" s="100"/>
      <c r="E13" s="100"/>
      <c r="F13" s="100"/>
      <c r="G13" s="100"/>
      <c r="H13" s="100"/>
      <c r="I13" s="100"/>
      <c r="J13" s="100"/>
      <c r="K13" s="96"/>
      <c r="L13" s="96">
        <f t="shared" si="1"/>
        <v>0</v>
      </c>
      <c r="M13" s="97"/>
      <c r="N13" s="101">
        <v>45684</v>
      </c>
      <c r="O13" s="100"/>
      <c r="P13" s="100"/>
      <c r="Q13" s="100"/>
      <c r="R13" s="100"/>
      <c r="S13" s="100">
        <v>0.2</v>
      </c>
      <c r="T13" s="100"/>
      <c r="U13" s="100"/>
      <c r="V13" s="100"/>
      <c r="W13" s="100"/>
      <c r="X13" s="96">
        <v>682</v>
      </c>
      <c r="Y13" s="114">
        <f t="shared" si="2"/>
        <v>136.4</v>
      </c>
    </row>
    <row r="14" spans="1:35" x14ac:dyDescent="0.25">
      <c r="A14" s="101">
        <v>45687</v>
      </c>
      <c r="B14" s="100"/>
      <c r="C14" s="100"/>
      <c r="D14" s="100"/>
      <c r="E14" s="100"/>
      <c r="F14" s="100"/>
      <c r="G14" s="100"/>
      <c r="H14" s="100">
        <v>314.8</v>
      </c>
      <c r="I14" s="100"/>
      <c r="J14" s="100"/>
      <c r="K14" s="96">
        <v>414</v>
      </c>
      <c r="L14" s="96">
        <f t="shared" si="1"/>
        <v>130327.20000000001</v>
      </c>
      <c r="M14" s="97"/>
      <c r="N14" s="101">
        <v>45687</v>
      </c>
      <c r="O14" s="100"/>
      <c r="P14" s="100"/>
      <c r="Q14" s="100"/>
      <c r="R14" s="100"/>
      <c r="S14" s="100"/>
      <c r="T14" s="100"/>
      <c r="U14" s="100">
        <v>14.1</v>
      </c>
      <c r="V14" s="100"/>
      <c r="W14" s="100"/>
      <c r="X14" s="96">
        <v>414</v>
      </c>
      <c r="Y14" s="114">
        <f t="shared" si="2"/>
        <v>5837.4</v>
      </c>
    </row>
    <row r="15" spans="1:35" x14ac:dyDescent="0.25">
      <c r="A15" s="95"/>
      <c r="B15" s="100"/>
      <c r="C15" s="100"/>
      <c r="D15" s="100"/>
      <c r="E15" s="100"/>
      <c r="F15" s="100"/>
      <c r="G15" s="100"/>
      <c r="H15" s="100"/>
      <c r="I15" s="100">
        <v>170.3</v>
      </c>
      <c r="J15" s="100"/>
      <c r="K15" s="96">
        <v>414</v>
      </c>
      <c r="L15" s="96">
        <f t="shared" si="1"/>
        <v>70504.200000000012</v>
      </c>
      <c r="M15" s="97"/>
      <c r="N15" s="101">
        <v>45688</v>
      </c>
      <c r="O15" s="100"/>
      <c r="P15" s="100"/>
      <c r="Q15" s="100"/>
      <c r="R15" s="100"/>
      <c r="S15" s="100"/>
      <c r="T15" s="100"/>
      <c r="U15" s="100">
        <v>14.1</v>
      </c>
      <c r="V15" s="100"/>
      <c r="W15" s="100"/>
      <c r="X15" s="96">
        <v>414</v>
      </c>
      <c r="Y15" s="114">
        <f t="shared" si="2"/>
        <v>5837.4</v>
      </c>
    </row>
    <row r="16" spans="1:35" x14ac:dyDescent="0.25">
      <c r="A16" s="95"/>
      <c r="B16" s="100"/>
      <c r="C16" s="100"/>
      <c r="D16" s="100"/>
      <c r="E16" s="100"/>
      <c r="F16" s="100"/>
      <c r="G16" s="100"/>
      <c r="H16" s="100"/>
      <c r="I16" s="100"/>
      <c r="J16" s="100"/>
      <c r="K16" s="96"/>
      <c r="L16" s="96">
        <f t="shared" si="1"/>
        <v>0</v>
      </c>
      <c r="M16" s="97"/>
      <c r="N16" s="150">
        <v>45691</v>
      </c>
      <c r="O16" s="100"/>
      <c r="P16" s="100"/>
      <c r="Q16" s="100"/>
      <c r="R16" s="100"/>
      <c r="S16" s="100"/>
      <c r="T16" s="100"/>
      <c r="U16" s="100">
        <v>14.1</v>
      </c>
      <c r="V16" s="100"/>
      <c r="W16" s="100"/>
      <c r="X16" s="96">
        <v>414</v>
      </c>
      <c r="Y16" s="114">
        <f t="shared" si="2"/>
        <v>5837.4</v>
      </c>
    </row>
    <row r="17" spans="1:25" x14ac:dyDescent="0.25">
      <c r="A17" s="95"/>
      <c r="B17" s="100"/>
      <c r="C17" s="100"/>
      <c r="D17" s="100"/>
      <c r="E17" s="100"/>
      <c r="F17" s="100"/>
      <c r="G17" s="100"/>
      <c r="H17" s="100"/>
      <c r="I17" s="100"/>
      <c r="J17" s="100"/>
      <c r="K17" s="96"/>
      <c r="L17" s="96">
        <f t="shared" si="1"/>
        <v>0</v>
      </c>
      <c r="M17" s="97"/>
      <c r="N17" s="101"/>
      <c r="O17" s="100"/>
      <c r="P17" s="100"/>
      <c r="Q17" s="100"/>
      <c r="R17" s="100"/>
      <c r="S17" s="100"/>
      <c r="T17" s="100"/>
      <c r="U17" s="100">
        <v>31</v>
      </c>
      <c r="V17" s="100">
        <v>22.45</v>
      </c>
      <c r="W17" s="100"/>
      <c r="X17" s="96">
        <v>414</v>
      </c>
      <c r="Y17" s="114">
        <f t="shared" si="2"/>
        <v>22128.3</v>
      </c>
    </row>
    <row r="18" spans="1:25" x14ac:dyDescent="0.25">
      <c r="A18" s="95"/>
      <c r="B18" s="100"/>
      <c r="C18" s="100"/>
      <c r="D18" s="100"/>
      <c r="E18" s="100"/>
      <c r="F18" s="100"/>
      <c r="G18" s="100"/>
      <c r="H18" s="100"/>
      <c r="I18" s="100"/>
      <c r="J18" s="100"/>
      <c r="K18" s="96"/>
      <c r="L18" s="96">
        <f t="shared" si="1"/>
        <v>0</v>
      </c>
      <c r="M18" s="97"/>
      <c r="N18" s="101">
        <v>45695</v>
      </c>
      <c r="O18" s="100"/>
      <c r="P18" s="100"/>
      <c r="Q18" s="100"/>
      <c r="R18" s="100"/>
      <c r="S18" s="100"/>
      <c r="T18" s="100"/>
      <c r="U18" s="100">
        <v>15</v>
      </c>
      <c r="V18" s="100"/>
      <c r="W18" s="100"/>
      <c r="X18" s="96">
        <v>414</v>
      </c>
      <c r="Y18" s="114">
        <f t="shared" si="2"/>
        <v>6210</v>
      </c>
    </row>
    <row r="19" spans="1:25" x14ac:dyDescent="0.25">
      <c r="A19" s="95"/>
      <c r="B19" s="100"/>
      <c r="C19" s="100"/>
      <c r="D19" s="100"/>
      <c r="E19" s="100"/>
      <c r="F19" s="100"/>
      <c r="G19" s="100"/>
      <c r="H19" s="100"/>
      <c r="I19" s="100"/>
      <c r="J19" s="100"/>
      <c r="K19" s="96"/>
      <c r="L19" s="96">
        <f t="shared" si="1"/>
        <v>0</v>
      </c>
      <c r="M19" s="97"/>
      <c r="N19" s="101">
        <v>45698</v>
      </c>
      <c r="O19" s="100"/>
      <c r="P19" s="100"/>
      <c r="Q19" s="100"/>
      <c r="R19" s="100"/>
      <c r="S19" s="100"/>
      <c r="T19" s="100"/>
      <c r="U19" s="100">
        <v>22.4</v>
      </c>
      <c r="V19" s="100">
        <v>15</v>
      </c>
      <c r="W19" s="100"/>
      <c r="X19" s="96">
        <v>414</v>
      </c>
      <c r="Y19" s="114">
        <f t="shared" si="2"/>
        <v>15483.599999999999</v>
      </c>
    </row>
    <row r="20" spans="1:25" x14ac:dyDescent="0.25">
      <c r="A20" s="95"/>
      <c r="B20" s="100"/>
      <c r="C20" s="100"/>
      <c r="D20" s="100"/>
      <c r="E20" s="100"/>
      <c r="F20" s="100"/>
      <c r="G20" s="100"/>
      <c r="H20" s="100"/>
      <c r="I20" s="100"/>
      <c r="J20" s="100"/>
      <c r="K20" s="96"/>
      <c r="L20" s="96">
        <f t="shared" si="1"/>
        <v>0</v>
      </c>
      <c r="M20" s="97"/>
      <c r="N20" s="101">
        <v>45700</v>
      </c>
      <c r="O20" s="100"/>
      <c r="P20" s="100"/>
      <c r="Q20" s="100"/>
      <c r="R20" s="100"/>
      <c r="S20" s="100"/>
      <c r="T20" s="100"/>
      <c r="U20" s="100">
        <v>15.32</v>
      </c>
      <c r="V20" s="100"/>
      <c r="W20" s="100"/>
      <c r="X20" s="96">
        <v>414</v>
      </c>
      <c r="Y20" s="114">
        <f t="shared" si="2"/>
        <v>6342.4800000000005</v>
      </c>
    </row>
    <row r="21" spans="1:25" x14ac:dyDescent="0.25">
      <c r="A21" s="95"/>
      <c r="B21" s="100"/>
      <c r="C21" s="100"/>
      <c r="D21" s="100"/>
      <c r="E21" s="100"/>
      <c r="F21" s="100"/>
      <c r="G21" s="100"/>
      <c r="H21" s="100"/>
      <c r="I21" s="100"/>
      <c r="J21" s="100"/>
      <c r="K21" s="96"/>
      <c r="L21" s="96">
        <f t="shared" si="1"/>
        <v>0</v>
      </c>
      <c r="M21" s="97"/>
      <c r="N21" s="101">
        <v>45701</v>
      </c>
      <c r="O21" s="100"/>
      <c r="P21" s="100"/>
      <c r="Q21" s="100"/>
      <c r="R21" s="100"/>
      <c r="S21" s="100"/>
      <c r="T21" s="100"/>
      <c r="U21" s="100">
        <v>15.7</v>
      </c>
      <c r="V21" s="100"/>
      <c r="W21" s="100"/>
      <c r="X21" s="96">
        <v>414</v>
      </c>
      <c r="Y21" s="114">
        <f t="shared" si="2"/>
        <v>6499.7999999999993</v>
      </c>
    </row>
    <row r="22" spans="1:25" x14ac:dyDescent="0.25">
      <c r="A22" s="95"/>
      <c r="B22" s="100"/>
      <c r="C22" s="100"/>
      <c r="D22" s="100"/>
      <c r="E22" s="100"/>
      <c r="F22" s="100"/>
      <c r="G22" s="100"/>
      <c r="H22" s="100"/>
      <c r="I22" s="100"/>
      <c r="J22" s="100"/>
      <c r="K22" s="96"/>
      <c r="L22" s="96">
        <f t="shared" si="1"/>
        <v>0</v>
      </c>
      <c r="M22" s="97"/>
      <c r="N22" s="101">
        <v>45702</v>
      </c>
      <c r="O22" s="100"/>
      <c r="P22" s="100"/>
      <c r="Q22" s="100"/>
      <c r="R22" s="100"/>
      <c r="S22" s="100"/>
      <c r="T22" s="100"/>
      <c r="U22" s="100">
        <v>23.48</v>
      </c>
      <c r="V22" s="100"/>
      <c r="W22" s="100"/>
      <c r="X22" s="96">
        <v>414</v>
      </c>
      <c r="Y22" s="114">
        <f t="shared" si="2"/>
        <v>9720.7199999999993</v>
      </c>
    </row>
    <row r="23" spans="1:25" x14ac:dyDescent="0.25">
      <c r="A23" s="95"/>
      <c r="B23" s="100"/>
      <c r="C23" s="100"/>
      <c r="D23" s="100"/>
      <c r="E23" s="100"/>
      <c r="F23" s="100"/>
      <c r="G23" s="100"/>
      <c r="H23" s="100"/>
      <c r="I23" s="100"/>
      <c r="J23" s="100"/>
      <c r="K23" s="96"/>
      <c r="L23" s="96">
        <f t="shared" si="1"/>
        <v>0</v>
      </c>
      <c r="M23" s="97"/>
      <c r="N23" s="101">
        <v>45705</v>
      </c>
      <c r="O23" s="100"/>
      <c r="P23" s="100"/>
      <c r="Q23" s="100"/>
      <c r="R23" s="100"/>
      <c r="S23" s="100"/>
      <c r="T23" s="100"/>
      <c r="U23" s="100">
        <v>15.22</v>
      </c>
      <c r="V23" s="100"/>
      <c r="W23" s="100"/>
      <c r="X23" s="96">
        <v>414</v>
      </c>
      <c r="Y23" s="114">
        <f t="shared" si="2"/>
        <v>6301.08</v>
      </c>
    </row>
    <row r="24" spans="1:25" x14ac:dyDescent="0.25">
      <c r="A24" s="95"/>
      <c r="B24" s="100"/>
      <c r="C24" s="100"/>
      <c r="D24" s="100"/>
      <c r="E24" s="100"/>
      <c r="F24" s="100"/>
      <c r="G24" s="100"/>
      <c r="H24" s="100"/>
      <c r="I24" s="100"/>
      <c r="J24" s="100"/>
      <c r="K24" s="96"/>
      <c r="L24" s="96">
        <f t="shared" si="1"/>
        <v>0</v>
      </c>
      <c r="M24" s="97"/>
      <c r="N24" s="101">
        <v>45707</v>
      </c>
      <c r="O24" s="100"/>
      <c r="P24" s="100"/>
      <c r="Q24" s="100"/>
      <c r="R24" s="100"/>
      <c r="S24" s="100"/>
      <c r="T24" s="100"/>
      <c r="U24" s="100">
        <v>14.1</v>
      </c>
      <c r="V24" s="100">
        <v>22.45</v>
      </c>
      <c r="W24" s="100"/>
      <c r="X24" s="96">
        <v>414</v>
      </c>
      <c r="Y24" s="114">
        <f t="shared" si="2"/>
        <v>15131.699999999999</v>
      </c>
    </row>
    <row r="25" spans="1:25" x14ac:dyDescent="0.25">
      <c r="A25" s="95"/>
      <c r="B25" s="100"/>
      <c r="C25" s="100"/>
      <c r="D25" s="100"/>
      <c r="E25" s="100"/>
      <c r="F25" s="100"/>
      <c r="G25" s="100"/>
      <c r="H25" s="100"/>
      <c r="I25" s="100"/>
      <c r="J25" s="100"/>
      <c r="K25" s="96"/>
      <c r="L25" s="96">
        <f t="shared" si="1"/>
        <v>0</v>
      </c>
      <c r="M25" s="97"/>
      <c r="N25" s="101">
        <v>45708</v>
      </c>
      <c r="O25" s="100"/>
      <c r="P25" s="100"/>
      <c r="Q25" s="100"/>
      <c r="R25" s="100"/>
      <c r="S25" s="100"/>
      <c r="T25" s="100"/>
      <c r="U25" s="100">
        <v>15.98</v>
      </c>
      <c r="V25" s="100"/>
      <c r="W25" s="100"/>
      <c r="X25" s="96">
        <v>414</v>
      </c>
      <c r="Y25" s="114">
        <f t="shared" si="2"/>
        <v>6615.72</v>
      </c>
    </row>
    <row r="26" spans="1:25" x14ac:dyDescent="0.25">
      <c r="A26" s="95"/>
      <c r="B26" s="100"/>
      <c r="C26" s="100"/>
      <c r="D26" s="100"/>
      <c r="E26" s="100"/>
      <c r="F26" s="100"/>
      <c r="G26" s="100"/>
      <c r="H26" s="100"/>
      <c r="I26" s="100"/>
      <c r="J26" s="100"/>
      <c r="K26" s="96"/>
      <c r="L26" s="96">
        <f t="shared" si="1"/>
        <v>0</v>
      </c>
      <c r="M26" s="97"/>
      <c r="N26" s="101">
        <v>45712</v>
      </c>
      <c r="O26" s="100"/>
      <c r="P26" s="100"/>
      <c r="Q26" s="100"/>
      <c r="R26" s="100"/>
      <c r="S26" s="100"/>
      <c r="T26" s="100"/>
      <c r="U26" s="100">
        <v>15.94</v>
      </c>
      <c r="V26" s="100"/>
      <c r="W26" s="100"/>
      <c r="X26" s="96">
        <v>414</v>
      </c>
      <c r="Y26" s="114">
        <f t="shared" si="2"/>
        <v>6599.16</v>
      </c>
    </row>
    <row r="27" spans="1:25" x14ac:dyDescent="0.25">
      <c r="A27" s="95"/>
      <c r="B27" s="100"/>
      <c r="C27" s="100"/>
      <c r="D27" s="100"/>
      <c r="E27" s="100"/>
      <c r="F27" s="100"/>
      <c r="G27" s="100"/>
      <c r="H27" s="100"/>
      <c r="I27" s="100"/>
      <c r="J27" s="100"/>
      <c r="K27" s="96"/>
      <c r="L27" s="96">
        <f t="shared" si="1"/>
        <v>0</v>
      </c>
      <c r="M27" s="97"/>
      <c r="N27" s="101">
        <v>45713</v>
      </c>
      <c r="O27" s="100"/>
      <c r="P27" s="100"/>
      <c r="Q27" s="100"/>
      <c r="R27" s="100"/>
      <c r="S27" s="100"/>
      <c r="T27" s="100"/>
      <c r="U27" s="100">
        <v>15.16</v>
      </c>
      <c r="V27" s="100"/>
      <c r="W27" s="100"/>
      <c r="X27" s="96">
        <v>414</v>
      </c>
      <c r="Y27" s="114">
        <f t="shared" si="2"/>
        <v>6276.24</v>
      </c>
    </row>
    <row r="28" spans="1:25" x14ac:dyDescent="0.25">
      <c r="A28" s="95"/>
      <c r="B28" s="100"/>
      <c r="C28" s="100"/>
      <c r="D28" s="100"/>
      <c r="E28" s="100"/>
      <c r="F28" s="100"/>
      <c r="G28" s="100"/>
      <c r="H28" s="100"/>
      <c r="I28" s="100"/>
      <c r="J28" s="100"/>
      <c r="K28" s="96"/>
      <c r="L28" s="96">
        <f t="shared" si="1"/>
        <v>0</v>
      </c>
      <c r="M28" s="97"/>
      <c r="N28" s="101">
        <v>45714</v>
      </c>
      <c r="O28" s="100"/>
      <c r="P28" s="100"/>
      <c r="Q28" s="100"/>
      <c r="R28" s="100"/>
      <c r="S28" s="100"/>
      <c r="T28" s="100"/>
      <c r="U28" s="100">
        <v>15.3</v>
      </c>
      <c r="V28" s="100"/>
      <c r="W28" s="100"/>
      <c r="X28" s="96">
        <v>414</v>
      </c>
      <c r="Y28" s="114">
        <f t="shared" si="2"/>
        <v>6334.2000000000007</v>
      </c>
    </row>
    <row r="29" spans="1:25" x14ac:dyDescent="0.25">
      <c r="A29" s="95"/>
      <c r="B29" s="100"/>
      <c r="C29" s="100"/>
      <c r="D29" s="100"/>
      <c r="E29" s="100"/>
      <c r="F29" s="100"/>
      <c r="G29" s="100"/>
      <c r="H29" s="100"/>
      <c r="I29" s="100"/>
      <c r="J29" s="100"/>
      <c r="K29" s="96"/>
      <c r="L29" s="96">
        <f t="shared" si="1"/>
        <v>0</v>
      </c>
      <c r="M29" s="97"/>
      <c r="N29" s="101"/>
      <c r="O29" s="100">
        <v>13.5</v>
      </c>
      <c r="P29" s="100"/>
      <c r="Q29" s="100"/>
      <c r="R29" s="100"/>
      <c r="S29" s="100"/>
      <c r="T29" s="100"/>
      <c r="U29" s="100"/>
      <c r="V29" s="100"/>
      <c r="W29" s="100"/>
      <c r="X29" s="96">
        <v>605</v>
      </c>
      <c r="Y29" s="114">
        <f t="shared" si="2"/>
        <v>8167.5</v>
      </c>
    </row>
    <row r="30" spans="1:25" x14ac:dyDescent="0.25">
      <c r="A30" s="95"/>
      <c r="B30" s="100"/>
      <c r="C30" s="100"/>
      <c r="D30" s="100"/>
      <c r="E30" s="100"/>
      <c r="F30" s="100"/>
      <c r="G30" s="100"/>
      <c r="H30" s="100"/>
      <c r="I30" s="100"/>
      <c r="J30" s="100"/>
      <c r="K30" s="96"/>
      <c r="L30" s="96">
        <f t="shared" si="1"/>
        <v>0</v>
      </c>
      <c r="M30" s="97"/>
      <c r="N30" s="101">
        <v>45715</v>
      </c>
      <c r="O30" s="100"/>
      <c r="P30" s="100"/>
      <c r="Q30" s="100"/>
      <c r="R30" s="100"/>
      <c r="S30" s="100">
        <v>30.82</v>
      </c>
      <c r="T30" s="100"/>
      <c r="U30" s="100"/>
      <c r="V30" s="100"/>
      <c r="W30" s="100"/>
      <c r="X30" s="96">
        <v>682</v>
      </c>
      <c r="Y30" s="114">
        <f t="shared" si="2"/>
        <v>21019.24</v>
      </c>
    </row>
    <row r="31" spans="1:25" x14ac:dyDescent="0.25">
      <c r="A31" s="95"/>
      <c r="B31" s="100"/>
      <c r="C31" s="100"/>
      <c r="D31" s="100"/>
      <c r="E31" s="100"/>
      <c r="F31" s="100"/>
      <c r="G31" s="100"/>
      <c r="H31" s="100"/>
      <c r="I31" s="100"/>
      <c r="J31" s="100"/>
      <c r="K31" s="96"/>
      <c r="L31" s="96">
        <f t="shared" si="1"/>
        <v>0</v>
      </c>
      <c r="M31" s="97"/>
      <c r="N31" s="95"/>
      <c r="O31" s="100"/>
      <c r="P31" s="100"/>
      <c r="Q31" s="100"/>
      <c r="R31" s="100"/>
      <c r="S31" s="100"/>
      <c r="T31" s="100"/>
      <c r="U31" s="100">
        <v>15.22</v>
      </c>
      <c r="V31" s="100"/>
      <c r="W31" s="100"/>
      <c r="X31" s="96">
        <v>414</v>
      </c>
      <c r="Y31" s="114">
        <f t="shared" si="2"/>
        <v>6301.08</v>
      </c>
    </row>
    <row r="32" spans="1:25" x14ac:dyDescent="0.25">
      <c r="A32" s="95"/>
      <c r="B32" s="100"/>
      <c r="C32" s="100"/>
      <c r="D32" s="100"/>
      <c r="E32" s="100"/>
      <c r="F32" s="100"/>
      <c r="G32" s="100"/>
      <c r="H32" s="100"/>
      <c r="I32" s="100"/>
      <c r="J32" s="100"/>
      <c r="K32" s="96"/>
      <c r="L32" s="96">
        <f t="shared" si="1"/>
        <v>0</v>
      </c>
      <c r="M32" s="97"/>
      <c r="N32" s="101">
        <v>45716</v>
      </c>
      <c r="O32" s="100"/>
      <c r="P32" s="100"/>
      <c r="Q32" s="100"/>
      <c r="R32" s="100"/>
      <c r="S32" s="100"/>
      <c r="T32" s="100"/>
      <c r="U32" s="100"/>
      <c r="V32" s="100">
        <v>41.9</v>
      </c>
      <c r="W32" s="100"/>
      <c r="X32" s="96">
        <v>414</v>
      </c>
      <c r="Y32" s="114">
        <f t="shared" si="2"/>
        <v>17346.599999999999</v>
      </c>
    </row>
    <row r="33" spans="1:25" ht="16.5" thickBot="1" x14ac:dyDescent="0.3">
      <c r="A33" s="95"/>
      <c r="B33" s="100"/>
      <c r="C33" s="100"/>
      <c r="D33" s="100"/>
      <c r="E33" s="100"/>
      <c r="F33" s="100"/>
      <c r="G33" s="100"/>
      <c r="H33" s="100"/>
      <c r="I33" s="100"/>
      <c r="J33" s="100"/>
      <c r="K33" s="96"/>
      <c r="L33" s="96">
        <f t="shared" si="1"/>
        <v>0</v>
      </c>
      <c r="M33" s="97"/>
      <c r="N33" s="202" t="s">
        <v>68</v>
      </c>
      <c r="O33" s="181"/>
      <c r="P33" s="181"/>
      <c r="Q33" s="181"/>
      <c r="R33" s="181"/>
      <c r="S33" s="181"/>
      <c r="T33" s="181"/>
      <c r="U33" s="181"/>
      <c r="V33" s="181"/>
      <c r="W33" s="181"/>
      <c r="X33" s="182"/>
      <c r="Y33" s="114">
        <f t="shared" si="2"/>
        <v>0</v>
      </c>
    </row>
    <row r="34" spans="1:25" x14ac:dyDescent="0.25">
      <c r="A34" s="95"/>
      <c r="B34" s="100"/>
      <c r="C34" s="100"/>
      <c r="D34" s="100"/>
      <c r="E34" s="100"/>
      <c r="F34" s="100"/>
      <c r="G34" s="100"/>
      <c r="H34" s="100"/>
      <c r="I34" s="100"/>
      <c r="J34" s="100"/>
      <c r="K34" s="96"/>
      <c r="L34" s="96">
        <f t="shared" si="1"/>
        <v>0</v>
      </c>
      <c r="M34" s="179"/>
      <c r="N34" s="187">
        <v>45720</v>
      </c>
      <c r="O34" s="189"/>
      <c r="P34" s="189"/>
      <c r="Q34" s="189"/>
      <c r="R34" s="189"/>
      <c r="S34" s="189"/>
      <c r="T34" s="189"/>
      <c r="U34" s="189">
        <v>30.52</v>
      </c>
      <c r="V34" s="189"/>
      <c r="W34" s="189"/>
      <c r="X34" s="190">
        <v>414</v>
      </c>
      <c r="Y34" s="114">
        <f t="shared" si="2"/>
        <v>12635.28</v>
      </c>
    </row>
    <row r="35" spans="1:25" ht="16.5" thickBot="1" x14ac:dyDescent="0.3">
      <c r="A35" s="95"/>
      <c r="B35" s="100"/>
      <c r="C35" s="100"/>
      <c r="D35" s="100"/>
      <c r="E35" s="100"/>
      <c r="F35" s="100"/>
      <c r="G35" s="100"/>
      <c r="H35" s="100"/>
      <c r="I35" s="100"/>
      <c r="J35" s="100"/>
      <c r="K35" s="96"/>
      <c r="L35" s="96">
        <f t="shared" si="1"/>
        <v>0</v>
      </c>
      <c r="M35" s="179"/>
      <c r="N35" s="194">
        <v>45722</v>
      </c>
      <c r="O35" s="196"/>
      <c r="P35" s="196"/>
      <c r="Q35" s="196"/>
      <c r="R35" s="196"/>
      <c r="S35" s="196"/>
      <c r="T35" s="196"/>
      <c r="U35" s="196">
        <v>12.16</v>
      </c>
      <c r="V35" s="196"/>
      <c r="W35" s="196"/>
      <c r="X35" s="197">
        <v>414</v>
      </c>
      <c r="Y35" s="114">
        <f t="shared" si="2"/>
        <v>5034.24</v>
      </c>
    </row>
    <row r="36" spans="1:25" x14ac:dyDescent="0.25">
      <c r="A36" s="95"/>
      <c r="B36" s="100"/>
      <c r="C36" s="100"/>
      <c r="D36" s="100"/>
      <c r="E36" s="100"/>
      <c r="F36" s="100"/>
      <c r="G36" s="100"/>
      <c r="H36" s="100"/>
      <c r="I36" s="100"/>
      <c r="J36" s="100"/>
      <c r="K36" s="96"/>
      <c r="L36" s="96">
        <f t="shared" si="1"/>
        <v>0</v>
      </c>
      <c r="M36" s="179"/>
      <c r="N36" s="187">
        <v>45726</v>
      </c>
      <c r="O36" s="189"/>
      <c r="P36" s="189"/>
      <c r="Q36" s="189"/>
      <c r="R36" s="189"/>
      <c r="S36" s="189">
        <v>15.4</v>
      </c>
      <c r="T36" s="189"/>
      <c r="U36" s="189"/>
      <c r="V36" s="189"/>
      <c r="W36" s="189"/>
      <c r="X36" s="190">
        <v>682</v>
      </c>
      <c r="Y36" s="114">
        <f t="shared" si="2"/>
        <v>10502.800000000001</v>
      </c>
    </row>
    <row r="37" spans="1:25" ht="16.5" thickBot="1" x14ac:dyDescent="0.3">
      <c r="A37" s="95"/>
      <c r="B37" s="100"/>
      <c r="C37" s="100"/>
      <c r="D37" s="100"/>
      <c r="E37" s="100"/>
      <c r="F37" s="100"/>
      <c r="G37" s="100"/>
      <c r="H37" s="100"/>
      <c r="I37" s="100"/>
      <c r="J37" s="100"/>
      <c r="K37" s="96"/>
      <c r="L37" s="96">
        <f t="shared" si="1"/>
        <v>0</v>
      </c>
      <c r="M37" s="179"/>
      <c r="N37" s="194">
        <v>45727</v>
      </c>
      <c r="O37" s="196"/>
      <c r="P37" s="196"/>
      <c r="Q37" s="196"/>
      <c r="R37" s="196"/>
      <c r="S37" s="196">
        <v>15.6</v>
      </c>
      <c r="T37" s="196"/>
      <c r="U37" s="196"/>
      <c r="V37" s="196"/>
      <c r="W37" s="196"/>
      <c r="X37" s="197">
        <v>682</v>
      </c>
      <c r="Y37" s="114">
        <f t="shared" si="2"/>
        <v>10639.199999999999</v>
      </c>
    </row>
    <row r="38" spans="1:25" x14ac:dyDescent="0.25">
      <c r="A38" s="95"/>
      <c r="B38" s="100"/>
      <c r="C38" s="100"/>
      <c r="D38" s="100"/>
      <c r="E38" s="100"/>
      <c r="F38" s="100"/>
      <c r="G38" s="100"/>
      <c r="H38" s="100"/>
      <c r="I38" s="100"/>
      <c r="J38" s="100"/>
      <c r="K38" s="96"/>
      <c r="L38" s="96">
        <f t="shared" si="1"/>
        <v>0</v>
      </c>
      <c r="M38" s="179"/>
      <c r="N38" s="187">
        <v>45742</v>
      </c>
      <c r="O38" s="189"/>
      <c r="P38" s="189"/>
      <c r="Q38" s="189"/>
      <c r="R38" s="189"/>
      <c r="S38" s="189"/>
      <c r="T38" s="189"/>
      <c r="U38" s="189"/>
      <c r="V38" s="189">
        <v>43.05</v>
      </c>
      <c r="W38" s="189"/>
      <c r="X38" s="190">
        <v>414</v>
      </c>
      <c r="Y38" s="114">
        <f t="shared" si="2"/>
        <v>17822.699999999997</v>
      </c>
    </row>
    <row r="39" spans="1:25" ht="16.5" thickBot="1" x14ac:dyDescent="0.3">
      <c r="A39" s="95"/>
      <c r="B39" s="100"/>
      <c r="C39" s="100"/>
      <c r="D39" s="100"/>
      <c r="E39" s="100"/>
      <c r="F39" s="100"/>
      <c r="G39" s="100"/>
      <c r="H39" s="100"/>
      <c r="I39" s="100"/>
      <c r="J39" s="100"/>
      <c r="K39" s="96"/>
      <c r="L39" s="96">
        <f t="shared" si="1"/>
        <v>0</v>
      </c>
      <c r="M39" s="179"/>
      <c r="N39" s="216">
        <v>45743</v>
      </c>
      <c r="O39" s="196"/>
      <c r="P39" s="196"/>
      <c r="Q39" s="196"/>
      <c r="R39" s="196"/>
      <c r="S39" s="196">
        <v>15.04</v>
      </c>
      <c r="T39" s="196"/>
      <c r="U39" s="196"/>
      <c r="V39" s="196"/>
      <c r="W39" s="196"/>
      <c r="X39" s="197">
        <v>682</v>
      </c>
      <c r="Y39" s="114">
        <f t="shared" si="2"/>
        <v>10257.279999999999</v>
      </c>
    </row>
    <row r="40" spans="1:25" ht="16.5" thickBot="1" x14ac:dyDescent="0.3">
      <c r="A40" s="95"/>
      <c r="B40" s="100"/>
      <c r="C40" s="100"/>
      <c r="D40" s="148"/>
      <c r="E40" s="148"/>
      <c r="F40" s="148"/>
      <c r="G40" s="148"/>
      <c r="H40" s="148"/>
      <c r="I40" s="148"/>
      <c r="J40" s="148"/>
      <c r="K40" s="149"/>
      <c r="L40" s="96">
        <f t="shared" si="1"/>
        <v>0</v>
      </c>
      <c r="M40" s="149"/>
      <c r="N40" s="224" t="s">
        <v>75</v>
      </c>
      <c r="O40" s="226"/>
      <c r="P40" s="226"/>
      <c r="Q40" s="226"/>
      <c r="R40" s="226"/>
      <c r="S40" s="226"/>
      <c r="T40" s="226"/>
      <c r="U40" s="226"/>
      <c r="V40" s="226"/>
      <c r="W40" s="226"/>
      <c r="X40" s="227"/>
      <c r="Y40" s="114">
        <f t="shared" si="2"/>
        <v>0</v>
      </c>
    </row>
    <row r="41" spans="1:25" x14ac:dyDescent="0.25">
      <c r="A41" s="95"/>
      <c r="B41" s="100"/>
      <c r="C41" s="100"/>
      <c r="D41" s="100"/>
      <c r="E41" s="100"/>
      <c r="F41" s="100"/>
      <c r="G41" s="100"/>
      <c r="H41" s="100"/>
      <c r="I41" s="100"/>
      <c r="J41" s="100"/>
      <c r="K41" s="96"/>
      <c r="L41" s="96">
        <f t="shared" si="1"/>
        <v>0</v>
      </c>
      <c r="M41" s="179"/>
      <c r="N41" s="187">
        <v>45748</v>
      </c>
      <c r="O41" s="189"/>
      <c r="P41" s="189"/>
      <c r="Q41" s="189"/>
      <c r="R41" s="189"/>
      <c r="S41" s="189">
        <v>15.46</v>
      </c>
      <c r="T41" s="189"/>
      <c r="U41" s="189"/>
      <c r="V41" s="189"/>
      <c r="W41" s="189"/>
      <c r="X41" s="190">
        <v>682</v>
      </c>
      <c r="Y41" s="114">
        <f t="shared" si="2"/>
        <v>10543.720000000001</v>
      </c>
    </row>
    <row r="42" spans="1:25" ht="16.5" thickBot="1" x14ac:dyDescent="0.3">
      <c r="A42" s="95"/>
      <c r="B42" s="100"/>
      <c r="C42" s="100"/>
      <c r="D42" s="100"/>
      <c r="E42" s="100"/>
      <c r="F42" s="100"/>
      <c r="G42" s="100"/>
      <c r="H42" s="100"/>
      <c r="I42" s="100"/>
      <c r="J42" s="100"/>
      <c r="K42" s="96"/>
      <c r="L42" s="96">
        <f t="shared" si="1"/>
        <v>0</v>
      </c>
      <c r="M42" s="179"/>
      <c r="N42" s="230">
        <v>45749</v>
      </c>
      <c r="O42" s="204"/>
      <c r="P42" s="204"/>
      <c r="Q42" s="204"/>
      <c r="R42" s="204"/>
      <c r="S42" s="204">
        <v>15.3</v>
      </c>
      <c r="T42" s="204"/>
      <c r="U42" s="204"/>
      <c r="V42" s="204"/>
      <c r="W42" s="204"/>
      <c r="X42" s="201">
        <v>682</v>
      </c>
      <c r="Y42" s="231">
        <f t="shared" si="2"/>
        <v>10434.6</v>
      </c>
    </row>
    <row r="43" spans="1:25" x14ac:dyDescent="0.25">
      <c r="A43" s="95"/>
      <c r="B43" s="100"/>
      <c r="C43" s="100"/>
      <c r="D43" s="100"/>
      <c r="E43" s="100"/>
      <c r="F43" s="100"/>
      <c r="G43" s="100"/>
      <c r="H43" s="100"/>
      <c r="I43" s="100"/>
      <c r="J43" s="100"/>
      <c r="K43" s="96"/>
      <c r="L43" s="96">
        <f t="shared" si="1"/>
        <v>0</v>
      </c>
      <c r="M43" s="179"/>
      <c r="N43" s="187">
        <v>45755</v>
      </c>
      <c r="O43" s="189"/>
      <c r="P43" s="189"/>
      <c r="Q43" s="189"/>
      <c r="R43" s="189"/>
      <c r="S43" s="189">
        <v>4.9000000000000004</v>
      </c>
      <c r="T43" s="189"/>
      <c r="U43" s="189"/>
      <c r="V43" s="189"/>
      <c r="W43" s="189"/>
      <c r="X43" s="190">
        <v>682</v>
      </c>
      <c r="Y43" s="211">
        <f t="shared" si="2"/>
        <v>3341.8</v>
      </c>
    </row>
    <row r="44" spans="1:25" x14ac:dyDescent="0.25">
      <c r="A44" s="95"/>
      <c r="B44" s="100"/>
      <c r="C44" s="100"/>
      <c r="D44" s="100"/>
      <c r="E44" s="100"/>
      <c r="F44" s="100"/>
      <c r="G44" s="100"/>
      <c r="H44" s="100"/>
      <c r="I44" s="100"/>
      <c r="J44" s="100"/>
      <c r="K44" s="96"/>
      <c r="L44" s="96">
        <f t="shared" si="1"/>
        <v>0</v>
      </c>
      <c r="M44" s="179"/>
      <c r="N44" s="192">
        <v>45756</v>
      </c>
      <c r="O44" s="100"/>
      <c r="P44" s="100"/>
      <c r="Q44" s="100"/>
      <c r="R44" s="100"/>
      <c r="S44" s="100">
        <v>4.9000000000000004</v>
      </c>
      <c r="T44" s="100"/>
      <c r="U44" s="100"/>
      <c r="V44" s="100"/>
      <c r="W44" s="100"/>
      <c r="X44" s="96">
        <v>682</v>
      </c>
      <c r="Y44" s="229">
        <f t="shared" si="2"/>
        <v>3341.8</v>
      </c>
    </row>
    <row r="45" spans="1:25" x14ac:dyDescent="0.25">
      <c r="A45" s="95"/>
      <c r="B45" s="100"/>
      <c r="C45" s="100"/>
      <c r="D45" s="100"/>
      <c r="E45" s="100"/>
      <c r="F45" s="100"/>
      <c r="G45" s="100"/>
      <c r="H45" s="100"/>
      <c r="I45" s="100"/>
      <c r="J45" s="100"/>
      <c r="K45" s="96"/>
      <c r="L45" s="96">
        <f t="shared" si="1"/>
        <v>0</v>
      </c>
      <c r="M45" s="179"/>
      <c r="N45" s="192">
        <v>45757</v>
      </c>
      <c r="O45" s="100"/>
      <c r="P45" s="100"/>
      <c r="Q45" s="100"/>
      <c r="R45" s="100"/>
      <c r="S45" s="100">
        <v>4.9000000000000004</v>
      </c>
      <c r="T45" s="100"/>
      <c r="U45" s="100"/>
      <c r="V45" s="100"/>
      <c r="W45" s="100"/>
      <c r="X45" s="96">
        <v>682</v>
      </c>
      <c r="Y45" s="229">
        <f t="shared" si="2"/>
        <v>3341.8</v>
      </c>
    </row>
    <row r="46" spans="1:25" x14ac:dyDescent="0.25">
      <c r="A46" s="95"/>
      <c r="B46" s="100"/>
      <c r="C46" s="100"/>
      <c r="D46" s="100"/>
      <c r="E46" s="100"/>
      <c r="F46" s="100"/>
      <c r="G46" s="100"/>
      <c r="H46" s="100"/>
      <c r="I46" s="100"/>
      <c r="J46" s="100"/>
      <c r="K46" s="96"/>
      <c r="L46" s="96">
        <f t="shared" si="1"/>
        <v>0</v>
      </c>
      <c r="M46" s="179"/>
      <c r="N46" s="192">
        <v>45762</v>
      </c>
      <c r="O46" s="100"/>
      <c r="P46" s="100"/>
      <c r="Q46" s="100"/>
      <c r="R46" s="100"/>
      <c r="S46" s="100">
        <v>26.08</v>
      </c>
      <c r="T46" s="100"/>
      <c r="U46" s="100"/>
      <c r="V46" s="100"/>
      <c r="W46" s="100"/>
      <c r="X46" s="96">
        <v>682</v>
      </c>
      <c r="Y46" s="229">
        <f t="shared" si="2"/>
        <v>17786.559999999998</v>
      </c>
    </row>
    <row r="47" spans="1:25" x14ac:dyDescent="0.25">
      <c r="A47" s="95"/>
      <c r="B47" s="100"/>
      <c r="C47" s="100"/>
      <c r="D47" s="100"/>
      <c r="E47" s="100"/>
      <c r="F47" s="100"/>
      <c r="G47" s="100"/>
      <c r="H47" s="100"/>
      <c r="I47" s="100"/>
      <c r="J47" s="100"/>
      <c r="K47" s="96"/>
      <c r="L47" s="96">
        <f t="shared" si="1"/>
        <v>0</v>
      </c>
      <c r="M47" s="179"/>
      <c r="N47" s="192">
        <v>45763</v>
      </c>
      <c r="O47" s="100"/>
      <c r="P47" s="100"/>
      <c r="Q47" s="100"/>
      <c r="R47" s="100"/>
      <c r="S47" s="100">
        <v>15.45</v>
      </c>
      <c r="T47" s="100"/>
      <c r="U47" s="100"/>
      <c r="V47" s="100"/>
      <c r="W47" s="100"/>
      <c r="X47" s="96">
        <v>682</v>
      </c>
      <c r="Y47" s="229">
        <f t="shared" si="2"/>
        <v>10536.9</v>
      </c>
    </row>
    <row r="48" spans="1:25" ht="16.5" thickBot="1" x14ac:dyDescent="0.3">
      <c r="A48" s="95"/>
      <c r="B48" s="100"/>
      <c r="C48" s="100"/>
      <c r="D48" s="100"/>
      <c r="E48" s="100"/>
      <c r="F48" s="100"/>
      <c r="G48" s="100"/>
      <c r="H48" s="100"/>
      <c r="I48" s="100"/>
      <c r="J48" s="100"/>
      <c r="K48" s="96"/>
      <c r="L48" s="96">
        <f t="shared" si="1"/>
        <v>0</v>
      </c>
      <c r="M48" s="179"/>
      <c r="N48" s="194">
        <v>45764</v>
      </c>
      <c r="O48" s="196"/>
      <c r="P48" s="196"/>
      <c r="Q48" s="196"/>
      <c r="R48" s="196"/>
      <c r="S48" s="196">
        <v>47.05</v>
      </c>
      <c r="T48" s="196"/>
      <c r="U48" s="196"/>
      <c r="V48" s="196"/>
      <c r="W48" s="196"/>
      <c r="X48" s="197">
        <v>682</v>
      </c>
      <c r="Y48" s="212">
        <f t="shared" si="2"/>
        <v>32088.1</v>
      </c>
    </row>
    <row r="49" spans="1:25" ht="16.5" thickBot="1" x14ac:dyDescent="0.3">
      <c r="A49" s="232">
        <v>45709</v>
      </c>
      <c r="B49" s="233"/>
      <c r="C49" s="233"/>
      <c r="D49" s="233"/>
      <c r="E49" s="233"/>
      <c r="F49" s="233"/>
      <c r="G49" s="233"/>
      <c r="H49" s="233"/>
      <c r="I49" s="233"/>
      <c r="J49" s="233">
        <v>768.35</v>
      </c>
      <c r="K49" s="234">
        <v>625</v>
      </c>
      <c r="L49" s="234">
        <f t="shared" si="1"/>
        <v>480218.75</v>
      </c>
      <c r="M49" s="179"/>
      <c r="N49" s="216">
        <v>45765</v>
      </c>
      <c r="O49" s="220"/>
      <c r="P49" s="220"/>
      <c r="Q49" s="220"/>
      <c r="R49" s="220"/>
      <c r="S49" s="220">
        <v>47.16</v>
      </c>
      <c r="T49" s="220"/>
      <c r="U49" s="220"/>
      <c r="V49" s="220"/>
      <c r="W49" s="220"/>
      <c r="X49" s="221">
        <v>682</v>
      </c>
      <c r="Y49" s="238">
        <f t="shared" si="2"/>
        <v>32163.119999999999</v>
      </c>
    </row>
    <row r="50" spans="1:25" x14ac:dyDescent="0.25">
      <c r="A50" s="200"/>
      <c r="B50" s="204"/>
      <c r="C50" s="204"/>
      <c r="D50" s="204"/>
      <c r="E50" s="204"/>
      <c r="F50" s="204"/>
      <c r="G50" s="204"/>
      <c r="H50" s="204"/>
      <c r="I50" s="204"/>
      <c r="J50" s="204"/>
      <c r="K50" s="201"/>
      <c r="L50" s="201">
        <f t="shared" si="1"/>
        <v>0</v>
      </c>
      <c r="M50" s="257"/>
      <c r="N50" s="256"/>
      <c r="O50" s="245"/>
      <c r="P50" s="245"/>
      <c r="Q50" s="245"/>
      <c r="R50" s="245"/>
      <c r="S50" s="245"/>
      <c r="T50" s="245"/>
      <c r="U50" s="245"/>
      <c r="V50" s="245"/>
      <c r="W50" s="259">
        <v>334.23</v>
      </c>
      <c r="X50" s="246">
        <v>625</v>
      </c>
      <c r="Y50" s="260">
        <f t="shared" si="2"/>
        <v>208893.75</v>
      </c>
    </row>
    <row r="51" spans="1:25" x14ac:dyDescent="0.25">
      <c r="A51" s="150" t="s">
        <v>99</v>
      </c>
      <c r="B51" s="248"/>
      <c r="C51" s="248"/>
      <c r="D51" s="248"/>
      <c r="E51" s="248"/>
      <c r="F51" s="248"/>
      <c r="G51" s="248"/>
      <c r="H51" s="248"/>
      <c r="I51" s="248"/>
      <c r="J51" s="248"/>
      <c r="K51" s="249"/>
      <c r="L51" s="249"/>
      <c r="M51" s="249"/>
      <c r="N51" s="150" t="s">
        <v>99</v>
      </c>
      <c r="O51" s="248"/>
      <c r="P51" s="248"/>
      <c r="Q51" s="248"/>
      <c r="R51" s="248"/>
      <c r="S51" s="248"/>
      <c r="T51" s="248"/>
      <c r="U51" s="248"/>
      <c r="V51" s="248"/>
      <c r="W51" s="261"/>
      <c r="X51" s="249"/>
      <c r="Y51" s="262"/>
    </row>
    <row r="52" spans="1:25" x14ac:dyDescent="0.25">
      <c r="A52" s="184"/>
      <c r="B52" s="185"/>
      <c r="C52" s="185"/>
      <c r="D52" s="185"/>
      <c r="E52" s="185"/>
      <c r="F52" s="185"/>
      <c r="G52" s="185"/>
      <c r="H52" s="185"/>
      <c r="I52" s="185"/>
      <c r="J52" s="185"/>
      <c r="K52" s="186"/>
      <c r="L52" s="186">
        <f t="shared" si="1"/>
        <v>0</v>
      </c>
      <c r="M52" s="242"/>
      <c r="N52" s="184" t="s">
        <v>95</v>
      </c>
      <c r="O52" s="243"/>
      <c r="P52" s="185"/>
      <c r="Q52" s="185"/>
      <c r="R52" s="185"/>
      <c r="S52" s="185">
        <v>42.15</v>
      </c>
      <c r="T52" s="185"/>
      <c r="U52" s="185"/>
      <c r="V52" s="185"/>
      <c r="W52" s="185"/>
      <c r="X52" s="186">
        <v>682</v>
      </c>
      <c r="Y52" s="228">
        <f t="shared" si="2"/>
        <v>28746.3</v>
      </c>
    </row>
    <row r="53" spans="1:25" x14ac:dyDescent="0.25">
      <c r="A53" s="95"/>
      <c r="B53" s="100"/>
      <c r="C53" s="100"/>
      <c r="D53" s="100"/>
      <c r="E53" s="100"/>
      <c r="F53" s="100"/>
      <c r="G53" s="100"/>
      <c r="H53" s="100"/>
      <c r="I53" s="100"/>
      <c r="J53" s="100"/>
      <c r="K53" s="96"/>
      <c r="L53" s="96">
        <f t="shared" si="1"/>
        <v>0</v>
      </c>
      <c r="M53" s="97"/>
      <c r="N53" s="101" t="s">
        <v>96</v>
      </c>
      <c r="O53" s="100"/>
      <c r="P53" s="100"/>
      <c r="Q53" s="100"/>
      <c r="R53" s="100"/>
      <c r="S53" s="100">
        <v>42.15</v>
      </c>
      <c r="T53" s="100"/>
      <c r="U53" s="100"/>
      <c r="V53" s="100"/>
      <c r="W53" s="100"/>
      <c r="X53" s="186">
        <v>682</v>
      </c>
      <c r="Y53" s="114">
        <f t="shared" si="2"/>
        <v>28746.3</v>
      </c>
    </row>
    <row r="54" spans="1:25" x14ac:dyDescent="0.25">
      <c r="A54" s="95"/>
      <c r="B54" s="100"/>
      <c r="C54" s="100"/>
      <c r="D54" s="100"/>
      <c r="E54" s="100"/>
      <c r="F54" s="100"/>
      <c r="G54" s="100"/>
      <c r="H54" s="100"/>
      <c r="I54" s="100"/>
      <c r="J54" s="100"/>
      <c r="K54" s="96"/>
      <c r="L54" s="96">
        <f t="shared" si="1"/>
        <v>0</v>
      </c>
      <c r="M54" s="97"/>
      <c r="N54" s="101" t="s">
        <v>97</v>
      </c>
      <c r="O54" s="100"/>
      <c r="P54" s="100"/>
      <c r="Q54" s="100"/>
      <c r="R54" s="100"/>
      <c r="S54" s="100">
        <v>15.42</v>
      </c>
      <c r="T54" s="100"/>
      <c r="U54" s="100"/>
      <c r="V54" s="100"/>
      <c r="W54" s="100"/>
      <c r="X54" s="186">
        <v>682</v>
      </c>
      <c r="Y54" s="114">
        <f t="shared" si="2"/>
        <v>10516.44</v>
      </c>
    </row>
    <row r="55" spans="1:25" x14ac:dyDescent="0.25">
      <c r="A55" s="95"/>
      <c r="B55" s="100"/>
      <c r="C55" s="100"/>
      <c r="D55" s="100"/>
      <c r="E55" s="100"/>
      <c r="F55" s="100"/>
      <c r="G55" s="100"/>
      <c r="H55" s="100"/>
      <c r="I55" s="100"/>
      <c r="J55" s="100"/>
      <c r="K55" s="96"/>
      <c r="L55" s="96">
        <f t="shared" si="1"/>
        <v>0</v>
      </c>
      <c r="M55" s="97"/>
      <c r="N55" s="101" t="s">
        <v>101</v>
      </c>
      <c r="O55" s="100"/>
      <c r="P55" s="100"/>
      <c r="Q55" s="100"/>
      <c r="R55" s="100"/>
      <c r="S55" s="100">
        <v>15.8</v>
      </c>
      <c r="T55" s="100"/>
      <c r="U55" s="100"/>
      <c r="V55" s="100"/>
      <c r="W55" s="100"/>
      <c r="X55" s="186">
        <v>682</v>
      </c>
      <c r="Y55" s="114">
        <f t="shared" si="2"/>
        <v>10775.6</v>
      </c>
    </row>
    <row r="56" spans="1:25" x14ac:dyDescent="0.25">
      <c r="A56" s="95"/>
      <c r="B56" s="100"/>
      <c r="C56" s="100"/>
      <c r="D56" s="100"/>
      <c r="E56" s="100"/>
      <c r="F56" s="100"/>
      <c r="G56" s="100"/>
      <c r="H56" s="100"/>
      <c r="I56" s="100"/>
      <c r="J56" s="100"/>
      <c r="K56" s="96"/>
      <c r="L56" s="96">
        <f t="shared" si="1"/>
        <v>0</v>
      </c>
      <c r="M56" s="97"/>
      <c r="N56" s="101" t="s">
        <v>102</v>
      </c>
      <c r="O56" s="100"/>
      <c r="P56" s="100"/>
      <c r="Q56" s="100"/>
      <c r="R56" s="100"/>
      <c r="S56" s="100">
        <v>15.48</v>
      </c>
      <c r="T56" s="100"/>
      <c r="U56" s="100"/>
      <c r="V56" s="100"/>
      <c r="W56" s="100"/>
      <c r="X56" s="186">
        <v>682</v>
      </c>
      <c r="Y56" s="114">
        <f t="shared" si="2"/>
        <v>10557.36</v>
      </c>
    </row>
    <row r="57" spans="1:25" x14ac:dyDescent="0.25">
      <c r="A57" s="95"/>
      <c r="B57" s="100"/>
      <c r="C57" s="100"/>
      <c r="D57" s="100"/>
      <c r="E57" s="100"/>
      <c r="F57" s="100"/>
      <c r="G57" s="100"/>
      <c r="H57" s="100"/>
      <c r="I57" s="100"/>
      <c r="J57" s="100"/>
      <c r="K57" s="96"/>
      <c r="L57" s="96">
        <f t="shared" si="1"/>
        <v>0</v>
      </c>
      <c r="M57" s="97"/>
      <c r="N57" s="101" t="s">
        <v>103</v>
      </c>
      <c r="O57" s="100"/>
      <c r="P57" s="100"/>
      <c r="Q57" s="100"/>
      <c r="R57" s="100"/>
      <c r="S57" s="100">
        <v>9.9</v>
      </c>
      <c r="T57" s="100"/>
      <c r="U57" s="100"/>
      <c r="V57" s="100"/>
      <c r="W57" s="100"/>
      <c r="X57" s="186">
        <v>682</v>
      </c>
      <c r="Y57" s="114">
        <f t="shared" si="2"/>
        <v>6751.8</v>
      </c>
    </row>
    <row r="58" spans="1:25" x14ac:dyDescent="0.25">
      <c r="A58" s="95"/>
      <c r="B58" s="100"/>
      <c r="C58" s="100"/>
      <c r="D58" s="100"/>
      <c r="E58" s="100"/>
      <c r="F58" s="100"/>
      <c r="G58" s="100"/>
      <c r="H58" s="100"/>
      <c r="I58" s="100"/>
      <c r="J58" s="100"/>
      <c r="K58" s="96"/>
      <c r="L58" s="96">
        <f t="shared" si="1"/>
        <v>0</v>
      </c>
      <c r="M58" s="97"/>
      <c r="N58" s="101" t="s">
        <v>104</v>
      </c>
      <c r="O58" s="100"/>
      <c r="P58" s="100"/>
      <c r="Q58" s="100"/>
      <c r="R58" s="100"/>
      <c r="S58" s="100">
        <v>11.1</v>
      </c>
      <c r="T58" s="100"/>
      <c r="U58" s="100"/>
      <c r="V58" s="100"/>
      <c r="W58" s="100"/>
      <c r="X58" s="186">
        <v>682</v>
      </c>
      <c r="Y58" s="114">
        <f t="shared" si="2"/>
        <v>7570.2</v>
      </c>
    </row>
    <row r="59" spans="1:25" x14ac:dyDescent="0.25">
      <c r="A59" s="95"/>
      <c r="B59" s="100"/>
      <c r="C59" s="100"/>
      <c r="D59" s="100"/>
      <c r="E59" s="100"/>
      <c r="F59" s="100"/>
      <c r="G59" s="100"/>
      <c r="H59" s="100"/>
      <c r="I59" s="100"/>
      <c r="J59" s="100"/>
      <c r="K59" s="96"/>
      <c r="L59" s="96">
        <f t="shared" si="1"/>
        <v>0</v>
      </c>
      <c r="M59" s="97"/>
      <c r="N59" s="95"/>
      <c r="O59" s="100"/>
      <c r="P59" s="100"/>
      <c r="Q59" s="100"/>
      <c r="R59" s="100"/>
      <c r="S59" s="100"/>
      <c r="T59" s="100"/>
      <c r="U59" s="100"/>
      <c r="V59" s="100"/>
      <c r="W59" s="100"/>
      <c r="X59" s="96"/>
      <c r="Y59" s="114">
        <f t="shared" si="2"/>
        <v>0</v>
      </c>
    </row>
    <row r="60" spans="1:25" x14ac:dyDescent="0.25">
      <c r="A60" s="95"/>
      <c r="B60" s="100"/>
      <c r="C60" s="100"/>
      <c r="D60" s="100"/>
      <c r="E60" s="100"/>
      <c r="F60" s="100"/>
      <c r="G60" s="100"/>
      <c r="H60" s="100"/>
      <c r="I60" s="100"/>
      <c r="J60" s="100"/>
      <c r="K60" s="96"/>
      <c r="L60" s="96">
        <f t="shared" si="1"/>
        <v>0</v>
      </c>
      <c r="M60" s="97"/>
      <c r="N60" s="95"/>
      <c r="O60" s="100"/>
      <c r="P60" s="100"/>
      <c r="Q60" s="100"/>
      <c r="R60" s="100"/>
      <c r="S60" s="100"/>
      <c r="T60" s="100"/>
      <c r="U60" s="100"/>
      <c r="V60" s="100"/>
      <c r="W60" s="100"/>
      <c r="X60" s="96"/>
      <c r="Y60" s="114">
        <f t="shared" si="2"/>
        <v>0</v>
      </c>
    </row>
    <row r="61" spans="1:25" s="162" customFormat="1" x14ac:dyDescent="0.25">
      <c r="A61" s="158"/>
      <c r="B61" s="159">
        <f>SUM(B3:B60)</f>
        <v>224.7</v>
      </c>
      <c r="C61" s="159">
        <f>SUM(C3:C60)</f>
        <v>228.35</v>
      </c>
      <c r="D61" s="159">
        <f>SUM(D3:D60)</f>
        <v>224.75</v>
      </c>
      <c r="E61" s="159">
        <f t="shared" ref="E61:K61" si="4">SUM(E3:E60)</f>
        <v>225.4</v>
      </c>
      <c r="F61" s="159">
        <f t="shared" si="4"/>
        <v>229.2</v>
      </c>
      <c r="G61" s="159">
        <f t="shared" si="4"/>
        <v>266</v>
      </c>
      <c r="H61" s="159">
        <f t="shared" si="4"/>
        <v>314.8</v>
      </c>
      <c r="I61" s="159">
        <f t="shared" si="4"/>
        <v>170.3</v>
      </c>
      <c r="J61" s="159">
        <f t="shared" si="4"/>
        <v>768.35</v>
      </c>
      <c r="K61" s="159">
        <f t="shared" si="4"/>
        <v>3432</v>
      </c>
      <c r="L61" s="160">
        <f>SUM(L3:L60)</f>
        <v>1567872.55</v>
      </c>
      <c r="M61" s="161"/>
      <c r="N61" s="158"/>
      <c r="O61" s="159">
        <f>SUM(O3:O60)</f>
        <v>14.5</v>
      </c>
      <c r="P61" s="159">
        <f t="shared" ref="P61:W61" si="5">SUM(P3:P60)</f>
        <v>23.5</v>
      </c>
      <c r="Q61" s="159">
        <f t="shared" si="5"/>
        <v>2.5</v>
      </c>
      <c r="R61" s="159">
        <f t="shared" si="5"/>
        <v>2.5</v>
      </c>
      <c r="S61" s="159">
        <f t="shared" si="5"/>
        <v>411.05999999999995</v>
      </c>
      <c r="T61" s="159">
        <f t="shared" si="5"/>
        <v>0</v>
      </c>
      <c r="U61" s="159">
        <f t="shared" si="5"/>
        <v>314.79999999999995</v>
      </c>
      <c r="V61" s="159">
        <f t="shared" si="5"/>
        <v>144.85000000000002</v>
      </c>
      <c r="W61" s="159">
        <f t="shared" si="5"/>
        <v>334.23</v>
      </c>
      <c r="X61" s="160"/>
      <c r="Y61" s="167"/>
    </row>
  </sheetData>
  <phoneticPr fontId="32" type="noConversion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26"/>
  <sheetViews>
    <sheetView topLeftCell="F1" workbookViewId="0">
      <pane ySplit="1" topLeftCell="A2" activePane="bottomLeft" state="frozen"/>
      <selection pane="bottomLeft" activeCell="N18" sqref="N18"/>
    </sheetView>
  </sheetViews>
  <sheetFormatPr defaultColWidth="8.85546875" defaultRowHeight="15.75" x14ac:dyDescent="0.25"/>
  <cols>
    <col min="1" max="5" width="11.140625" style="98" customWidth="1"/>
    <col min="6" max="6" width="10.5703125" style="102" customWidth="1"/>
    <col min="7" max="7" width="14.42578125" style="102" bestFit="1" customWidth="1"/>
    <col min="8" max="8" width="4.140625" style="102" customWidth="1"/>
    <col min="9" max="9" width="10.42578125" style="98" customWidth="1"/>
    <col min="10" max="10" width="13.7109375" style="98" customWidth="1"/>
    <col min="11" max="14" width="11.28515625" style="98" customWidth="1"/>
    <col min="15" max="15" width="10.5703125" style="102" customWidth="1"/>
    <col min="16" max="16" width="14.42578125" style="102" bestFit="1" customWidth="1"/>
    <col min="17" max="18" width="8.85546875" style="98"/>
    <col min="19" max="19" width="14.42578125" style="98" bestFit="1" customWidth="1"/>
    <col min="20" max="20" width="8.85546875" style="98"/>
    <col min="21" max="21" width="16.85546875" style="98" customWidth="1"/>
    <col min="22" max="16384" width="8.85546875" style="98"/>
  </cols>
  <sheetData>
    <row r="1" spans="1:27" s="93" customFormat="1" ht="71.25" x14ac:dyDescent="0.25">
      <c r="A1" s="90" t="s">
        <v>60</v>
      </c>
      <c r="B1" s="90" t="s">
        <v>89</v>
      </c>
      <c r="C1" s="90" t="s">
        <v>90</v>
      </c>
      <c r="D1" s="133" t="s">
        <v>12</v>
      </c>
      <c r="E1" s="90" t="s">
        <v>34</v>
      </c>
      <c r="F1" s="91" t="s">
        <v>61</v>
      </c>
      <c r="G1" s="91" t="s">
        <v>62</v>
      </c>
      <c r="H1" s="91"/>
      <c r="I1" s="90" t="s">
        <v>63</v>
      </c>
      <c r="J1" s="90" t="s">
        <v>64</v>
      </c>
      <c r="K1" s="90" t="s">
        <v>89</v>
      </c>
      <c r="L1" s="90" t="s">
        <v>90</v>
      </c>
      <c r="M1" s="133" t="s">
        <v>12</v>
      </c>
      <c r="N1" s="90" t="s">
        <v>34</v>
      </c>
      <c r="O1" s="91" t="s">
        <v>61</v>
      </c>
      <c r="P1" s="91" t="s">
        <v>62</v>
      </c>
      <c r="Q1" s="92"/>
      <c r="R1" s="92"/>
      <c r="S1" s="90" t="s">
        <v>89</v>
      </c>
      <c r="T1" s="90" t="s">
        <v>90</v>
      </c>
      <c r="U1" s="133" t="s">
        <v>12</v>
      </c>
      <c r="V1" s="90" t="s">
        <v>34</v>
      </c>
      <c r="W1" s="90"/>
    </row>
    <row r="2" spans="1:27" x14ac:dyDescent="0.25">
      <c r="A2" s="94" t="s">
        <v>65</v>
      </c>
      <c r="B2" s="95"/>
      <c r="C2" s="95"/>
      <c r="D2" s="95"/>
      <c r="E2" s="95"/>
      <c r="F2" s="96"/>
      <c r="G2" s="96"/>
      <c r="H2" s="97"/>
      <c r="I2" s="94" t="s">
        <v>65</v>
      </c>
      <c r="J2" s="95"/>
      <c r="K2" s="95"/>
      <c r="L2" s="95"/>
      <c r="M2" s="95"/>
      <c r="N2" s="95"/>
      <c r="O2" s="96"/>
      <c r="P2" s="96"/>
      <c r="R2" s="99"/>
      <c r="S2" s="100">
        <f>0+B26-K26</f>
        <v>0</v>
      </c>
      <c r="T2" s="100">
        <f>0+C26-L26</f>
        <v>0</v>
      </c>
      <c r="U2" s="100">
        <f>0+D26-M26</f>
        <v>0</v>
      </c>
      <c r="V2" s="100">
        <f>0+E26-N26</f>
        <v>0</v>
      </c>
      <c r="W2" s="100"/>
      <c r="X2" s="99"/>
      <c r="Y2" s="99"/>
      <c r="Z2" s="99"/>
      <c r="AA2" s="99"/>
    </row>
    <row r="3" spans="1:27" x14ac:dyDescent="0.25">
      <c r="A3" s="101">
        <v>45583</v>
      </c>
      <c r="B3" s="100">
        <v>100</v>
      </c>
      <c r="C3" s="100"/>
      <c r="D3" s="100"/>
      <c r="E3" s="100"/>
      <c r="F3" s="96">
        <v>10.06</v>
      </c>
      <c r="G3" s="96">
        <f>B3*F3+C3*F3+D3*F3+E3*F3</f>
        <v>1006</v>
      </c>
      <c r="H3" s="97"/>
      <c r="I3" s="101"/>
      <c r="J3" s="95"/>
      <c r="K3" s="100"/>
      <c r="L3" s="100"/>
      <c r="M3" s="100"/>
      <c r="N3" s="100"/>
      <c r="O3" s="96"/>
      <c r="P3" s="96">
        <f>K3*O3+L3*O3+M3*O3+N3*O3</f>
        <v>0</v>
      </c>
      <c r="S3" s="96">
        <v>10.06</v>
      </c>
      <c r="T3" s="96">
        <v>619</v>
      </c>
      <c r="U3" s="96">
        <v>2.91</v>
      </c>
      <c r="V3" s="96">
        <v>12.59</v>
      </c>
      <c r="W3" s="96"/>
      <c r="X3" s="102"/>
      <c r="Y3" s="102"/>
      <c r="Z3" s="102"/>
    </row>
    <row r="4" spans="1:27" x14ac:dyDescent="0.25">
      <c r="A4" s="101">
        <v>45603</v>
      </c>
      <c r="B4" s="100"/>
      <c r="C4" s="100">
        <v>1</v>
      </c>
      <c r="D4" s="100"/>
      <c r="E4" s="100"/>
      <c r="F4" s="96">
        <v>619</v>
      </c>
      <c r="G4" s="96">
        <f t="shared" ref="G4:G25" si="0">B4*F4+C4*F4+D4*F4+E4*F4</f>
        <v>619</v>
      </c>
      <c r="H4" s="97"/>
      <c r="I4" s="101"/>
      <c r="J4" s="95"/>
      <c r="K4" s="100"/>
      <c r="L4" s="100"/>
      <c r="M4" s="100"/>
      <c r="N4" s="100"/>
      <c r="O4" s="96"/>
      <c r="P4" s="96">
        <f t="shared" ref="P4:P25" si="1">K4*O4+L4*O4+M4*O4+N4*O4</f>
        <v>0</v>
      </c>
      <c r="S4" s="96">
        <f>S2*S3</f>
        <v>0</v>
      </c>
      <c r="T4" s="96">
        <f>T2*T3</f>
        <v>0</v>
      </c>
      <c r="U4" s="96">
        <f>U2*U3</f>
        <v>0</v>
      </c>
      <c r="V4" s="96">
        <f>V2*V3</f>
        <v>0</v>
      </c>
      <c r="W4" s="96"/>
      <c r="X4" s="102"/>
      <c r="Y4" s="102"/>
      <c r="Z4" s="102"/>
    </row>
    <row r="5" spans="1:27" x14ac:dyDescent="0.25">
      <c r="A5" s="95"/>
      <c r="B5" s="100"/>
      <c r="C5" s="100"/>
      <c r="D5" s="100"/>
      <c r="E5" s="100"/>
      <c r="F5" s="96"/>
      <c r="G5" s="96">
        <f t="shared" si="0"/>
        <v>0</v>
      </c>
      <c r="H5" s="97"/>
      <c r="I5" s="101">
        <v>45607</v>
      </c>
      <c r="J5" s="95" t="s">
        <v>66</v>
      </c>
      <c r="K5" s="100"/>
      <c r="L5" s="100">
        <v>1</v>
      </c>
      <c r="M5" s="100"/>
      <c r="N5" s="100"/>
      <c r="O5" s="96">
        <v>619</v>
      </c>
      <c r="P5" s="96">
        <f t="shared" si="1"/>
        <v>619</v>
      </c>
    </row>
    <row r="6" spans="1:27" x14ac:dyDescent="0.25">
      <c r="A6" s="101">
        <v>45614</v>
      </c>
      <c r="B6" s="100"/>
      <c r="C6" s="100"/>
      <c r="D6" s="100">
        <v>1000</v>
      </c>
      <c r="E6" s="100"/>
      <c r="F6" s="96">
        <v>2.91</v>
      </c>
      <c r="G6" s="96">
        <f t="shared" si="0"/>
        <v>2910</v>
      </c>
      <c r="H6" s="97"/>
      <c r="I6" s="101">
        <v>45614</v>
      </c>
      <c r="J6" s="95" t="s">
        <v>66</v>
      </c>
      <c r="K6" s="100"/>
      <c r="L6" s="100"/>
      <c r="M6" s="100">
        <v>7</v>
      </c>
      <c r="N6" s="100"/>
      <c r="O6" s="96">
        <v>2.91</v>
      </c>
      <c r="P6" s="96">
        <f t="shared" si="1"/>
        <v>20.37</v>
      </c>
    </row>
    <row r="7" spans="1:27" x14ac:dyDescent="0.25">
      <c r="A7" s="95"/>
      <c r="B7" s="100"/>
      <c r="C7" s="100"/>
      <c r="D7" s="100"/>
      <c r="E7" s="100"/>
      <c r="F7" s="96"/>
      <c r="G7" s="96">
        <f t="shared" si="0"/>
        <v>0</v>
      </c>
      <c r="H7" s="97"/>
      <c r="I7" s="101">
        <v>45621</v>
      </c>
      <c r="J7" s="95" t="s">
        <v>66</v>
      </c>
      <c r="K7" s="100"/>
      <c r="L7" s="100"/>
      <c r="M7" s="100">
        <v>296</v>
      </c>
      <c r="N7" s="100"/>
      <c r="O7" s="96">
        <v>2.91</v>
      </c>
      <c r="P7" s="96">
        <f t="shared" si="1"/>
        <v>861.36</v>
      </c>
    </row>
    <row r="8" spans="1:27" x14ac:dyDescent="0.25">
      <c r="A8" s="95"/>
      <c r="B8" s="100"/>
      <c r="C8" s="100"/>
      <c r="D8" s="100"/>
      <c r="E8" s="100"/>
      <c r="F8" s="96"/>
      <c r="G8" s="96">
        <f t="shared" si="0"/>
        <v>0</v>
      </c>
      <c r="H8" s="97"/>
      <c r="I8" s="101">
        <v>45622</v>
      </c>
      <c r="J8" s="95" t="s">
        <v>66</v>
      </c>
      <c r="K8" s="100"/>
      <c r="L8" s="100"/>
      <c r="M8" s="100">
        <v>345</v>
      </c>
      <c r="N8" s="100"/>
      <c r="O8" s="96">
        <v>2.91</v>
      </c>
      <c r="P8" s="96">
        <f t="shared" si="1"/>
        <v>1003.95</v>
      </c>
    </row>
    <row r="9" spans="1:27" x14ac:dyDescent="0.25">
      <c r="A9" s="101">
        <v>45624</v>
      </c>
      <c r="B9" s="100"/>
      <c r="C9" s="100"/>
      <c r="D9" s="100"/>
      <c r="E9" s="100">
        <v>100</v>
      </c>
      <c r="F9" s="96">
        <v>12.59</v>
      </c>
      <c r="G9" s="96">
        <f t="shared" si="0"/>
        <v>1259</v>
      </c>
      <c r="H9" s="97"/>
      <c r="I9" s="101">
        <v>45624</v>
      </c>
      <c r="J9" s="95" t="s">
        <v>66</v>
      </c>
      <c r="K9" s="100"/>
      <c r="L9" s="100"/>
      <c r="M9" s="100"/>
      <c r="N9" s="100">
        <v>24</v>
      </c>
      <c r="O9" s="96">
        <v>12.59</v>
      </c>
      <c r="P9" s="96">
        <f t="shared" si="1"/>
        <v>302.15999999999997</v>
      </c>
    </row>
    <row r="10" spans="1:27" x14ac:dyDescent="0.25">
      <c r="A10" s="95"/>
      <c r="B10" s="100"/>
      <c r="C10" s="100"/>
      <c r="D10" s="100"/>
      <c r="E10" s="100"/>
      <c r="F10" s="96"/>
      <c r="G10" s="96">
        <f t="shared" si="0"/>
        <v>0</v>
      </c>
      <c r="H10" s="97"/>
      <c r="I10" s="101">
        <v>45625</v>
      </c>
      <c r="J10" s="95" t="s">
        <v>66</v>
      </c>
      <c r="K10" s="100"/>
      <c r="L10" s="100"/>
      <c r="M10" s="100"/>
      <c r="N10" s="100">
        <v>3</v>
      </c>
      <c r="O10" s="96">
        <v>12.59</v>
      </c>
      <c r="P10" s="96">
        <f t="shared" si="1"/>
        <v>37.769999999999996</v>
      </c>
    </row>
    <row r="11" spans="1:27" x14ac:dyDescent="0.25">
      <c r="A11" s="95"/>
      <c r="B11" s="100"/>
      <c r="C11" s="100"/>
      <c r="D11" s="100"/>
      <c r="E11" s="100"/>
      <c r="F11" s="96"/>
      <c r="G11" s="96">
        <f t="shared" si="0"/>
        <v>0</v>
      </c>
      <c r="H11" s="97"/>
      <c r="I11" s="101">
        <v>45628</v>
      </c>
      <c r="J11" s="95" t="s">
        <v>66</v>
      </c>
      <c r="K11" s="100"/>
      <c r="L11" s="100"/>
      <c r="M11" s="100"/>
      <c r="N11" s="100">
        <v>8</v>
      </c>
      <c r="O11" s="96">
        <v>12.59</v>
      </c>
      <c r="P11" s="96">
        <f t="shared" si="1"/>
        <v>100.72</v>
      </c>
    </row>
    <row r="12" spans="1:27" x14ac:dyDescent="0.25">
      <c r="A12" s="95"/>
      <c r="B12" s="100"/>
      <c r="C12" s="100"/>
      <c r="D12" s="100"/>
      <c r="E12" s="100"/>
      <c r="F12" s="96"/>
      <c r="G12" s="96">
        <f t="shared" si="0"/>
        <v>0</v>
      </c>
      <c r="H12" s="97"/>
      <c r="I12" s="101">
        <v>45630</v>
      </c>
      <c r="J12" s="95" t="s">
        <v>66</v>
      </c>
      <c r="K12" s="100"/>
      <c r="L12" s="100"/>
      <c r="M12" s="100"/>
      <c r="N12" s="100">
        <v>10</v>
      </c>
      <c r="O12" s="96">
        <v>12.59</v>
      </c>
      <c r="P12" s="96">
        <f t="shared" si="1"/>
        <v>125.9</v>
      </c>
    </row>
    <row r="13" spans="1:27" x14ac:dyDescent="0.25">
      <c r="A13" s="95"/>
      <c r="B13" s="100"/>
      <c r="C13" s="100"/>
      <c r="D13" s="100"/>
      <c r="E13" s="100"/>
      <c r="F13" s="96"/>
      <c r="G13" s="96">
        <f t="shared" si="0"/>
        <v>0</v>
      </c>
      <c r="H13" s="97"/>
      <c r="I13" s="95"/>
      <c r="J13" s="95" t="s">
        <v>66</v>
      </c>
      <c r="K13" s="100"/>
      <c r="L13" s="100"/>
      <c r="M13" s="100">
        <v>175</v>
      </c>
      <c r="N13" s="100"/>
      <c r="O13" s="96">
        <v>2.91</v>
      </c>
      <c r="P13" s="96">
        <f t="shared" si="1"/>
        <v>509.25</v>
      </c>
    </row>
    <row r="14" spans="1:27" x14ac:dyDescent="0.25">
      <c r="A14" s="95"/>
      <c r="B14" s="100"/>
      <c r="C14" s="100"/>
      <c r="D14" s="100"/>
      <c r="E14" s="100"/>
      <c r="F14" s="96"/>
      <c r="G14" s="96">
        <f t="shared" si="0"/>
        <v>0</v>
      </c>
      <c r="H14" s="97"/>
      <c r="I14" s="101">
        <v>45631</v>
      </c>
      <c r="J14" s="95"/>
      <c r="K14" s="100"/>
      <c r="L14" s="100"/>
      <c r="M14" s="100">
        <v>177</v>
      </c>
      <c r="N14" s="100"/>
      <c r="O14" s="96">
        <v>2.91</v>
      </c>
      <c r="P14" s="96">
        <f t="shared" si="1"/>
        <v>515.07000000000005</v>
      </c>
    </row>
    <row r="15" spans="1:27" x14ac:dyDescent="0.25">
      <c r="A15" s="147"/>
      <c r="B15" s="148"/>
      <c r="C15" s="148"/>
      <c r="D15" s="148"/>
      <c r="E15" s="148"/>
      <c r="F15" s="149"/>
      <c r="G15" s="149">
        <f t="shared" si="0"/>
        <v>0</v>
      </c>
      <c r="H15" s="149"/>
      <c r="I15" s="147"/>
      <c r="J15" s="147"/>
      <c r="K15" s="148"/>
      <c r="L15" s="148"/>
      <c r="M15" s="148"/>
      <c r="N15" s="148"/>
      <c r="O15" s="149"/>
      <c r="P15" s="149">
        <f t="shared" si="1"/>
        <v>0</v>
      </c>
    </row>
    <row r="16" spans="1:27" x14ac:dyDescent="0.25">
      <c r="A16" s="95"/>
      <c r="B16" s="100"/>
      <c r="C16" s="100"/>
      <c r="D16" s="100"/>
      <c r="E16" s="100"/>
      <c r="F16" s="96"/>
      <c r="G16" s="96">
        <f t="shared" si="0"/>
        <v>0</v>
      </c>
      <c r="H16" s="97"/>
      <c r="I16" s="101">
        <v>45680</v>
      </c>
      <c r="J16" s="95" t="s">
        <v>66</v>
      </c>
      <c r="K16" s="100"/>
      <c r="L16" s="100"/>
      <c r="M16" s="100"/>
      <c r="N16" s="100">
        <v>55</v>
      </c>
      <c r="O16" s="96">
        <v>12.59</v>
      </c>
      <c r="P16" s="96">
        <f t="shared" si="1"/>
        <v>692.45</v>
      </c>
    </row>
    <row r="17" spans="1:16" x14ac:dyDescent="0.25">
      <c r="A17" s="95"/>
      <c r="B17" s="100"/>
      <c r="C17" s="100"/>
      <c r="D17" s="100"/>
      <c r="E17" s="100"/>
      <c r="F17" s="96"/>
      <c r="G17" s="96">
        <f t="shared" si="0"/>
        <v>0</v>
      </c>
      <c r="H17" s="97"/>
      <c r="I17" s="101">
        <v>45687</v>
      </c>
      <c r="J17" s="95" t="s">
        <v>66</v>
      </c>
      <c r="K17" s="100">
        <v>100</v>
      </c>
      <c r="L17" s="100"/>
      <c r="M17" s="100"/>
      <c r="N17" s="100"/>
      <c r="O17" s="96">
        <v>10.06</v>
      </c>
      <c r="P17" s="96">
        <f t="shared" si="1"/>
        <v>1006</v>
      </c>
    </row>
    <row r="18" spans="1:16" x14ac:dyDescent="0.25">
      <c r="A18" s="95"/>
      <c r="B18" s="100"/>
      <c r="C18" s="100"/>
      <c r="D18" s="100"/>
      <c r="E18" s="100"/>
      <c r="F18" s="96"/>
      <c r="G18" s="96">
        <f t="shared" si="0"/>
        <v>0</v>
      </c>
      <c r="H18" s="97"/>
      <c r="I18" s="95"/>
      <c r="J18" s="95"/>
      <c r="K18" s="100"/>
      <c r="L18" s="100"/>
      <c r="M18" s="100"/>
      <c r="N18" s="100"/>
      <c r="O18" s="96"/>
      <c r="P18" s="96">
        <f t="shared" si="1"/>
        <v>0</v>
      </c>
    </row>
    <row r="19" spans="1:16" x14ac:dyDescent="0.25">
      <c r="A19" s="95"/>
      <c r="B19" s="100"/>
      <c r="C19" s="100"/>
      <c r="D19" s="100"/>
      <c r="E19" s="100"/>
      <c r="F19" s="96"/>
      <c r="G19" s="96">
        <f t="shared" si="0"/>
        <v>0</v>
      </c>
      <c r="H19" s="97"/>
      <c r="I19" s="95"/>
      <c r="J19" s="95"/>
      <c r="K19" s="100"/>
      <c r="L19" s="100"/>
      <c r="M19" s="100"/>
      <c r="N19" s="100"/>
      <c r="O19" s="96"/>
      <c r="P19" s="96">
        <f t="shared" si="1"/>
        <v>0</v>
      </c>
    </row>
    <row r="20" spans="1:16" x14ac:dyDescent="0.25">
      <c r="A20" s="95"/>
      <c r="B20" s="100"/>
      <c r="C20" s="100"/>
      <c r="D20" s="100"/>
      <c r="E20" s="100"/>
      <c r="F20" s="96"/>
      <c r="G20" s="96">
        <f t="shared" si="0"/>
        <v>0</v>
      </c>
      <c r="H20" s="97"/>
      <c r="I20" s="95"/>
      <c r="J20" s="95"/>
      <c r="K20" s="100"/>
      <c r="L20" s="100"/>
      <c r="M20" s="100"/>
      <c r="N20" s="100"/>
      <c r="O20" s="96"/>
      <c r="P20" s="96">
        <f t="shared" si="1"/>
        <v>0</v>
      </c>
    </row>
    <row r="21" spans="1:16" x14ac:dyDescent="0.25">
      <c r="A21" s="95"/>
      <c r="B21" s="100"/>
      <c r="C21" s="100"/>
      <c r="D21" s="100"/>
      <c r="E21" s="100"/>
      <c r="F21" s="96"/>
      <c r="G21" s="96">
        <f t="shared" si="0"/>
        <v>0</v>
      </c>
      <c r="H21" s="97"/>
      <c r="I21" s="95"/>
      <c r="J21" s="95"/>
      <c r="K21" s="100"/>
      <c r="L21" s="100"/>
      <c r="M21" s="100"/>
      <c r="N21" s="100"/>
      <c r="O21" s="96"/>
      <c r="P21" s="96">
        <f t="shared" si="1"/>
        <v>0</v>
      </c>
    </row>
    <row r="22" spans="1:16" x14ac:dyDescent="0.25">
      <c r="A22" s="95"/>
      <c r="B22" s="100"/>
      <c r="C22" s="100"/>
      <c r="D22" s="100"/>
      <c r="E22" s="100"/>
      <c r="F22" s="96"/>
      <c r="G22" s="96">
        <f t="shared" si="0"/>
        <v>0</v>
      </c>
      <c r="H22" s="97"/>
      <c r="I22" s="95"/>
      <c r="J22" s="95"/>
      <c r="K22" s="100"/>
      <c r="L22" s="100"/>
      <c r="M22" s="100"/>
      <c r="N22" s="100"/>
      <c r="O22" s="96"/>
      <c r="P22" s="96">
        <f t="shared" si="1"/>
        <v>0</v>
      </c>
    </row>
    <row r="23" spans="1:16" x14ac:dyDescent="0.25">
      <c r="A23" s="95"/>
      <c r="B23" s="100"/>
      <c r="C23" s="100"/>
      <c r="D23" s="100"/>
      <c r="E23" s="100"/>
      <c r="F23" s="96"/>
      <c r="G23" s="96">
        <f t="shared" si="0"/>
        <v>0</v>
      </c>
      <c r="H23" s="97"/>
      <c r="I23" s="95"/>
      <c r="J23" s="95"/>
      <c r="K23" s="100"/>
      <c r="L23" s="100"/>
      <c r="M23" s="100"/>
      <c r="N23" s="100"/>
      <c r="O23" s="96"/>
      <c r="P23" s="96">
        <f t="shared" si="1"/>
        <v>0</v>
      </c>
    </row>
    <row r="24" spans="1:16" x14ac:dyDescent="0.25">
      <c r="A24" s="95"/>
      <c r="B24" s="100"/>
      <c r="C24" s="100"/>
      <c r="D24" s="100"/>
      <c r="E24" s="100"/>
      <c r="F24" s="96"/>
      <c r="G24" s="96">
        <f t="shared" si="0"/>
        <v>0</v>
      </c>
      <c r="H24" s="97"/>
      <c r="I24" s="95"/>
      <c r="J24" s="95"/>
      <c r="K24" s="100"/>
      <c r="L24" s="100"/>
      <c r="M24" s="100"/>
      <c r="N24" s="100"/>
      <c r="O24" s="96"/>
      <c r="P24" s="96">
        <f t="shared" si="1"/>
        <v>0</v>
      </c>
    </row>
    <row r="25" spans="1:16" x14ac:dyDescent="0.25">
      <c r="A25" s="95"/>
      <c r="B25" s="100"/>
      <c r="C25" s="100"/>
      <c r="D25" s="100"/>
      <c r="E25" s="100"/>
      <c r="F25" s="96"/>
      <c r="G25" s="96">
        <f t="shared" si="0"/>
        <v>0</v>
      </c>
      <c r="H25" s="97"/>
      <c r="I25" s="95"/>
      <c r="J25" s="95"/>
      <c r="K25" s="100"/>
      <c r="L25" s="100"/>
      <c r="M25" s="100"/>
      <c r="N25" s="100"/>
      <c r="O25" s="96"/>
      <c r="P25" s="96">
        <f t="shared" si="1"/>
        <v>0</v>
      </c>
    </row>
    <row r="26" spans="1:16" x14ac:dyDescent="0.25">
      <c r="A26" s="95"/>
      <c r="B26" s="100">
        <f>SUM(B3:B25)</f>
        <v>100</v>
      </c>
      <c r="C26" s="100">
        <f t="shared" ref="C26:E26" si="2">SUM(C3:C25)</f>
        <v>1</v>
      </c>
      <c r="D26" s="100">
        <f t="shared" si="2"/>
        <v>1000</v>
      </c>
      <c r="E26" s="100">
        <f t="shared" si="2"/>
        <v>100</v>
      </c>
      <c r="F26" s="96"/>
      <c r="G26" s="96"/>
      <c r="H26" s="97"/>
      <c r="I26" s="95"/>
      <c r="J26" s="95"/>
      <c r="K26" s="100">
        <f>SUM(K3:K25)</f>
        <v>100</v>
      </c>
      <c r="L26" s="100">
        <f t="shared" ref="L26:N26" si="3">SUM(L3:L25)</f>
        <v>1</v>
      </c>
      <c r="M26" s="100">
        <f t="shared" si="3"/>
        <v>1000</v>
      </c>
      <c r="N26" s="100">
        <f t="shared" si="3"/>
        <v>100</v>
      </c>
      <c r="O26" s="96"/>
      <c r="P26" s="96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20"/>
  <sheetViews>
    <sheetView workbookViewId="0">
      <selection activeCell="O22" sqref="O22"/>
    </sheetView>
  </sheetViews>
  <sheetFormatPr defaultColWidth="8.85546875" defaultRowHeight="15.75" x14ac:dyDescent="0.25"/>
  <cols>
    <col min="1" max="3" width="11.140625" style="98" customWidth="1"/>
    <col min="4" max="5" width="2.28515625" style="98" customWidth="1"/>
    <col min="6" max="6" width="10.5703125" style="102" customWidth="1"/>
    <col min="7" max="7" width="14.42578125" style="102" bestFit="1" customWidth="1"/>
    <col min="8" max="8" width="4.140625" style="102" customWidth="1"/>
    <col min="9" max="9" width="10.42578125" style="98" customWidth="1"/>
    <col min="10" max="10" width="13.7109375" style="98" customWidth="1"/>
    <col min="11" max="12" width="11.28515625" style="98" customWidth="1"/>
    <col min="13" max="14" width="3" style="98" customWidth="1"/>
    <col min="15" max="15" width="10.5703125" style="102" customWidth="1"/>
    <col min="16" max="16" width="14.42578125" style="102" bestFit="1" customWidth="1"/>
    <col min="17" max="18" width="8.85546875" style="98"/>
    <col min="19" max="19" width="14.42578125" style="98" bestFit="1" customWidth="1"/>
    <col min="20" max="20" width="8.85546875" style="98"/>
    <col min="21" max="21" width="16.85546875" style="98" customWidth="1"/>
    <col min="22" max="16384" width="8.85546875" style="98"/>
  </cols>
  <sheetData>
    <row r="1" spans="1:27" s="93" customFormat="1" ht="42.75" x14ac:dyDescent="0.25">
      <c r="A1" s="90" t="s">
        <v>60</v>
      </c>
      <c r="B1" s="90" t="s">
        <v>91</v>
      </c>
      <c r="C1" s="90"/>
      <c r="D1" s="133"/>
      <c r="E1" s="90"/>
      <c r="F1" s="91" t="s">
        <v>61</v>
      </c>
      <c r="G1" s="91" t="s">
        <v>62</v>
      </c>
      <c r="H1" s="91"/>
      <c r="I1" s="90" t="s">
        <v>63</v>
      </c>
      <c r="J1" s="90" t="s">
        <v>64</v>
      </c>
      <c r="K1" s="90" t="s">
        <v>91</v>
      </c>
      <c r="L1" s="90"/>
      <c r="M1" s="133"/>
      <c r="N1" s="90"/>
      <c r="O1" s="91" t="s">
        <v>61</v>
      </c>
      <c r="P1" s="91" t="s">
        <v>62</v>
      </c>
      <c r="Q1" s="92"/>
      <c r="R1" s="92"/>
      <c r="S1" s="90" t="s">
        <v>91</v>
      </c>
      <c r="T1" s="90"/>
      <c r="U1" s="133"/>
      <c r="V1" s="90"/>
      <c r="W1" s="90"/>
    </row>
    <row r="2" spans="1:27" x14ac:dyDescent="0.25">
      <c r="A2" s="151" t="s">
        <v>67</v>
      </c>
      <c r="B2" s="95"/>
      <c r="C2" s="95"/>
      <c r="D2" s="95"/>
      <c r="E2" s="95"/>
      <c r="F2" s="96"/>
      <c r="G2" s="96"/>
      <c r="H2" s="97"/>
      <c r="I2" s="151" t="s">
        <v>67</v>
      </c>
      <c r="J2" s="95"/>
      <c r="K2" s="95"/>
      <c r="L2" s="95"/>
      <c r="M2" s="95"/>
      <c r="N2" s="95"/>
      <c r="O2" s="96"/>
      <c r="P2" s="96"/>
      <c r="R2" s="99"/>
      <c r="S2" s="100">
        <f>0+B20-K20</f>
        <v>0</v>
      </c>
      <c r="T2" s="100">
        <f>0+C20-L20</f>
        <v>0</v>
      </c>
      <c r="U2" s="100">
        <f>0+D20-M20</f>
        <v>0</v>
      </c>
      <c r="V2" s="100">
        <f>0+E20-N20</f>
        <v>0</v>
      </c>
      <c r="W2" s="100"/>
      <c r="X2" s="99"/>
      <c r="Y2" s="99"/>
      <c r="Z2" s="99"/>
      <c r="AA2" s="99"/>
    </row>
    <row r="3" spans="1:27" x14ac:dyDescent="0.25">
      <c r="A3" s="101">
        <v>45672</v>
      </c>
      <c r="B3" s="100">
        <v>400</v>
      </c>
      <c r="C3" s="100"/>
      <c r="D3" s="100"/>
      <c r="E3" s="100"/>
      <c r="F3" s="96">
        <v>20.239999999999998</v>
      </c>
      <c r="G3" s="96">
        <f>B3*F3+C3*F3+D3*F3+E3*F3</f>
        <v>8095.9999999999991</v>
      </c>
      <c r="H3" s="97"/>
      <c r="I3" s="101"/>
      <c r="J3" s="95"/>
      <c r="K3" s="100"/>
      <c r="L3" s="100"/>
      <c r="M3" s="100"/>
      <c r="N3" s="100"/>
      <c r="O3" s="96"/>
      <c r="P3" s="96">
        <f>K3*O3+L3*O3+M3*O3+N3*O3</f>
        <v>0</v>
      </c>
      <c r="S3" s="96">
        <v>20.239999999999998</v>
      </c>
      <c r="T3" s="96"/>
      <c r="U3" s="96"/>
      <c r="V3" s="96"/>
      <c r="W3" s="96"/>
      <c r="X3" s="102"/>
      <c r="Y3" s="102"/>
      <c r="Z3" s="102"/>
    </row>
    <row r="4" spans="1:27" x14ac:dyDescent="0.25">
      <c r="A4" s="101"/>
      <c r="B4" s="100"/>
      <c r="C4" s="100"/>
      <c r="D4" s="100"/>
      <c r="E4" s="100"/>
      <c r="F4" s="96"/>
      <c r="G4" s="96">
        <f t="shared" ref="G4:G19" si="0">B4*F4+C4*F4+D4*F4+E4*F4</f>
        <v>0</v>
      </c>
      <c r="H4" s="97"/>
      <c r="I4" s="101">
        <v>45674</v>
      </c>
      <c r="J4" s="95" t="s">
        <v>66</v>
      </c>
      <c r="K4" s="100">
        <v>400</v>
      </c>
      <c r="L4" s="100"/>
      <c r="M4" s="100"/>
      <c r="N4" s="100"/>
      <c r="O4" s="96">
        <v>20.239999999999998</v>
      </c>
      <c r="P4" s="96">
        <f t="shared" ref="P4:P19" si="1">K4*O4+L4*O4+M4*O4+N4*O4</f>
        <v>8095.9999999999991</v>
      </c>
      <c r="S4" s="96">
        <f>S2*S3</f>
        <v>0</v>
      </c>
      <c r="T4" s="96">
        <f>T2*T3</f>
        <v>0</v>
      </c>
      <c r="U4" s="96">
        <f>U2*U3</f>
        <v>0</v>
      </c>
      <c r="V4" s="96">
        <f>V2*V3</f>
        <v>0</v>
      </c>
      <c r="W4" s="96"/>
      <c r="X4" s="102"/>
      <c r="Y4" s="102"/>
      <c r="Z4" s="102"/>
    </row>
    <row r="5" spans="1:27" x14ac:dyDescent="0.25">
      <c r="A5" s="95"/>
      <c r="B5" s="100"/>
      <c r="C5" s="100"/>
      <c r="D5" s="100"/>
      <c r="E5" s="100"/>
      <c r="F5" s="96"/>
      <c r="G5" s="96">
        <f t="shared" si="0"/>
        <v>0</v>
      </c>
      <c r="H5" s="97"/>
      <c r="I5" s="101"/>
      <c r="J5" s="95"/>
      <c r="K5" s="100"/>
      <c r="L5" s="100"/>
      <c r="M5" s="100"/>
      <c r="N5" s="100"/>
      <c r="O5" s="96"/>
      <c r="P5" s="96">
        <f t="shared" si="1"/>
        <v>0</v>
      </c>
    </row>
    <row r="6" spans="1:27" x14ac:dyDescent="0.25">
      <c r="A6" s="101"/>
      <c r="B6" s="100"/>
      <c r="C6" s="100"/>
      <c r="D6" s="100"/>
      <c r="E6" s="100"/>
      <c r="F6" s="96"/>
      <c r="G6" s="96">
        <f t="shared" si="0"/>
        <v>0</v>
      </c>
      <c r="H6" s="97"/>
      <c r="I6" s="101"/>
      <c r="J6" s="95"/>
      <c r="K6" s="100"/>
      <c r="L6" s="100"/>
      <c r="M6" s="100"/>
      <c r="N6" s="100"/>
      <c r="O6" s="96"/>
      <c r="P6" s="96">
        <f t="shared" si="1"/>
        <v>0</v>
      </c>
    </row>
    <row r="7" spans="1:27" x14ac:dyDescent="0.25">
      <c r="A7" s="95"/>
      <c r="B7" s="100"/>
      <c r="C7" s="100"/>
      <c r="D7" s="100"/>
      <c r="E7" s="100"/>
      <c r="F7" s="96"/>
      <c r="G7" s="96">
        <f t="shared" si="0"/>
        <v>0</v>
      </c>
      <c r="H7" s="97"/>
      <c r="I7" s="101"/>
      <c r="J7" s="95"/>
      <c r="K7" s="100"/>
      <c r="L7" s="100"/>
      <c r="M7" s="100"/>
      <c r="N7" s="100"/>
      <c r="O7" s="96"/>
      <c r="P7" s="96">
        <f t="shared" si="1"/>
        <v>0</v>
      </c>
    </row>
    <row r="8" spans="1:27" x14ac:dyDescent="0.25">
      <c r="A8" s="95"/>
      <c r="B8" s="100"/>
      <c r="C8" s="100"/>
      <c r="D8" s="100"/>
      <c r="E8" s="100"/>
      <c r="F8" s="96"/>
      <c r="G8" s="96">
        <f t="shared" si="0"/>
        <v>0</v>
      </c>
      <c r="H8" s="97"/>
      <c r="I8" s="101"/>
      <c r="J8" s="95"/>
      <c r="K8" s="100"/>
      <c r="L8" s="100"/>
      <c r="M8" s="100"/>
      <c r="N8" s="100"/>
      <c r="O8" s="96"/>
      <c r="P8" s="96">
        <f t="shared" si="1"/>
        <v>0</v>
      </c>
    </row>
    <row r="9" spans="1:27" x14ac:dyDescent="0.25">
      <c r="A9" s="101"/>
      <c r="B9" s="100"/>
      <c r="C9" s="100"/>
      <c r="D9" s="100"/>
      <c r="E9" s="100"/>
      <c r="F9" s="96"/>
      <c r="G9" s="96">
        <f t="shared" si="0"/>
        <v>0</v>
      </c>
      <c r="H9" s="97"/>
      <c r="I9" s="101"/>
      <c r="J9" s="95"/>
      <c r="K9" s="100"/>
      <c r="L9" s="100"/>
      <c r="M9" s="100"/>
      <c r="N9" s="100"/>
      <c r="O9" s="96"/>
      <c r="P9" s="96">
        <f t="shared" si="1"/>
        <v>0</v>
      </c>
    </row>
    <row r="10" spans="1:27" x14ac:dyDescent="0.25">
      <c r="A10" s="95"/>
      <c r="B10" s="100"/>
      <c r="C10" s="100"/>
      <c r="D10" s="100"/>
      <c r="E10" s="100"/>
      <c r="F10" s="96"/>
      <c r="G10" s="96">
        <f t="shared" si="0"/>
        <v>0</v>
      </c>
      <c r="H10" s="97"/>
      <c r="I10" s="101"/>
      <c r="J10" s="95"/>
      <c r="K10" s="100"/>
      <c r="L10" s="100"/>
      <c r="M10" s="100"/>
      <c r="N10" s="100"/>
      <c r="O10" s="96"/>
      <c r="P10" s="96">
        <f t="shared" si="1"/>
        <v>0</v>
      </c>
    </row>
    <row r="11" spans="1:27" x14ac:dyDescent="0.25">
      <c r="A11" s="95"/>
      <c r="B11" s="100"/>
      <c r="C11" s="100"/>
      <c r="D11" s="100"/>
      <c r="E11" s="100"/>
      <c r="F11" s="96"/>
      <c r="G11" s="96">
        <f t="shared" si="0"/>
        <v>0</v>
      </c>
      <c r="H11" s="97"/>
      <c r="I11" s="101"/>
      <c r="J11" s="95"/>
      <c r="K11" s="100"/>
      <c r="L11" s="100"/>
      <c r="M11" s="100"/>
      <c r="N11" s="100"/>
      <c r="O11" s="96"/>
      <c r="P11" s="96">
        <f t="shared" si="1"/>
        <v>0</v>
      </c>
    </row>
    <row r="12" spans="1:27" x14ac:dyDescent="0.25">
      <c r="A12" s="95"/>
      <c r="B12" s="100"/>
      <c r="C12" s="100"/>
      <c r="D12" s="100"/>
      <c r="E12" s="100"/>
      <c r="F12" s="96"/>
      <c r="G12" s="96">
        <f t="shared" si="0"/>
        <v>0</v>
      </c>
      <c r="H12" s="97"/>
      <c r="I12" s="101"/>
      <c r="J12" s="95"/>
      <c r="K12" s="100"/>
      <c r="L12" s="100"/>
      <c r="M12" s="100"/>
      <c r="N12" s="100"/>
      <c r="O12" s="96"/>
      <c r="P12" s="96">
        <f t="shared" si="1"/>
        <v>0</v>
      </c>
    </row>
    <row r="13" spans="1:27" x14ac:dyDescent="0.25">
      <c r="A13" s="95"/>
      <c r="B13" s="100"/>
      <c r="C13" s="100"/>
      <c r="D13" s="100"/>
      <c r="E13" s="100"/>
      <c r="F13" s="96"/>
      <c r="G13" s="96">
        <f t="shared" si="0"/>
        <v>0</v>
      </c>
      <c r="H13" s="97"/>
      <c r="I13" s="95"/>
      <c r="J13" s="95"/>
      <c r="K13" s="100"/>
      <c r="L13" s="100"/>
      <c r="M13" s="100"/>
      <c r="N13" s="100"/>
      <c r="O13" s="96"/>
      <c r="P13" s="96">
        <f t="shared" si="1"/>
        <v>0</v>
      </c>
    </row>
    <row r="14" spans="1:27" x14ac:dyDescent="0.25">
      <c r="A14" s="95"/>
      <c r="B14" s="100"/>
      <c r="C14" s="100"/>
      <c r="D14" s="100"/>
      <c r="E14" s="100"/>
      <c r="F14" s="96"/>
      <c r="G14" s="96">
        <f t="shared" si="0"/>
        <v>0</v>
      </c>
      <c r="H14" s="97"/>
      <c r="I14" s="101"/>
      <c r="J14" s="95"/>
      <c r="K14" s="100"/>
      <c r="L14" s="100"/>
      <c r="M14" s="100"/>
      <c r="N14" s="100"/>
      <c r="O14" s="96"/>
      <c r="P14" s="96">
        <f t="shared" si="1"/>
        <v>0</v>
      </c>
    </row>
    <row r="15" spans="1:27" x14ac:dyDescent="0.25">
      <c r="A15" s="95"/>
      <c r="B15" s="100"/>
      <c r="C15" s="100"/>
      <c r="D15" s="100"/>
      <c r="E15" s="100"/>
      <c r="F15" s="96"/>
      <c r="G15" s="96">
        <f t="shared" si="0"/>
        <v>0</v>
      </c>
      <c r="H15" s="97"/>
      <c r="I15" s="95"/>
      <c r="J15" s="95"/>
      <c r="K15" s="100"/>
      <c r="L15" s="100"/>
      <c r="M15" s="100"/>
      <c r="N15" s="100"/>
      <c r="O15" s="96"/>
      <c r="P15" s="96">
        <f t="shared" si="1"/>
        <v>0</v>
      </c>
    </row>
    <row r="16" spans="1:27" x14ac:dyDescent="0.25">
      <c r="A16" s="95"/>
      <c r="B16" s="100"/>
      <c r="C16" s="100"/>
      <c r="D16" s="100"/>
      <c r="E16" s="100"/>
      <c r="F16" s="96"/>
      <c r="G16" s="96">
        <f t="shared" si="0"/>
        <v>0</v>
      </c>
      <c r="H16" s="97"/>
      <c r="I16" s="95"/>
      <c r="J16" s="95"/>
      <c r="K16" s="100"/>
      <c r="L16" s="100"/>
      <c r="M16" s="100"/>
      <c r="N16" s="100"/>
      <c r="O16" s="96"/>
      <c r="P16" s="96">
        <f t="shared" si="1"/>
        <v>0</v>
      </c>
    </row>
    <row r="17" spans="1:16" x14ac:dyDescent="0.25">
      <c r="A17" s="95"/>
      <c r="B17" s="100"/>
      <c r="C17" s="100"/>
      <c r="D17" s="100"/>
      <c r="E17" s="100"/>
      <c r="F17" s="96"/>
      <c r="G17" s="96">
        <f t="shared" si="0"/>
        <v>0</v>
      </c>
      <c r="H17" s="97"/>
      <c r="I17" s="95"/>
      <c r="J17" s="95"/>
      <c r="K17" s="100"/>
      <c r="L17" s="100"/>
      <c r="M17" s="100"/>
      <c r="N17" s="100"/>
      <c r="O17" s="96"/>
      <c r="P17" s="96">
        <f t="shared" si="1"/>
        <v>0</v>
      </c>
    </row>
    <row r="18" spans="1:16" x14ac:dyDescent="0.25">
      <c r="A18" s="95"/>
      <c r="B18" s="100"/>
      <c r="C18" s="100"/>
      <c r="D18" s="100"/>
      <c r="E18" s="100"/>
      <c r="F18" s="96"/>
      <c r="G18" s="96">
        <f t="shared" si="0"/>
        <v>0</v>
      </c>
      <c r="H18" s="97"/>
      <c r="I18" s="95"/>
      <c r="J18" s="95"/>
      <c r="K18" s="100"/>
      <c r="L18" s="100"/>
      <c r="M18" s="100"/>
      <c r="N18" s="100"/>
      <c r="O18" s="96"/>
      <c r="P18" s="96">
        <f t="shared" si="1"/>
        <v>0</v>
      </c>
    </row>
    <row r="19" spans="1:16" x14ac:dyDescent="0.25">
      <c r="A19" s="95"/>
      <c r="B19" s="100"/>
      <c r="C19" s="100"/>
      <c r="D19" s="100"/>
      <c r="E19" s="100"/>
      <c r="F19" s="96"/>
      <c r="G19" s="96">
        <f t="shared" si="0"/>
        <v>0</v>
      </c>
      <c r="H19" s="97"/>
      <c r="I19" s="95"/>
      <c r="J19" s="95"/>
      <c r="K19" s="100"/>
      <c r="L19" s="100"/>
      <c r="M19" s="100"/>
      <c r="N19" s="100"/>
      <c r="O19" s="96"/>
      <c r="P19" s="96">
        <f t="shared" si="1"/>
        <v>0</v>
      </c>
    </row>
    <row r="20" spans="1:16" x14ac:dyDescent="0.25">
      <c r="A20" s="95"/>
      <c r="B20" s="100">
        <f>SUM(B3:B19)</f>
        <v>400</v>
      </c>
      <c r="C20" s="100">
        <f t="shared" ref="C20:E20" si="2">SUM(C3:C19)</f>
        <v>0</v>
      </c>
      <c r="D20" s="100">
        <f t="shared" si="2"/>
        <v>0</v>
      </c>
      <c r="E20" s="100">
        <f t="shared" si="2"/>
        <v>0</v>
      </c>
      <c r="F20" s="96"/>
      <c r="G20" s="96"/>
      <c r="H20" s="97"/>
      <c r="I20" s="95"/>
      <c r="J20" s="95"/>
      <c r="K20" s="100">
        <f>SUM(K3:K19)</f>
        <v>400</v>
      </c>
      <c r="L20" s="100">
        <f t="shared" ref="L20:N20" si="3">SUM(L3:L19)</f>
        <v>0</v>
      </c>
      <c r="M20" s="100">
        <f t="shared" si="3"/>
        <v>0</v>
      </c>
      <c r="N20" s="100">
        <f t="shared" si="3"/>
        <v>0</v>
      </c>
      <c r="O20" s="96"/>
      <c r="P20" s="9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склад</vt:lpstr>
      <vt:lpstr>АурумФуд</vt:lpstr>
      <vt:lpstr>Золотой Снек</vt:lpstr>
      <vt:lpstr>ИП Тришина</vt:lpstr>
      <vt:lpstr>Концепт</vt:lpstr>
      <vt:lpstr>ЛейблСтик</vt:lpstr>
      <vt:lpstr>ТД-Л Пак</vt:lpstr>
      <vt:lpstr>Ника</vt:lpstr>
      <vt:lpstr>СЗ-Гофра</vt:lpstr>
      <vt:lpstr>УпакАреал</vt:lpstr>
      <vt:lpstr>РусУпак</vt:lpstr>
      <vt:lpstr>Пластик</vt:lpstr>
      <vt:lpstr>Приопак</vt:lpstr>
      <vt:lpstr>Полимаркет</vt:lpstr>
      <vt:lpstr>Ф-Граф</vt:lpstr>
      <vt:lpstr>чл</vt:lpstr>
      <vt:lpstr>Озон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2025-09-10T10:03:57Z</dcterms:modified>
  <cp:category/>
  <cp:contentStatus/>
</cp:coreProperties>
</file>