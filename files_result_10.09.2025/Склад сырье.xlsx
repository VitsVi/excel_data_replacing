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AFFA4F1-AAAB-44D8-986F-A1FAF2FB92B5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склад" sheetId="1" r:id="rId1"/>
    <sheet name="Агроимпекс" sheetId="15" r:id="rId2"/>
    <sheet name="ОПТТОРГ" sheetId="28" r:id="rId3"/>
    <sheet name="АгроТрейд" sheetId="2" r:id="rId4"/>
    <sheet name="Академия-Т" sheetId="20" r:id="rId5"/>
    <sheet name="ВМ Ингредиент" sheetId="10" r:id="rId6"/>
    <sheet name="Велторг" sheetId="24" r:id="rId7"/>
    <sheet name="Вито-Хаус" sheetId="12" r:id="rId8"/>
    <sheet name="Доминант" sheetId="25" r:id="rId9"/>
    <sheet name="КрахмалПрод" sheetId="26" r:id="rId10"/>
    <sheet name="РесурсГр" sheetId="3" r:id="rId11"/>
    <sheet name="НьюБио" sheetId="23" r:id="rId12"/>
    <sheet name="Омега Фуд Техн" sheetId="5" r:id="rId13"/>
    <sheet name="Русские мельницы" sheetId="7" r:id="rId14"/>
    <sheet name="Орион" sheetId="11" r:id="rId15"/>
    <sheet name="ЛюксОйл" sheetId="21" r:id="rId16"/>
    <sheet name="ПродАльянс" sheetId="4" r:id="rId17"/>
    <sheet name="отработ масло" sheetId="13" r:id="rId18"/>
    <sheet name="ТД Виктан" sheetId="6" r:id="rId19"/>
    <sheet name="Скип" sheetId="9" r:id="rId20"/>
    <sheet name="СоюзСнаб" sheetId="14" r:id="rId21"/>
    <sheet name="Союзснаб ПдК" sheetId="22" r:id="rId22"/>
    <sheet name="ИП Ким" sheetId="17" r:id="rId23"/>
    <sheet name="чл" sheetId="16" r:id="rId24"/>
    <sheet name="Эко Ресурс" sheetId="1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0" i="1"/>
  <c r="K41" i="1"/>
  <c r="O9" i="1" l="1"/>
  <c r="M2" i="26"/>
  <c r="L2" i="26"/>
  <c r="L4" i="26" s="1"/>
  <c r="M4" i="26"/>
  <c r="S47" i="17"/>
  <c r="S48" i="17"/>
  <c r="S49" i="17"/>
  <c r="S50" i="17"/>
  <c r="Q4" i="28"/>
  <c r="D16" i="19"/>
  <c r="D17" i="19"/>
  <c r="D18" i="19"/>
  <c r="D19" i="19"/>
  <c r="D15" i="19"/>
  <c r="O86" i="28"/>
  <c r="N86" i="28"/>
  <c r="M86" i="28"/>
  <c r="L86" i="28"/>
  <c r="K86" i="28"/>
  <c r="F86" i="28"/>
  <c r="E86" i="28"/>
  <c r="D86" i="28"/>
  <c r="U2" i="28" s="1"/>
  <c r="U4" i="28" s="1"/>
  <c r="C86" i="28"/>
  <c r="B86" i="28"/>
  <c r="Q85" i="28"/>
  <c r="H85" i="28"/>
  <c r="Q84" i="28"/>
  <c r="H84" i="28"/>
  <c r="Q83" i="28"/>
  <c r="H83" i="28"/>
  <c r="Q82" i="28"/>
  <c r="H82" i="28"/>
  <c r="Q81" i="28"/>
  <c r="H81" i="28"/>
  <c r="Q80" i="28"/>
  <c r="H80" i="28"/>
  <c r="Q79" i="28"/>
  <c r="H79" i="28"/>
  <c r="Q78" i="28"/>
  <c r="H78" i="28"/>
  <c r="Q77" i="28"/>
  <c r="H77" i="28"/>
  <c r="Q76" i="28"/>
  <c r="H76" i="28"/>
  <c r="Q75" i="28"/>
  <c r="H75" i="28"/>
  <c r="Q74" i="28"/>
  <c r="H74" i="28"/>
  <c r="Q73" i="28"/>
  <c r="H73" i="28"/>
  <c r="Q72" i="28"/>
  <c r="H72" i="28"/>
  <c r="Q71" i="28"/>
  <c r="H71" i="28"/>
  <c r="Q70" i="28"/>
  <c r="H70" i="28"/>
  <c r="Q69" i="28"/>
  <c r="H69" i="28"/>
  <c r="Q68" i="28"/>
  <c r="H68" i="28"/>
  <c r="Q67" i="28"/>
  <c r="H67" i="28"/>
  <c r="Q66" i="28"/>
  <c r="H66" i="28"/>
  <c r="Q65" i="28"/>
  <c r="H65" i="28"/>
  <c r="Q64" i="28"/>
  <c r="H64" i="28"/>
  <c r="Q63" i="28"/>
  <c r="H63" i="28"/>
  <c r="Q62" i="28"/>
  <c r="H62" i="28"/>
  <c r="Q61" i="28"/>
  <c r="H61" i="28"/>
  <c r="Q60" i="28"/>
  <c r="H60" i="28"/>
  <c r="Q59" i="28"/>
  <c r="H59" i="28"/>
  <c r="Q58" i="28"/>
  <c r="H58" i="28"/>
  <c r="Q57" i="28"/>
  <c r="H57" i="28"/>
  <c r="Q56" i="28"/>
  <c r="H56" i="28"/>
  <c r="Q55" i="28"/>
  <c r="H55" i="28"/>
  <c r="Q54" i="28"/>
  <c r="H54" i="28"/>
  <c r="Q53" i="28"/>
  <c r="H53" i="28"/>
  <c r="Q52" i="28"/>
  <c r="H52" i="28"/>
  <c r="Q51" i="28"/>
  <c r="H51" i="28"/>
  <c r="Q50" i="28"/>
  <c r="H50" i="28"/>
  <c r="Q49" i="28"/>
  <c r="H49" i="28"/>
  <c r="Q48" i="28"/>
  <c r="H48" i="28"/>
  <c r="Q47" i="28"/>
  <c r="H47" i="28"/>
  <c r="Q46" i="28"/>
  <c r="H46" i="28"/>
  <c r="Q45" i="28"/>
  <c r="H45" i="28"/>
  <c r="Q44" i="28"/>
  <c r="H44" i="28"/>
  <c r="Q43" i="28"/>
  <c r="H43" i="28"/>
  <c r="Q42" i="28"/>
  <c r="H42" i="28"/>
  <c r="Q41" i="28"/>
  <c r="H41" i="28"/>
  <c r="Q40" i="28"/>
  <c r="H40" i="28"/>
  <c r="Q39" i="28"/>
  <c r="H39" i="28"/>
  <c r="Q38" i="28"/>
  <c r="H38" i="28"/>
  <c r="Q37" i="28"/>
  <c r="H37" i="28"/>
  <c r="Q36" i="28"/>
  <c r="H36" i="28"/>
  <c r="Q35" i="28"/>
  <c r="H35" i="28"/>
  <c r="Q34" i="28"/>
  <c r="H34" i="28"/>
  <c r="Q33" i="28"/>
  <c r="H33" i="28"/>
  <c r="Q32" i="28"/>
  <c r="H32" i="28"/>
  <c r="Q31" i="28"/>
  <c r="H31" i="28"/>
  <c r="Q30" i="28"/>
  <c r="H30" i="28"/>
  <c r="Q29" i="28"/>
  <c r="H29" i="28"/>
  <c r="Q28" i="28"/>
  <c r="H28" i="28"/>
  <c r="Q27" i="28"/>
  <c r="H27" i="28"/>
  <c r="Q26" i="28"/>
  <c r="H26" i="28"/>
  <c r="Q25" i="28"/>
  <c r="H25" i="28"/>
  <c r="Q24" i="28"/>
  <c r="H24" i="28"/>
  <c r="Q23" i="28"/>
  <c r="H23" i="28"/>
  <c r="Q22" i="28"/>
  <c r="H22" i="28"/>
  <c r="Q21" i="28"/>
  <c r="H21" i="28"/>
  <c r="Q20" i="28"/>
  <c r="H20" i="28"/>
  <c r="Q19" i="28"/>
  <c r="H19" i="28"/>
  <c r="Q18" i="28"/>
  <c r="H18" i="28"/>
  <c r="Q17" i="28"/>
  <c r="H17" i="28"/>
  <c r="Q16" i="28"/>
  <c r="H16" i="28"/>
  <c r="Q15" i="28"/>
  <c r="H15" i="28"/>
  <c r="Q14" i="28"/>
  <c r="H14" i="28"/>
  <c r="Q13" i="28"/>
  <c r="H13" i="28"/>
  <c r="H12" i="28"/>
  <c r="H11" i="28"/>
  <c r="H10" i="28"/>
  <c r="H9" i="28"/>
  <c r="H8" i="28"/>
  <c r="H7" i="28"/>
  <c r="H6" i="28"/>
  <c r="H5" i="28"/>
  <c r="H4" i="28"/>
  <c r="H3" i="28"/>
  <c r="AM174" i="14"/>
  <c r="AM175" i="14"/>
  <c r="AM176" i="14"/>
  <c r="AM177" i="14"/>
  <c r="AM178" i="14"/>
  <c r="AM179" i="14"/>
  <c r="AM180" i="14"/>
  <c r="AN184" i="14"/>
  <c r="S52" i="5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3" i="26"/>
  <c r="D70" i="21"/>
  <c r="U212" i="3"/>
  <c r="U213" i="3"/>
  <c r="U214" i="3"/>
  <c r="U215" i="3"/>
  <c r="U216" i="3"/>
  <c r="U217" i="3"/>
  <c r="U218" i="3"/>
  <c r="U219" i="3"/>
  <c r="U220" i="3"/>
  <c r="J212" i="3"/>
  <c r="J213" i="3"/>
  <c r="J214" i="3"/>
  <c r="J215" i="3"/>
  <c r="J216" i="3"/>
  <c r="J217" i="3"/>
  <c r="J218" i="3"/>
  <c r="J219" i="3"/>
  <c r="J220" i="3"/>
  <c r="T2" i="28" l="1"/>
  <c r="T4" i="28" s="1"/>
  <c r="S2" i="28"/>
  <c r="S4" i="28" s="1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84" i="14"/>
  <c r="G95" i="26"/>
  <c r="B95" i="26"/>
  <c r="W24" i="22" l="1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23" i="22"/>
  <c r="S32" i="17" l="1"/>
  <c r="S33" i="17"/>
  <c r="S34" i="17"/>
  <c r="S35" i="17"/>
  <c r="S36" i="17"/>
  <c r="S37" i="17"/>
  <c r="S38" i="17"/>
  <c r="S39" i="17"/>
  <c r="S40" i="17"/>
  <c r="S41" i="17"/>
  <c r="S42" i="17"/>
  <c r="S43" i="17"/>
  <c r="S44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9" i="17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J175" i="25"/>
  <c r="J176" i="25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200" i="25"/>
  <c r="S199" i="25"/>
  <c r="R199" i="25"/>
  <c r="AB2" i="25" s="1"/>
  <c r="AB4" i="25" s="1"/>
  <c r="Q199" i="25"/>
  <c r="P199" i="25"/>
  <c r="O199" i="25"/>
  <c r="N199" i="25"/>
  <c r="M199" i="25"/>
  <c r="H199" i="25"/>
  <c r="G199" i="25"/>
  <c r="F199" i="25"/>
  <c r="E199" i="25"/>
  <c r="D199" i="25"/>
  <c r="C199" i="25"/>
  <c r="B199" i="25"/>
  <c r="U198" i="25"/>
  <c r="J198" i="25"/>
  <c r="U197" i="25"/>
  <c r="J197" i="25"/>
  <c r="U196" i="25"/>
  <c r="J196" i="25"/>
  <c r="U195" i="25"/>
  <c r="J195" i="25"/>
  <c r="U194" i="25"/>
  <c r="J194" i="25"/>
  <c r="U193" i="25"/>
  <c r="J193" i="25"/>
  <c r="U192" i="25"/>
  <c r="J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J174" i="25"/>
  <c r="U173" i="25"/>
  <c r="J173" i="25"/>
  <c r="U172" i="25"/>
  <c r="J172" i="25"/>
  <c r="U171" i="25"/>
  <c r="J171" i="25"/>
  <c r="U170" i="25"/>
  <c r="J170" i="25"/>
  <c r="U169" i="25"/>
  <c r="J169" i="25"/>
  <c r="U168" i="25"/>
  <c r="J168" i="25"/>
  <c r="U167" i="25"/>
  <c r="J167" i="25"/>
  <c r="U166" i="25"/>
  <c r="J166" i="25"/>
  <c r="U165" i="25"/>
  <c r="J165" i="25"/>
  <c r="U164" i="25"/>
  <c r="J164" i="25"/>
  <c r="U163" i="25"/>
  <c r="J163" i="25"/>
  <c r="U162" i="25"/>
  <c r="J162" i="25"/>
  <c r="U161" i="25"/>
  <c r="J161" i="25"/>
  <c r="U160" i="25"/>
  <c r="J160" i="25"/>
  <c r="U159" i="25"/>
  <c r="J159" i="25"/>
  <c r="U158" i="25"/>
  <c r="J158" i="25"/>
  <c r="U157" i="25"/>
  <c r="J157" i="25"/>
  <c r="U156" i="25"/>
  <c r="J156" i="25"/>
  <c r="U155" i="25"/>
  <c r="J155" i="25"/>
  <c r="U154" i="25"/>
  <c r="J154" i="25"/>
  <c r="U153" i="25"/>
  <c r="J153" i="25"/>
  <c r="U152" i="25"/>
  <c r="J152" i="25"/>
  <c r="U151" i="25"/>
  <c r="J151" i="25"/>
  <c r="U150" i="25"/>
  <c r="J150" i="25"/>
  <c r="U149" i="25"/>
  <c r="J149" i="25"/>
  <c r="U148" i="25"/>
  <c r="J148" i="25"/>
  <c r="U147" i="25"/>
  <c r="J147" i="25"/>
  <c r="U146" i="25"/>
  <c r="J146" i="25"/>
  <c r="U145" i="25"/>
  <c r="J145" i="25"/>
  <c r="U144" i="25"/>
  <c r="J144" i="25"/>
  <c r="U143" i="25"/>
  <c r="J143" i="25"/>
  <c r="U142" i="25"/>
  <c r="J142" i="25"/>
  <c r="U141" i="25"/>
  <c r="J141" i="25"/>
  <c r="U140" i="25"/>
  <c r="J140" i="25"/>
  <c r="U139" i="25"/>
  <c r="J139" i="25"/>
  <c r="U138" i="25"/>
  <c r="J138" i="25"/>
  <c r="U137" i="25"/>
  <c r="J137" i="25"/>
  <c r="U136" i="25"/>
  <c r="J136" i="25"/>
  <c r="U135" i="25"/>
  <c r="J135" i="25"/>
  <c r="U134" i="25"/>
  <c r="J134" i="25"/>
  <c r="U133" i="25"/>
  <c r="J133" i="25"/>
  <c r="U132" i="25"/>
  <c r="J132" i="25"/>
  <c r="U131" i="25"/>
  <c r="J131" i="25"/>
  <c r="U130" i="25"/>
  <c r="J130" i="25"/>
  <c r="U129" i="25"/>
  <c r="J129" i="25"/>
  <c r="U128" i="25"/>
  <c r="J128" i="25"/>
  <c r="U127" i="25"/>
  <c r="J127" i="25"/>
  <c r="U126" i="25"/>
  <c r="J126" i="25"/>
  <c r="U125" i="25"/>
  <c r="J125" i="25"/>
  <c r="U124" i="25"/>
  <c r="J124" i="25"/>
  <c r="U123" i="25"/>
  <c r="J123" i="25"/>
  <c r="U122" i="25"/>
  <c r="J122" i="25"/>
  <c r="U121" i="25"/>
  <c r="J121" i="25"/>
  <c r="U120" i="25"/>
  <c r="J120" i="25"/>
  <c r="U119" i="25"/>
  <c r="J119" i="25"/>
  <c r="U118" i="25"/>
  <c r="J118" i="25"/>
  <c r="U117" i="25"/>
  <c r="J117" i="25"/>
  <c r="U116" i="25"/>
  <c r="J116" i="25"/>
  <c r="U115" i="25"/>
  <c r="J115" i="25"/>
  <c r="U114" i="25"/>
  <c r="J114" i="25"/>
  <c r="U113" i="25"/>
  <c r="J113" i="25"/>
  <c r="U112" i="25"/>
  <c r="J112" i="25"/>
  <c r="U111" i="25"/>
  <c r="J111" i="25"/>
  <c r="U110" i="25"/>
  <c r="J110" i="25"/>
  <c r="U109" i="25"/>
  <c r="J109" i="25"/>
  <c r="U108" i="25"/>
  <c r="J108" i="25"/>
  <c r="U107" i="25"/>
  <c r="J107" i="25"/>
  <c r="U106" i="25"/>
  <c r="J106" i="25"/>
  <c r="U105" i="25"/>
  <c r="J105" i="25"/>
  <c r="U104" i="25"/>
  <c r="J104" i="25"/>
  <c r="U103" i="25"/>
  <c r="J103" i="25"/>
  <c r="U102" i="25"/>
  <c r="J102" i="25"/>
  <c r="U101" i="25"/>
  <c r="J101" i="25"/>
  <c r="U100" i="25"/>
  <c r="J100" i="25"/>
  <c r="U99" i="25"/>
  <c r="J99" i="25"/>
  <c r="U98" i="25"/>
  <c r="J98" i="25"/>
  <c r="U97" i="25"/>
  <c r="J97" i="25"/>
  <c r="U96" i="25"/>
  <c r="J96" i="25"/>
  <c r="U95" i="25"/>
  <c r="J95" i="25"/>
  <c r="U94" i="25"/>
  <c r="J94" i="25"/>
  <c r="U93" i="25"/>
  <c r="J93" i="25"/>
  <c r="U92" i="25"/>
  <c r="J92" i="25"/>
  <c r="U91" i="25"/>
  <c r="J91" i="25"/>
  <c r="U90" i="25"/>
  <c r="J90" i="25"/>
  <c r="U89" i="25"/>
  <c r="J89" i="25"/>
  <c r="U88" i="25"/>
  <c r="J88" i="25"/>
  <c r="U87" i="25"/>
  <c r="J87" i="25"/>
  <c r="U86" i="25"/>
  <c r="J86" i="25"/>
  <c r="U85" i="25"/>
  <c r="J85" i="25"/>
  <c r="U84" i="25"/>
  <c r="J84" i="25"/>
  <c r="U83" i="25"/>
  <c r="J83" i="25"/>
  <c r="U82" i="25"/>
  <c r="J82" i="25"/>
  <c r="U81" i="25"/>
  <c r="J81" i="25"/>
  <c r="U80" i="25"/>
  <c r="J80" i="25"/>
  <c r="U79" i="25"/>
  <c r="J79" i="25"/>
  <c r="U78" i="25"/>
  <c r="J78" i="25"/>
  <c r="U77" i="25"/>
  <c r="J77" i="25"/>
  <c r="U76" i="25"/>
  <c r="J76" i="25"/>
  <c r="U75" i="25"/>
  <c r="J75" i="25"/>
  <c r="U74" i="25"/>
  <c r="J74" i="25"/>
  <c r="U73" i="25"/>
  <c r="J73" i="25"/>
  <c r="U72" i="25"/>
  <c r="J72" i="25"/>
  <c r="U71" i="25"/>
  <c r="J71" i="25"/>
  <c r="U70" i="25"/>
  <c r="J70" i="25"/>
  <c r="U69" i="25"/>
  <c r="J69" i="25"/>
  <c r="U68" i="25"/>
  <c r="J68" i="25"/>
  <c r="U67" i="25"/>
  <c r="J67" i="25"/>
  <c r="U66" i="25"/>
  <c r="J66" i="25"/>
  <c r="U65" i="25"/>
  <c r="J65" i="25"/>
  <c r="U64" i="25"/>
  <c r="J64" i="25"/>
  <c r="U63" i="25"/>
  <c r="J63" i="25"/>
  <c r="U62" i="25"/>
  <c r="J62" i="25"/>
  <c r="U61" i="25"/>
  <c r="J61" i="25"/>
  <c r="U60" i="25"/>
  <c r="J60" i="25"/>
  <c r="U59" i="25"/>
  <c r="J59" i="25"/>
  <c r="U58" i="25"/>
  <c r="J58" i="25"/>
  <c r="U57" i="25"/>
  <c r="J57" i="25"/>
  <c r="U56" i="25"/>
  <c r="J56" i="25"/>
  <c r="U55" i="25"/>
  <c r="J55" i="25"/>
  <c r="U54" i="25"/>
  <c r="J54" i="25"/>
  <c r="U53" i="25"/>
  <c r="J53" i="25"/>
  <c r="U52" i="25"/>
  <c r="J52" i="25"/>
  <c r="U51" i="25"/>
  <c r="J51" i="25"/>
  <c r="U50" i="25"/>
  <c r="J50" i="25"/>
  <c r="U49" i="25"/>
  <c r="J49" i="25"/>
  <c r="U48" i="25"/>
  <c r="J48" i="25"/>
  <c r="U47" i="25"/>
  <c r="J47" i="25"/>
  <c r="U46" i="25"/>
  <c r="J46" i="25"/>
  <c r="U45" i="25"/>
  <c r="J45" i="25"/>
  <c r="U44" i="25"/>
  <c r="J44" i="25"/>
  <c r="U43" i="25"/>
  <c r="J43" i="25"/>
  <c r="U42" i="25"/>
  <c r="J42" i="25"/>
  <c r="U41" i="25"/>
  <c r="J41" i="25"/>
  <c r="U40" i="25"/>
  <c r="J40" i="25"/>
  <c r="U39" i="25"/>
  <c r="J39" i="25"/>
  <c r="U38" i="25"/>
  <c r="J38" i="25"/>
  <c r="U37" i="25"/>
  <c r="J37" i="25"/>
  <c r="U36" i="25"/>
  <c r="J36" i="25"/>
  <c r="U35" i="25"/>
  <c r="J35" i="25"/>
  <c r="U34" i="25"/>
  <c r="J34" i="25"/>
  <c r="U33" i="25"/>
  <c r="J33" i="25"/>
  <c r="U32" i="25"/>
  <c r="J32" i="25"/>
  <c r="U31" i="25"/>
  <c r="J31" i="25"/>
  <c r="U30" i="25"/>
  <c r="J30" i="25"/>
  <c r="U29" i="25"/>
  <c r="J29" i="25"/>
  <c r="U28" i="25"/>
  <c r="J28" i="25"/>
  <c r="U27" i="25"/>
  <c r="J27" i="25"/>
  <c r="U26" i="25"/>
  <c r="J26" i="25"/>
  <c r="U25" i="25"/>
  <c r="J25" i="25"/>
  <c r="U24" i="25"/>
  <c r="J24" i="25"/>
  <c r="U23" i="25"/>
  <c r="J23" i="25"/>
  <c r="U22" i="25"/>
  <c r="J22" i="25"/>
  <c r="U21" i="25"/>
  <c r="J21" i="25"/>
  <c r="J20" i="25"/>
  <c r="U19" i="25"/>
  <c r="J19" i="25"/>
  <c r="U18" i="25"/>
  <c r="J18" i="25"/>
  <c r="U17" i="25"/>
  <c r="J17" i="25"/>
  <c r="U16" i="25"/>
  <c r="J16" i="25"/>
  <c r="U15" i="25"/>
  <c r="J15" i="25"/>
  <c r="U14" i="25"/>
  <c r="J14" i="25"/>
  <c r="U13" i="25"/>
  <c r="J13" i="25"/>
  <c r="U12" i="25"/>
  <c r="U20" i="25"/>
  <c r="U11" i="25"/>
  <c r="J11" i="25"/>
  <c r="U10" i="25"/>
  <c r="J10" i="25"/>
  <c r="U9" i="25"/>
  <c r="J9" i="25"/>
  <c r="U8" i="25"/>
  <c r="J8" i="25"/>
  <c r="U7" i="25"/>
  <c r="J7" i="25"/>
  <c r="U6" i="25"/>
  <c r="J6" i="25"/>
  <c r="U5" i="25"/>
  <c r="J5" i="25"/>
  <c r="U4" i="25"/>
  <c r="J4" i="25"/>
  <c r="U3" i="25"/>
  <c r="J3" i="25"/>
  <c r="AM151" i="14"/>
  <c r="AM152" i="14"/>
  <c r="AM153" i="14"/>
  <c r="AM154" i="14"/>
  <c r="AM155" i="14"/>
  <c r="AM156" i="14"/>
  <c r="AM157" i="14"/>
  <c r="R10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3" i="15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R20" i="24"/>
  <c r="AA2" i="24" s="1"/>
  <c r="AA4" i="24" s="1"/>
  <c r="Q20" i="24"/>
  <c r="P20" i="24"/>
  <c r="O20" i="24"/>
  <c r="N20" i="24"/>
  <c r="M20" i="24"/>
  <c r="H20" i="24"/>
  <c r="G20" i="24"/>
  <c r="F20" i="24"/>
  <c r="Z2" i="24" s="1"/>
  <c r="Z4" i="24" s="1"/>
  <c r="E20" i="24"/>
  <c r="Y2" i="24" s="1"/>
  <c r="Y4" i="24" s="1"/>
  <c r="D20" i="24"/>
  <c r="X2" i="24" s="1"/>
  <c r="X4" i="24" s="1"/>
  <c r="C20" i="24"/>
  <c r="B20" i="24"/>
  <c r="T19" i="24"/>
  <c r="I19" i="24"/>
  <c r="T18" i="24"/>
  <c r="I18" i="24"/>
  <c r="T17" i="24"/>
  <c r="I17" i="24"/>
  <c r="T16" i="24"/>
  <c r="I16" i="24"/>
  <c r="T15" i="24"/>
  <c r="I15" i="24"/>
  <c r="T14" i="24"/>
  <c r="I14" i="24"/>
  <c r="T13" i="24"/>
  <c r="I13" i="24"/>
  <c r="T12" i="24"/>
  <c r="I12" i="24"/>
  <c r="T11" i="24"/>
  <c r="I11" i="24"/>
  <c r="T10" i="24"/>
  <c r="I10" i="24"/>
  <c r="T9" i="24"/>
  <c r="I9" i="24"/>
  <c r="T8" i="24"/>
  <c r="I8" i="24"/>
  <c r="T7" i="24"/>
  <c r="I7" i="24"/>
  <c r="T6" i="24"/>
  <c r="I6" i="24"/>
  <c r="T5" i="24"/>
  <c r="I5" i="24"/>
  <c r="T4" i="24"/>
  <c r="I4" i="24"/>
  <c r="T3" i="24"/>
  <c r="I3" i="24"/>
  <c r="I20" i="24" s="1"/>
  <c r="W2" i="24"/>
  <c r="W4" i="24" s="1"/>
  <c r="AM143" i="14"/>
  <c r="AM144" i="14"/>
  <c r="AM145" i="14"/>
  <c r="AM146" i="14"/>
  <c r="AM147" i="14"/>
  <c r="AM148" i="14"/>
  <c r="AM149" i="14"/>
  <c r="AM150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AC2" i="25" l="1"/>
  <c r="AC4" i="25" s="1"/>
  <c r="AA2" i="25"/>
  <c r="AA4" i="25" s="1"/>
  <c r="V2" i="24"/>
  <c r="V4" i="24" s="1"/>
  <c r="X2" i="25"/>
  <c r="X4" i="25" s="1"/>
  <c r="Z2" i="25"/>
  <c r="Z4" i="25" s="1"/>
  <c r="J199" i="25"/>
  <c r="Y2" i="25"/>
  <c r="W2" i="25"/>
  <c r="B9" i="1"/>
  <c r="B11" i="1" s="1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I3" i="1" l="1"/>
  <c r="Y4" i="25"/>
  <c r="M3" i="1"/>
  <c r="W4" i="25"/>
  <c r="F3" i="1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H96" i="2" l="1"/>
  <c r="Q96" i="2"/>
  <c r="Q97" i="2"/>
  <c r="S47" i="5"/>
  <c r="S48" i="5"/>
  <c r="S49" i="5"/>
  <c r="S50" i="5"/>
  <c r="S51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S22" i="17"/>
  <c r="S23" i="17"/>
  <c r="S24" i="17"/>
  <c r="S25" i="17"/>
  <c r="S26" i="17"/>
  <c r="S27" i="17"/>
  <c r="S28" i="17"/>
  <c r="S29" i="17"/>
  <c r="S30" i="17"/>
  <c r="S31" i="17"/>
  <c r="S45" i="17"/>
  <c r="I22" i="17"/>
  <c r="I23" i="17"/>
  <c r="I24" i="17"/>
  <c r="I25" i="17"/>
  <c r="I26" i="17"/>
  <c r="I27" i="17"/>
  <c r="I28" i="17"/>
  <c r="I29" i="17"/>
  <c r="I30" i="17"/>
  <c r="I31" i="17"/>
  <c r="U182" i="3"/>
  <c r="U183" i="3"/>
  <c r="U184" i="3"/>
  <c r="U185" i="3"/>
  <c r="U186" i="3"/>
  <c r="U187" i="3"/>
  <c r="U188" i="3"/>
  <c r="U189" i="3"/>
  <c r="U190" i="3"/>
  <c r="U211" i="3"/>
  <c r="J182" i="3"/>
  <c r="J183" i="3"/>
  <c r="J184" i="3"/>
  <c r="J185" i="3"/>
  <c r="J186" i="3"/>
  <c r="J187" i="3"/>
  <c r="J188" i="3"/>
  <c r="J189" i="3"/>
  <c r="J190" i="3"/>
  <c r="J206" i="3"/>
  <c r="J207" i="3"/>
  <c r="J208" i="3"/>
  <c r="J209" i="3"/>
  <c r="Q93" i="2" l="1"/>
  <c r="Q94" i="2"/>
  <c r="Q95" i="2"/>
  <c r="Q98" i="2"/>
  <c r="Q99" i="2"/>
  <c r="Q100" i="2"/>
  <c r="Q101" i="2"/>
  <c r="Q102" i="2"/>
  <c r="Q117" i="2"/>
  <c r="H93" i="2"/>
  <c r="H94" i="2"/>
  <c r="H95" i="2"/>
  <c r="H97" i="2"/>
  <c r="H98" i="2"/>
  <c r="H99" i="2"/>
  <c r="H100" i="2"/>
  <c r="H101" i="2"/>
  <c r="H102" i="2"/>
  <c r="U172" i="3" l="1"/>
  <c r="U173" i="3"/>
  <c r="U174" i="3"/>
  <c r="U175" i="3"/>
  <c r="U176" i="3"/>
  <c r="U177" i="3"/>
  <c r="U178" i="3"/>
  <c r="U179" i="3"/>
  <c r="U180" i="3"/>
  <c r="U181" i="3"/>
  <c r="J172" i="3"/>
  <c r="J173" i="3"/>
  <c r="J174" i="3"/>
  <c r="J175" i="3"/>
  <c r="J176" i="3"/>
  <c r="J177" i="3"/>
  <c r="J178" i="3"/>
  <c r="J179" i="3"/>
  <c r="J180" i="3"/>
  <c r="J181" i="3"/>
  <c r="J210" i="3"/>
  <c r="J211" i="3"/>
  <c r="S15" i="17" l="1"/>
  <c r="S16" i="17"/>
  <c r="S17" i="17"/>
  <c r="S18" i="17"/>
  <c r="S19" i="17"/>
  <c r="S20" i="17"/>
  <c r="S21" i="17"/>
  <c r="S46" i="17"/>
  <c r="I15" i="17"/>
  <c r="I16" i="17"/>
  <c r="I17" i="17"/>
  <c r="I18" i="17"/>
  <c r="I19" i="17"/>
  <c r="I20" i="17"/>
  <c r="I21" i="17"/>
  <c r="AM127" i="14" l="1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M64" i="9"/>
  <c r="F64" i="9"/>
  <c r="F65" i="9"/>
  <c r="D14" i="13" l="1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3" i="14"/>
  <c r="U160" i="3"/>
  <c r="U161" i="3"/>
  <c r="U162" i="3"/>
  <c r="U163" i="3"/>
  <c r="U164" i="3"/>
  <c r="U165" i="3"/>
  <c r="U166" i="3"/>
  <c r="U167" i="3"/>
  <c r="U168" i="3"/>
  <c r="U169" i="3"/>
  <c r="U170" i="3"/>
  <c r="U171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D8" i="19" l="1"/>
  <c r="D7" i="19"/>
  <c r="D6" i="19"/>
  <c r="M59" i="9" l="1"/>
  <c r="M60" i="9"/>
  <c r="M61" i="9"/>
  <c r="M62" i="9"/>
  <c r="M63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F59" i="9"/>
  <c r="F60" i="9"/>
  <c r="F61" i="9"/>
  <c r="F62" i="9"/>
  <c r="F63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Q82" i="2" l="1"/>
  <c r="Q83" i="2"/>
  <c r="Q84" i="2"/>
  <c r="Q85" i="2"/>
  <c r="Q86" i="2"/>
  <c r="Q87" i="2"/>
  <c r="Q88" i="2"/>
  <c r="Q89" i="2"/>
  <c r="Q90" i="2"/>
  <c r="H82" i="2"/>
  <c r="H83" i="2"/>
  <c r="H84" i="2"/>
  <c r="H85" i="2"/>
  <c r="H86" i="2"/>
  <c r="H87" i="2"/>
  <c r="H88" i="2"/>
  <c r="H89" i="2"/>
  <c r="H90" i="2"/>
  <c r="H91" i="2"/>
  <c r="K89" i="7"/>
  <c r="K90" i="7"/>
  <c r="K91" i="7"/>
  <c r="K92" i="7"/>
  <c r="K93" i="7"/>
  <c r="K94" i="7"/>
  <c r="K95" i="7"/>
  <c r="K96" i="7"/>
  <c r="K97" i="7"/>
  <c r="K98" i="7"/>
  <c r="K112" i="7"/>
  <c r="K113" i="7"/>
  <c r="K114" i="7"/>
  <c r="K115" i="7"/>
  <c r="K116" i="7"/>
  <c r="E89" i="7"/>
  <c r="E90" i="7"/>
  <c r="E91" i="7"/>
  <c r="E92" i="7"/>
  <c r="E93" i="7"/>
  <c r="E94" i="7"/>
  <c r="E95" i="7"/>
  <c r="E96" i="7"/>
  <c r="E97" i="7"/>
  <c r="E98" i="7"/>
  <c r="E113" i="7"/>
  <c r="E114" i="7"/>
  <c r="E115" i="7"/>
  <c r="E116" i="7"/>
  <c r="Y77" i="10"/>
  <c r="Y78" i="10"/>
  <c r="Y79" i="10"/>
  <c r="Y80" i="10"/>
  <c r="Y81" i="10"/>
  <c r="Y82" i="10"/>
  <c r="Y83" i="10"/>
  <c r="Y69" i="10"/>
  <c r="Y70" i="10"/>
  <c r="Y71" i="10"/>
  <c r="Y72" i="10"/>
  <c r="Y73" i="10"/>
  <c r="Y74" i="10"/>
  <c r="Y75" i="10"/>
  <c r="Y76" i="10"/>
  <c r="W14" i="22"/>
  <c r="W15" i="22"/>
  <c r="W16" i="22"/>
  <c r="W17" i="22"/>
  <c r="W18" i="22"/>
  <c r="W19" i="22"/>
  <c r="W20" i="22"/>
  <c r="W13" i="22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U150" i="3"/>
  <c r="U151" i="3"/>
  <c r="U152" i="3"/>
  <c r="U153" i="3"/>
  <c r="U154" i="3"/>
  <c r="U155" i="3"/>
  <c r="U156" i="3"/>
  <c r="U157" i="3"/>
  <c r="U158" i="3"/>
  <c r="U159" i="3"/>
  <c r="J150" i="3"/>
  <c r="J151" i="3"/>
  <c r="J152" i="3"/>
  <c r="J153" i="3"/>
  <c r="J154" i="3"/>
  <c r="J155" i="3"/>
  <c r="J156" i="3"/>
  <c r="J157" i="3"/>
  <c r="J158" i="3"/>
  <c r="J159" i="3"/>
  <c r="H221" i="3" l="1"/>
  <c r="S22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3" i="3"/>
  <c r="AC2" i="3" l="1"/>
  <c r="AC4" i="3" s="1"/>
  <c r="K3" i="1"/>
  <c r="K5" i="1" s="1"/>
  <c r="S38" i="5"/>
  <c r="S39" i="5"/>
  <c r="S40" i="5"/>
  <c r="S41" i="5"/>
  <c r="S42" i="5"/>
  <c r="S43" i="5"/>
  <c r="S44" i="5"/>
  <c r="S45" i="5"/>
  <c r="S46" i="5"/>
  <c r="I38" i="5"/>
  <c r="I39" i="5"/>
  <c r="I40" i="5"/>
  <c r="I41" i="5"/>
  <c r="I42" i="5"/>
  <c r="I43" i="5"/>
  <c r="I44" i="5"/>
  <c r="I45" i="5"/>
  <c r="I46" i="5"/>
  <c r="P86" i="15"/>
  <c r="O86" i="15"/>
  <c r="N86" i="15"/>
  <c r="M86" i="15"/>
  <c r="L86" i="15"/>
  <c r="F86" i="15"/>
  <c r="E86" i="15"/>
  <c r="D86" i="15"/>
  <c r="V2" i="15" s="1"/>
  <c r="C86" i="15"/>
  <c r="B86" i="15"/>
  <c r="R85" i="15"/>
  <c r="H85" i="15"/>
  <c r="R84" i="15"/>
  <c r="H84" i="15"/>
  <c r="R83" i="15"/>
  <c r="H83" i="15"/>
  <c r="R82" i="15"/>
  <c r="H82" i="15"/>
  <c r="R81" i="15"/>
  <c r="H81" i="15"/>
  <c r="R80" i="15"/>
  <c r="H80" i="15"/>
  <c r="R79" i="15"/>
  <c r="H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9" i="15"/>
  <c r="R8" i="15"/>
  <c r="R7" i="15"/>
  <c r="R6" i="15"/>
  <c r="R5" i="15"/>
  <c r="R4" i="15"/>
  <c r="V4" i="15" l="1"/>
  <c r="A3" i="1"/>
  <c r="U2" i="15"/>
  <c r="U4" i="15" s="1"/>
  <c r="T2" i="15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4" i="22"/>
  <c r="K5" i="22"/>
  <c r="K6" i="22"/>
  <c r="K7" i="22"/>
  <c r="K8" i="22"/>
  <c r="K9" i="22"/>
  <c r="K10" i="22"/>
  <c r="K11" i="22"/>
  <c r="K12" i="22"/>
  <c r="W3" i="22"/>
  <c r="S42" i="22"/>
  <c r="AD2" i="22" s="1"/>
  <c r="K9" i="1" s="1"/>
  <c r="K11" i="1" s="1"/>
  <c r="T42" i="22"/>
  <c r="U42" i="22"/>
  <c r="G42" i="22"/>
  <c r="H42" i="22"/>
  <c r="I42" i="22"/>
  <c r="K3" i="22"/>
  <c r="AF2" i="22" l="1"/>
  <c r="AE2" i="22"/>
  <c r="AE4" i="22" s="1"/>
  <c r="T4" i="15"/>
  <c r="D12" i="13"/>
  <c r="E37" i="1"/>
  <c r="E39" i="1" s="1"/>
  <c r="C37" i="1"/>
  <c r="C39" i="1" s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84" i="10"/>
  <c r="Y85" i="10"/>
  <c r="Y113" i="10"/>
  <c r="Y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3" i="10"/>
  <c r="W114" i="10"/>
  <c r="J114" i="10"/>
  <c r="I114" i="10"/>
  <c r="V114" i="10"/>
  <c r="AH2" i="10" s="1"/>
  <c r="AH4" i="10" s="1"/>
  <c r="I9" i="1" l="1"/>
  <c r="AF4" i="22"/>
  <c r="K30" i="1"/>
  <c r="F37" i="1"/>
  <c r="F39" i="1" s="1"/>
  <c r="AI2" i="10"/>
  <c r="D37" i="1" s="1"/>
  <c r="D39" i="1" s="1"/>
  <c r="G39" i="1" l="1"/>
  <c r="AI4" i="10"/>
  <c r="G37" i="1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R20" i="23"/>
  <c r="Q20" i="23"/>
  <c r="Z2" i="23" s="1"/>
  <c r="Z4" i="23" s="1"/>
  <c r="P20" i="23"/>
  <c r="O20" i="23"/>
  <c r="N20" i="23"/>
  <c r="M20" i="23"/>
  <c r="V2" i="23" s="1"/>
  <c r="H20" i="23"/>
  <c r="G20" i="23"/>
  <c r="F20" i="23"/>
  <c r="E20" i="23"/>
  <c r="D20" i="23"/>
  <c r="C20" i="23"/>
  <c r="B20" i="23"/>
  <c r="T19" i="23"/>
  <c r="I19" i="23"/>
  <c r="T18" i="23"/>
  <c r="I18" i="23"/>
  <c r="T17" i="23"/>
  <c r="I17" i="23"/>
  <c r="T16" i="23"/>
  <c r="I16" i="23"/>
  <c r="T15" i="23"/>
  <c r="I15" i="23"/>
  <c r="T14" i="23"/>
  <c r="I14" i="23"/>
  <c r="T13" i="23"/>
  <c r="I13" i="23"/>
  <c r="T12" i="23"/>
  <c r="I12" i="23"/>
  <c r="T11" i="23"/>
  <c r="I11" i="23"/>
  <c r="T10" i="23"/>
  <c r="I10" i="23"/>
  <c r="T9" i="23"/>
  <c r="I9" i="23"/>
  <c r="T8" i="23"/>
  <c r="I8" i="23"/>
  <c r="T7" i="23"/>
  <c r="I7" i="23"/>
  <c r="T6" i="23"/>
  <c r="I6" i="23"/>
  <c r="T5" i="23"/>
  <c r="I5" i="23"/>
  <c r="T4" i="23"/>
  <c r="I4" i="23"/>
  <c r="T3" i="23"/>
  <c r="I3" i="23"/>
  <c r="M52" i="9"/>
  <c r="M53" i="9"/>
  <c r="M54" i="9"/>
  <c r="M55" i="9"/>
  <c r="M56" i="9"/>
  <c r="M57" i="9"/>
  <c r="M58" i="9"/>
  <c r="M78" i="9"/>
  <c r="F52" i="9"/>
  <c r="F53" i="9"/>
  <c r="F54" i="9"/>
  <c r="F55" i="9"/>
  <c r="F56" i="9"/>
  <c r="F57" i="9"/>
  <c r="F58" i="9"/>
  <c r="D10" i="13"/>
  <c r="D11" i="13"/>
  <c r="AA2" i="23" l="1"/>
  <c r="AA4" i="23" s="1"/>
  <c r="V4" i="23"/>
  <c r="G3" i="1"/>
  <c r="G5" i="1" s="1"/>
  <c r="W2" i="23"/>
  <c r="W4" i="23" s="1"/>
  <c r="X2" i="23"/>
  <c r="X4" i="23" s="1"/>
  <c r="Y2" i="23"/>
  <c r="Y4" i="23" s="1"/>
  <c r="I20" i="23"/>
  <c r="R42" i="22" l="1"/>
  <c r="Q42" i="22"/>
  <c r="P42" i="22"/>
  <c r="O42" i="22"/>
  <c r="N42" i="22"/>
  <c r="J42" i="22"/>
  <c r="F42" i="22"/>
  <c r="E42" i="22"/>
  <c r="D42" i="22"/>
  <c r="C42" i="22"/>
  <c r="B42" i="22"/>
  <c r="W22" i="22"/>
  <c r="W21" i="22"/>
  <c r="W12" i="22"/>
  <c r="W11" i="22"/>
  <c r="W10" i="22"/>
  <c r="W9" i="22"/>
  <c r="W8" i="22"/>
  <c r="W7" i="22"/>
  <c r="W6" i="22"/>
  <c r="W5" i="22"/>
  <c r="W4" i="22"/>
  <c r="AD4" i="22"/>
  <c r="AC2" i="22" l="1"/>
  <c r="Z2" i="22"/>
  <c r="I30" i="1" s="1"/>
  <c r="I32" i="1" s="1"/>
  <c r="Y2" i="22"/>
  <c r="AA2" i="22"/>
  <c r="J30" i="1" s="1"/>
  <c r="J32" i="1" s="1"/>
  <c r="AB2" i="22"/>
  <c r="K42" i="2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91" i="2"/>
  <c r="Q92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92" i="2"/>
  <c r="N221" i="3"/>
  <c r="Z2" i="3" s="1"/>
  <c r="Z4" i="3" s="1"/>
  <c r="O221" i="3"/>
  <c r="P221" i="3"/>
  <c r="Q221" i="3"/>
  <c r="R221" i="3"/>
  <c r="C221" i="3"/>
  <c r="D221" i="3"/>
  <c r="E221" i="3"/>
  <c r="F221" i="3"/>
  <c r="G221" i="3"/>
  <c r="L113" i="10"/>
  <c r="AA2" i="3" l="1"/>
  <c r="J3" i="1" s="1"/>
  <c r="J5" i="1" s="1"/>
  <c r="AB2" i="3"/>
  <c r="AB4" i="3" s="1"/>
  <c r="AC4" i="22"/>
  <c r="J9" i="1"/>
  <c r="J11" i="1" s="1"/>
  <c r="Y4" i="22"/>
  <c r="L30" i="1"/>
  <c r="L32" i="1" s="1"/>
  <c r="K32" i="1"/>
  <c r="Z4" i="22"/>
  <c r="AB4" i="22"/>
  <c r="AA4" i="22"/>
  <c r="F5" i="1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AA4" i="3" l="1"/>
  <c r="N3" i="1"/>
  <c r="N5" i="1" s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3" i="6"/>
  <c r="D24" i="6"/>
  <c r="D25" i="6"/>
  <c r="D26" i="6"/>
  <c r="D27" i="6"/>
  <c r="D28" i="6"/>
  <c r="D29" i="6"/>
  <c r="D22" i="6"/>
  <c r="J95" i="9"/>
  <c r="C95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" i="9"/>
  <c r="D4" i="19"/>
  <c r="D5" i="19"/>
  <c r="Q2" i="9" l="1"/>
  <c r="Q4" i="9" s="1"/>
  <c r="K70" i="21" l="1"/>
  <c r="J70" i="21"/>
  <c r="P2" i="21" s="1"/>
  <c r="P4" i="21" s="1"/>
  <c r="I70" i="21"/>
  <c r="Q2" i="21"/>
  <c r="Q4" i="21" s="1"/>
  <c r="C70" i="21"/>
  <c r="B70" i="21"/>
  <c r="M69" i="21"/>
  <c r="F69" i="21"/>
  <c r="M68" i="21"/>
  <c r="F68" i="21"/>
  <c r="M67" i="21"/>
  <c r="F67" i="21"/>
  <c r="M66" i="21"/>
  <c r="F66" i="21"/>
  <c r="M65" i="21"/>
  <c r="F65" i="21"/>
  <c r="M64" i="21"/>
  <c r="F64" i="21"/>
  <c r="M63" i="21"/>
  <c r="F63" i="21"/>
  <c r="M62" i="21"/>
  <c r="F62" i="21"/>
  <c r="M61" i="21"/>
  <c r="F61" i="21"/>
  <c r="M60" i="21"/>
  <c r="F60" i="21"/>
  <c r="M59" i="21"/>
  <c r="F59" i="21"/>
  <c r="M58" i="21"/>
  <c r="F58" i="21"/>
  <c r="M57" i="21"/>
  <c r="F57" i="21"/>
  <c r="M56" i="21"/>
  <c r="F56" i="21"/>
  <c r="F55" i="21"/>
  <c r="M54" i="21"/>
  <c r="F54" i="21"/>
  <c r="M53" i="21"/>
  <c r="F53" i="21"/>
  <c r="M52" i="21"/>
  <c r="M55" i="21"/>
  <c r="M51" i="21"/>
  <c r="F51" i="21"/>
  <c r="M50" i="21"/>
  <c r="F50" i="21"/>
  <c r="M49" i="21"/>
  <c r="F49" i="21"/>
  <c r="M48" i="21"/>
  <c r="F48" i="21"/>
  <c r="M47" i="21"/>
  <c r="F47" i="21"/>
  <c r="M46" i="21"/>
  <c r="F46" i="21"/>
  <c r="M45" i="21"/>
  <c r="F45" i="21"/>
  <c r="M44" i="21"/>
  <c r="F44" i="21"/>
  <c r="M43" i="21"/>
  <c r="F43" i="21"/>
  <c r="M42" i="21"/>
  <c r="F42" i="21"/>
  <c r="M41" i="21"/>
  <c r="F41" i="21"/>
  <c r="M40" i="21"/>
  <c r="F40" i="21"/>
  <c r="M39" i="21"/>
  <c r="F39" i="21"/>
  <c r="M38" i="21"/>
  <c r="F38" i="21"/>
  <c r="M37" i="21"/>
  <c r="F37" i="21"/>
  <c r="M36" i="21"/>
  <c r="F36" i="21"/>
  <c r="M35" i="21"/>
  <c r="F35" i="21"/>
  <c r="M34" i="21"/>
  <c r="F34" i="21"/>
  <c r="M33" i="21"/>
  <c r="F33" i="21"/>
  <c r="M32" i="21"/>
  <c r="F32" i="21"/>
  <c r="M31" i="21"/>
  <c r="F31" i="21"/>
  <c r="M30" i="21"/>
  <c r="F30" i="21"/>
  <c r="M29" i="21"/>
  <c r="F29" i="21"/>
  <c r="M28" i="21"/>
  <c r="F28" i="21"/>
  <c r="M27" i="21"/>
  <c r="F27" i="21"/>
  <c r="M26" i="21"/>
  <c r="F26" i="21"/>
  <c r="M25" i="21"/>
  <c r="F25" i="21"/>
  <c r="M24" i="21"/>
  <c r="F24" i="21"/>
  <c r="M23" i="21"/>
  <c r="F23" i="21"/>
  <c r="M22" i="21"/>
  <c r="F22" i="21"/>
  <c r="M21" i="21"/>
  <c r="F21" i="21"/>
  <c r="M20" i="21"/>
  <c r="F20" i="21"/>
  <c r="M19" i="21"/>
  <c r="F19" i="21"/>
  <c r="M18" i="21"/>
  <c r="F18" i="21"/>
  <c r="M17" i="21"/>
  <c r="F17" i="21"/>
  <c r="M16" i="21"/>
  <c r="F16" i="21"/>
  <c r="M15" i="21"/>
  <c r="F15" i="21"/>
  <c r="M14" i="21"/>
  <c r="F14" i="21"/>
  <c r="M13" i="21"/>
  <c r="F13" i="21"/>
  <c r="M12" i="21"/>
  <c r="F12" i="21"/>
  <c r="M11" i="21"/>
  <c r="F11" i="21"/>
  <c r="M10" i="21"/>
  <c r="F10" i="21"/>
  <c r="M9" i="21"/>
  <c r="F9" i="21"/>
  <c r="M8" i="21"/>
  <c r="F8" i="21"/>
  <c r="M7" i="21"/>
  <c r="F7" i="21"/>
  <c r="M6" i="21"/>
  <c r="F6" i="21"/>
  <c r="M5" i="21"/>
  <c r="F5" i="21"/>
  <c r="M4" i="21"/>
  <c r="F4" i="21"/>
  <c r="M3" i="21"/>
  <c r="F3" i="21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110" i="14"/>
  <c r="O2" i="21" l="1"/>
  <c r="D9" i="13"/>
  <c r="S65" i="14"/>
  <c r="S66" i="14"/>
  <c r="S67" i="14"/>
  <c r="S68" i="14"/>
  <c r="S69" i="14"/>
  <c r="S70" i="14"/>
  <c r="S71" i="14"/>
  <c r="S72" i="14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O4" i="21" l="1"/>
  <c r="E9" i="1"/>
  <c r="D8" i="13"/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" i="11"/>
  <c r="K50" i="7" l="1"/>
  <c r="K51" i="7"/>
  <c r="K52" i="7"/>
  <c r="K53" i="7"/>
  <c r="K54" i="7"/>
  <c r="K55" i="7"/>
  <c r="K56" i="7"/>
  <c r="K57" i="7"/>
  <c r="K58" i="7"/>
  <c r="E50" i="7"/>
  <c r="E51" i="7"/>
  <c r="E52" i="7"/>
  <c r="E53" i="7"/>
  <c r="E54" i="7"/>
  <c r="E55" i="7"/>
  <c r="E56" i="7"/>
  <c r="E57" i="7"/>
  <c r="E58" i="7"/>
  <c r="L118" i="2"/>
  <c r="M118" i="2"/>
  <c r="N118" i="2"/>
  <c r="O118" i="2"/>
  <c r="C118" i="2"/>
  <c r="D118" i="2"/>
  <c r="E118" i="2"/>
  <c r="F118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Q44" i="2"/>
  <c r="Q45" i="2"/>
  <c r="Q46" i="2"/>
  <c r="Q47" i="2"/>
  <c r="Q48" i="2"/>
  <c r="Q49" i="2"/>
  <c r="Q50" i="2"/>
  <c r="Q51" i="2"/>
  <c r="Q43" i="2"/>
  <c r="H44" i="2"/>
  <c r="H45" i="2"/>
  <c r="H46" i="2"/>
  <c r="H47" i="2"/>
  <c r="H48" i="2"/>
  <c r="H49" i="2"/>
  <c r="H50" i="2"/>
  <c r="H51" i="2"/>
  <c r="H43" i="2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43" i="14"/>
  <c r="S44" i="14"/>
  <c r="S45" i="14"/>
  <c r="S46" i="14"/>
  <c r="S47" i="14"/>
  <c r="S48" i="14"/>
  <c r="S49" i="14"/>
  <c r="S50" i="14"/>
  <c r="AK185" i="14"/>
  <c r="AI185" i="14"/>
  <c r="AJ185" i="14"/>
  <c r="O185" i="14"/>
  <c r="P185" i="14"/>
  <c r="Q185" i="14"/>
  <c r="S42" i="14"/>
  <c r="I24" i="6"/>
  <c r="I25" i="6"/>
  <c r="I26" i="6"/>
  <c r="I27" i="6"/>
  <c r="I28" i="6"/>
  <c r="I29" i="6"/>
  <c r="I30" i="6"/>
  <c r="I31" i="6"/>
  <c r="BB2" i="14" l="1"/>
  <c r="BB4" i="14" s="1"/>
  <c r="U2" i="2"/>
  <c r="C3" i="1"/>
  <c r="C5" i="1" s="1"/>
  <c r="U4" i="2"/>
  <c r="BC2" i="14"/>
  <c r="E30" i="1" s="1"/>
  <c r="E32" i="1" s="1"/>
  <c r="T2" i="2"/>
  <c r="T4" i="2" s="1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D30" i="1" l="1"/>
  <c r="D32" i="1" s="1"/>
  <c r="BC4" i="14"/>
  <c r="B3" i="1"/>
  <c r="B5" i="1" s="1"/>
  <c r="F45" i="4"/>
  <c r="F46" i="4"/>
  <c r="F47" i="4"/>
  <c r="F66" i="4"/>
  <c r="N45" i="4"/>
  <c r="N46" i="4"/>
  <c r="N47" i="4"/>
  <c r="N67" i="4"/>
  <c r="N68" i="4"/>
  <c r="N69" i="4"/>
  <c r="S25" i="5" l="1"/>
  <c r="S26" i="5"/>
  <c r="S27" i="5"/>
  <c r="S28" i="5"/>
  <c r="S29" i="5"/>
  <c r="S30" i="5"/>
  <c r="S31" i="5"/>
  <c r="S32" i="5"/>
  <c r="S33" i="5"/>
  <c r="S34" i="5"/>
  <c r="S35" i="5"/>
  <c r="S36" i="5"/>
  <c r="S3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66" i="5"/>
  <c r="I67" i="5"/>
  <c r="I17" i="5"/>
  <c r="N37" i="4" l="1"/>
  <c r="N38" i="4"/>
  <c r="N39" i="4"/>
  <c r="N40" i="4"/>
  <c r="N41" i="4"/>
  <c r="N42" i="4"/>
  <c r="N43" i="4"/>
  <c r="N44" i="4"/>
  <c r="F37" i="4"/>
  <c r="F38" i="4"/>
  <c r="F39" i="4"/>
  <c r="F40" i="4"/>
  <c r="F41" i="4"/>
  <c r="F42" i="4"/>
  <c r="F43" i="4"/>
  <c r="F44" i="4"/>
  <c r="F67" i="4"/>
  <c r="F68" i="4"/>
  <c r="I18" i="6"/>
  <c r="I19" i="6"/>
  <c r="I20" i="6"/>
  <c r="I21" i="6"/>
  <c r="I22" i="6"/>
  <c r="I23" i="6"/>
  <c r="S28" i="14" l="1"/>
  <c r="S29" i="14"/>
  <c r="S30" i="14"/>
  <c r="S31" i="14"/>
  <c r="S32" i="14"/>
  <c r="S33" i="14"/>
  <c r="S34" i="14"/>
  <c r="S35" i="1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Q36" i="2"/>
  <c r="Q37" i="2"/>
  <c r="Q38" i="2"/>
  <c r="Q39" i="2"/>
  <c r="Q40" i="2"/>
  <c r="Q41" i="2"/>
  <c r="Q42" i="2"/>
  <c r="D7" i="13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36" i="14"/>
  <c r="S37" i="14"/>
  <c r="S38" i="14"/>
  <c r="S39" i="14"/>
  <c r="S40" i="14"/>
  <c r="S41" i="14"/>
  <c r="L185" i="14"/>
  <c r="M185" i="14"/>
  <c r="N185" i="14"/>
  <c r="AE185" i="14"/>
  <c r="AF185" i="14"/>
  <c r="AY2" i="14" s="1"/>
  <c r="G30" i="1" s="1"/>
  <c r="G32" i="1" s="1"/>
  <c r="AG185" i="14"/>
  <c r="S3" i="14"/>
  <c r="AZ2" i="14" l="1"/>
  <c r="AZ4" i="14" s="1"/>
  <c r="AY4" i="14"/>
  <c r="H30" i="1" l="1"/>
  <c r="H32" i="1" s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4" i="11"/>
  <c r="K32" i="11"/>
  <c r="L32" i="11"/>
  <c r="C32" i="11"/>
  <c r="D32" i="11"/>
  <c r="R2" i="11" l="1"/>
  <c r="O11" i="1"/>
  <c r="J53" i="20"/>
  <c r="I53" i="20"/>
  <c r="C53" i="20"/>
  <c r="B53" i="20"/>
  <c r="L52" i="20"/>
  <c r="E52" i="20"/>
  <c r="L51" i="20"/>
  <c r="E51" i="20"/>
  <c r="L50" i="20"/>
  <c r="E50" i="20"/>
  <c r="L49" i="20"/>
  <c r="E49" i="20"/>
  <c r="L48" i="20"/>
  <c r="E48" i="20"/>
  <c r="L47" i="20"/>
  <c r="E47" i="20"/>
  <c r="L46" i="20"/>
  <c r="E46" i="20"/>
  <c r="L45" i="20"/>
  <c r="E45" i="20"/>
  <c r="L44" i="20"/>
  <c r="E44" i="20"/>
  <c r="L43" i="20"/>
  <c r="E43" i="20"/>
  <c r="L42" i="20"/>
  <c r="E42" i="20"/>
  <c r="L41" i="20"/>
  <c r="E41" i="20"/>
  <c r="L40" i="20"/>
  <c r="E40" i="20"/>
  <c r="L39" i="20"/>
  <c r="E39" i="20"/>
  <c r="L38" i="20"/>
  <c r="E38" i="20"/>
  <c r="L37" i="20"/>
  <c r="E37" i="20"/>
  <c r="L36" i="20"/>
  <c r="E36" i="20"/>
  <c r="L35" i="20"/>
  <c r="E35" i="20"/>
  <c r="L34" i="20"/>
  <c r="E34" i="20"/>
  <c r="L33" i="20"/>
  <c r="E33" i="20"/>
  <c r="L32" i="20"/>
  <c r="E32" i="20"/>
  <c r="L31" i="20"/>
  <c r="E31" i="20"/>
  <c r="L30" i="20"/>
  <c r="E30" i="20"/>
  <c r="L29" i="20"/>
  <c r="E29" i="20"/>
  <c r="L28" i="20"/>
  <c r="E28" i="20"/>
  <c r="L27" i="20"/>
  <c r="E27" i="20"/>
  <c r="L26" i="20"/>
  <c r="E26" i="20"/>
  <c r="L25" i="20"/>
  <c r="E25" i="20"/>
  <c r="L24" i="20"/>
  <c r="E24" i="20"/>
  <c r="L23" i="20"/>
  <c r="E23" i="20"/>
  <c r="L22" i="20"/>
  <c r="E22" i="20"/>
  <c r="L21" i="20"/>
  <c r="E21" i="20"/>
  <c r="L20" i="20"/>
  <c r="E20" i="20"/>
  <c r="L19" i="20"/>
  <c r="E19" i="20"/>
  <c r="L18" i="20"/>
  <c r="E18" i="20"/>
  <c r="L17" i="20"/>
  <c r="E17" i="20"/>
  <c r="L16" i="20"/>
  <c r="E16" i="20"/>
  <c r="L15" i="20"/>
  <c r="E15" i="20"/>
  <c r="L14" i="20"/>
  <c r="E14" i="20"/>
  <c r="L13" i="20"/>
  <c r="E13" i="20"/>
  <c r="L12" i="20"/>
  <c r="E12" i="20"/>
  <c r="L11" i="20"/>
  <c r="E11" i="20"/>
  <c r="L10" i="20"/>
  <c r="E10" i="20"/>
  <c r="L9" i="20"/>
  <c r="E9" i="20"/>
  <c r="L8" i="20"/>
  <c r="E8" i="20"/>
  <c r="L7" i="20"/>
  <c r="E7" i="20"/>
  <c r="L6" i="20"/>
  <c r="E6" i="20"/>
  <c r="L5" i="20"/>
  <c r="E5" i="20"/>
  <c r="L4" i="20"/>
  <c r="E4" i="20"/>
  <c r="E3" i="20"/>
  <c r="H20" i="19"/>
  <c r="B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D3" i="19"/>
  <c r="R4" i="11" l="1"/>
  <c r="N9" i="1"/>
  <c r="M2" i="19"/>
  <c r="M4" i="19" s="1"/>
  <c r="O2" i="20"/>
  <c r="P2" i="20"/>
  <c r="P4" i="20" s="1"/>
  <c r="O16" i="1" l="1"/>
  <c r="O18" i="1" s="1"/>
  <c r="O4" i="20"/>
  <c r="N11" i="1"/>
  <c r="J185" i="14"/>
  <c r="K185" i="14"/>
  <c r="AX2" i="14" s="1"/>
  <c r="F30" i="1" s="1"/>
  <c r="F32" i="1" s="1"/>
  <c r="AD185" i="14"/>
  <c r="AH185" i="14"/>
  <c r="BA2" i="14" s="1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I117" i="7"/>
  <c r="C117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K4" i="7"/>
  <c r="E3" i="7"/>
  <c r="D6" i="13"/>
  <c r="N28" i="4"/>
  <c r="N29" i="4"/>
  <c r="N30" i="4"/>
  <c r="N31" i="4"/>
  <c r="N32" i="4"/>
  <c r="N33" i="4"/>
  <c r="N34" i="4"/>
  <c r="N35" i="4"/>
  <c r="N36" i="4"/>
  <c r="F28" i="4"/>
  <c r="F29" i="4"/>
  <c r="F30" i="4"/>
  <c r="F31" i="4"/>
  <c r="F32" i="4"/>
  <c r="F33" i="4"/>
  <c r="F34" i="4"/>
  <c r="F35" i="4"/>
  <c r="F36" i="4"/>
  <c r="F69" i="4"/>
  <c r="BA4" i="14" l="1"/>
  <c r="C30" i="1"/>
  <c r="AW2" i="14"/>
  <c r="R23" i="1" s="1"/>
  <c r="R25" i="1" s="1"/>
  <c r="AX4" i="14"/>
  <c r="O2" i="7"/>
  <c r="Q30" i="2"/>
  <c r="Q31" i="2"/>
  <c r="Q32" i="2"/>
  <c r="Q33" i="2"/>
  <c r="Q34" i="2"/>
  <c r="Q35" i="2"/>
  <c r="Q50" i="17"/>
  <c r="Z2" i="17" s="1"/>
  <c r="Z4" i="17" s="1"/>
  <c r="P50" i="17"/>
  <c r="O50" i="17"/>
  <c r="N50" i="17"/>
  <c r="M50" i="17"/>
  <c r="L50" i="17"/>
  <c r="H50" i="17"/>
  <c r="G50" i="17"/>
  <c r="F50" i="17"/>
  <c r="E50" i="17"/>
  <c r="D50" i="17"/>
  <c r="C50" i="17"/>
  <c r="B50" i="17"/>
  <c r="S14" i="17"/>
  <c r="I14" i="17"/>
  <c r="S13" i="17"/>
  <c r="I13" i="17"/>
  <c r="S12" i="17"/>
  <c r="I12" i="17"/>
  <c r="S11" i="17"/>
  <c r="I11" i="17"/>
  <c r="S10" i="17"/>
  <c r="I10" i="17"/>
  <c r="S9" i="17"/>
  <c r="I9" i="17"/>
  <c r="S8" i="17"/>
  <c r="I8" i="17"/>
  <c r="S7" i="17"/>
  <c r="I7" i="17"/>
  <c r="S6" i="17"/>
  <c r="I6" i="17"/>
  <c r="S5" i="17"/>
  <c r="I5" i="17"/>
  <c r="S4" i="17"/>
  <c r="I4" i="17"/>
  <c r="S3" i="17"/>
  <c r="I3" i="17"/>
  <c r="U2" i="17" l="1"/>
  <c r="U4" i="17" s="1"/>
  <c r="X2" i="17"/>
  <c r="X4" i="17" s="1"/>
  <c r="Y2" i="17"/>
  <c r="Y4" i="17" s="1"/>
  <c r="V2" i="17"/>
  <c r="V4" i="17" s="1"/>
  <c r="AW4" i="14"/>
  <c r="C32" i="1"/>
  <c r="M32" i="1" s="1"/>
  <c r="M30" i="1"/>
  <c r="O4" i="7"/>
  <c r="R3" i="1"/>
  <c r="R5" i="1" s="1"/>
  <c r="W2" i="17"/>
  <c r="W4" i="17" s="1"/>
  <c r="I50" i="17"/>
  <c r="N16" i="1" l="1"/>
  <c r="N18" i="1" s="1"/>
  <c r="G9" i="1"/>
  <c r="S17" i="5"/>
  <c r="S18" i="5"/>
  <c r="S19" i="5"/>
  <c r="S20" i="5"/>
  <c r="S21" i="5"/>
  <c r="S22" i="5"/>
  <c r="S23" i="5"/>
  <c r="S24" i="5"/>
  <c r="S23" i="1" l="1"/>
  <c r="S25" i="1" s="1"/>
  <c r="AA185" i="14"/>
  <c r="AB185" i="14"/>
  <c r="AC185" i="14"/>
  <c r="H185" i="14"/>
  <c r="I185" i="14"/>
  <c r="O114" i="10"/>
  <c r="B114" i="10"/>
  <c r="AV2" i="14" l="1"/>
  <c r="N23" i="1" s="1"/>
  <c r="N25" i="1" s="1"/>
  <c r="AU2" i="14"/>
  <c r="P23" i="1" s="1"/>
  <c r="P25" i="1" s="1"/>
  <c r="AA2" i="10"/>
  <c r="AA4" i="10" l="1"/>
  <c r="Q23" i="1"/>
  <c r="Q25" i="1" s="1"/>
  <c r="AU4" i="14"/>
  <c r="D5" i="13"/>
  <c r="R20" i="16" l="1"/>
  <c r="Q20" i="16"/>
  <c r="P20" i="16"/>
  <c r="O20" i="16"/>
  <c r="N20" i="16"/>
  <c r="M20" i="16"/>
  <c r="V2" i="16" s="1"/>
  <c r="V4" i="16" s="1"/>
  <c r="H20" i="16"/>
  <c r="G20" i="16"/>
  <c r="AA2" i="16" s="1"/>
  <c r="AA4" i="16" s="1"/>
  <c r="F20" i="16"/>
  <c r="E20" i="16"/>
  <c r="D20" i="16"/>
  <c r="C20" i="16"/>
  <c r="B20" i="16"/>
  <c r="I19" i="16"/>
  <c r="T18" i="16"/>
  <c r="I18" i="16"/>
  <c r="T17" i="16"/>
  <c r="I17" i="16"/>
  <c r="T16" i="16"/>
  <c r="I16" i="16"/>
  <c r="T15" i="16"/>
  <c r="I15" i="16"/>
  <c r="T14" i="16"/>
  <c r="I14" i="16"/>
  <c r="T13" i="16"/>
  <c r="I13" i="16"/>
  <c r="T12" i="16"/>
  <c r="I12" i="16"/>
  <c r="T11" i="16"/>
  <c r="I11" i="16"/>
  <c r="T10" i="16"/>
  <c r="I10" i="16"/>
  <c r="T9" i="16"/>
  <c r="I9" i="16"/>
  <c r="T8" i="16"/>
  <c r="I8" i="16"/>
  <c r="T7" i="16"/>
  <c r="I7" i="16"/>
  <c r="T6" i="16"/>
  <c r="I6" i="16"/>
  <c r="T5" i="16"/>
  <c r="I5" i="16"/>
  <c r="T4" i="16"/>
  <c r="I4" i="16"/>
  <c r="T3" i="16"/>
  <c r="I3" i="16"/>
  <c r="K23" i="1" l="1"/>
  <c r="K25" i="1" s="1"/>
  <c r="W2" i="16"/>
  <c r="X2" i="16"/>
  <c r="X4" i="16" s="1"/>
  <c r="Y2" i="16"/>
  <c r="Y4" i="16" s="1"/>
  <c r="Z2" i="16"/>
  <c r="Z4" i="16" s="1"/>
  <c r="I20" i="16"/>
  <c r="D22" i="1"/>
  <c r="D4" i="13"/>
  <c r="W4" i="16" l="1"/>
  <c r="G11" i="1"/>
  <c r="Z185" i="14" l="1"/>
  <c r="Y185" i="14"/>
  <c r="X185" i="14"/>
  <c r="W185" i="14"/>
  <c r="V185" i="14"/>
  <c r="R185" i="14"/>
  <c r="G185" i="14"/>
  <c r="F185" i="14"/>
  <c r="E185" i="14"/>
  <c r="D185" i="14"/>
  <c r="C185" i="14"/>
  <c r="B185" i="14"/>
  <c r="AR2" i="14" l="1"/>
  <c r="AR4" i="14" s="1"/>
  <c r="AV4" i="14"/>
  <c r="AT2" i="14"/>
  <c r="AO2" i="14"/>
  <c r="F23" i="1" s="1"/>
  <c r="F25" i="1" s="1"/>
  <c r="AS2" i="14"/>
  <c r="AP2" i="14"/>
  <c r="AQ2" i="14"/>
  <c r="S185" i="14"/>
  <c r="H20" i="13"/>
  <c r="B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D3" i="13"/>
  <c r="N17" i="4"/>
  <c r="N18" i="4"/>
  <c r="N19" i="4"/>
  <c r="N20" i="4"/>
  <c r="N21" i="4"/>
  <c r="N22" i="4"/>
  <c r="N23" i="4"/>
  <c r="N24" i="4"/>
  <c r="N25" i="4"/>
  <c r="N26" i="4"/>
  <c r="N27" i="4"/>
  <c r="F17" i="4"/>
  <c r="F18" i="4"/>
  <c r="F19" i="4"/>
  <c r="F20" i="4"/>
  <c r="F21" i="4"/>
  <c r="F22" i="4"/>
  <c r="F23" i="4"/>
  <c r="F24" i="4"/>
  <c r="F25" i="4"/>
  <c r="F26" i="4"/>
  <c r="F27" i="4"/>
  <c r="N16" i="4"/>
  <c r="M2" i="13" l="1"/>
  <c r="M4" i="13" s="1"/>
  <c r="I23" i="1"/>
  <c r="I25" i="1" s="1"/>
  <c r="AO4" i="14"/>
  <c r="O23" i="1"/>
  <c r="AT4" i="14"/>
  <c r="AS4" i="14"/>
  <c r="J23" i="1"/>
  <c r="J25" i="1" s="1"/>
  <c r="AP4" i="14"/>
  <c r="H23" i="1"/>
  <c r="H25" i="1" s="1"/>
  <c r="AQ4" i="14"/>
  <c r="G23" i="1"/>
  <c r="F9" i="1" l="1"/>
  <c r="F11" i="1" s="1"/>
  <c r="O25" i="1"/>
  <c r="T25" i="1" s="1"/>
  <c r="T23" i="1"/>
  <c r="G25" i="1"/>
  <c r="L25" i="1" s="1"/>
  <c r="L23" i="1"/>
  <c r="N15" i="4"/>
  <c r="N14" i="4" l="1"/>
  <c r="J222" i="3"/>
  <c r="Q15" i="2" l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14" i="2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  <c r="Q6" i="2" l="1"/>
  <c r="Q7" i="2"/>
  <c r="Q8" i="2"/>
  <c r="Q9" i="2"/>
  <c r="Q10" i="2"/>
  <c r="Q11" i="2"/>
  <c r="Q12" i="2"/>
  <c r="Q13" i="2"/>
  <c r="S4" i="5" l="1"/>
  <c r="S6" i="5"/>
  <c r="S7" i="5"/>
  <c r="S8" i="5"/>
  <c r="S9" i="5"/>
  <c r="S10" i="5"/>
  <c r="S11" i="5"/>
  <c r="S12" i="5"/>
  <c r="S13" i="5"/>
  <c r="S14" i="5"/>
  <c r="S15" i="5"/>
  <c r="S16" i="5"/>
  <c r="S3" i="5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3" i="12"/>
  <c r="Q5" i="2"/>
  <c r="N4" i="4" l="1"/>
  <c r="N5" i="4"/>
  <c r="N6" i="4"/>
  <c r="N7" i="4"/>
  <c r="N8" i="4"/>
  <c r="N9" i="4"/>
  <c r="N10" i="4"/>
  <c r="N11" i="4"/>
  <c r="N12" i="4"/>
  <c r="N13" i="4"/>
  <c r="N3" i="4"/>
  <c r="Q4" i="2" l="1"/>
  <c r="H4" i="5" l="1"/>
  <c r="Q68" i="5" l="1"/>
  <c r="P68" i="5"/>
  <c r="O68" i="5"/>
  <c r="N68" i="5"/>
  <c r="M68" i="5"/>
  <c r="L68" i="5"/>
  <c r="G68" i="5"/>
  <c r="F68" i="5"/>
  <c r="E68" i="5"/>
  <c r="D68" i="5"/>
  <c r="C68" i="5"/>
  <c r="B68" i="5"/>
  <c r="I15" i="5"/>
  <c r="I14" i="5"/>
  <c r="I13" i="5"/>
  <c r="I12" i="5"/>
  <c r="I11" i="5"/>
  <c r="I10" i="5"/>
  <c r="I9" i="5"/>
  <c r="I8" i="5"/>
  <c r="I7" i="5"/>
  <c r="I6" i="5"/>
  <c r="I5" i="5"/>
  <c r="I3" i="5"/>
  <c r="R20" i="12"/>
  <c r="AA2" i="12" s="1"/>
  <c r="AA4" i="12" s="1"/>
  <c r="Q20" i="12"/>
  <c r="P20" i="12"/>
  <c r="O20" i="12"/>
  <c r="N20" i="12"/>
  <c r="W2" i="12" s="1"/>
  <c r="W4" i="12" s="1"/>
  <c r="M20" i="12"/>
  <c r="H20" i="12"/>
  <c r="G20" i="12"/>
  <c r="F20" i="12"/>
  <c r="E20" i="12"/>
  <c r="D20" i="12"/>
  <c r="C20" i="12"/>
  <c r="B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X2" i="12"/>
  <c r="X4" i="12" s="1"/>
  <c r="Y2" i="5" l="1"/>
  <c r="Y4" i="5" s="1"/>
  <c r="V2" i="12"/>
  <c r="V4" i="12" s="1"/>
  <c r="Z2" i="12"/>
  <c r="Z4" i="12" s="1"/>
  <c r="Y2" i="12"/>
  <c r="Y4" i="12" s="1"/>
  <c r="Z2" i="5"/>
  <c r="Z4" i="5" s="1"/>
  <c r="X2" i="5"/>
  <c r="W2" i="5"/>
  <c r="U2" i="5"/>
  <c r="U4" i="5" s="1"/>
  <c r="V2" i="5"/>
  <c r="I20" i="12"/>
  <c r="J32" i="11"/>
  <c r="B32" i="11"/>
  <c r="S114" i="10"/>
  <c r="T114" i="10"/>
  <c r="U114" i="10"/>
  <c r="F114" i="10"/>
  <c r="G114" i="10"/>
  <c r="H114" i="10"/>
  <c r="K114" i="10"/>
  <c r="R114" i="10"/>
  <c r="Q114" i="10"/>
  <c r="P114" i="10"/>
  <c r="E114" i="10"/>
  <c r="D114" i="10"/>
  <c r="C114" i="10"/>
  <c r="X4" i="5" l="1"/>
  <c r="J16" i="1"/>
  <c r="J18" i="1" s="1"/>
  <c r="AE2" i="10"/>
  <c r="B16" i="1" s="1"/>
  <c r="B18" i="1" s="1"/>
  <c r="AF2" i="10"/>
  <c r="AF4" i="10" s="1"/>
  <c r="W4" i="5"/>
  <c r="K16" i="1"/>
  <c r="K18" i="1" s="1"/>
  <c r="AG2" i="10"/>
  <c r="L114" i="10"/>
  <c r="Q2" i="11"/>
  <c r="Q4" i="11" s="1"/>
  <c r="AD2" i="10"/>
  <c r="I16" i="1"/>
  <c r="I18" i="1" s="1"/>
  <c r="V4" i="5"/>
  <c r="H16" i="1"/>
  <c r="H18" i="1" s="1"/>
  <c r="AB2" i="10"/>
  <c r="AB4" i="10" s="1"/>
  <c r="AC2" i="10"/>
  <c r="AC4" i="10" s="1"/>
  <c r="G65" i="6"/>
  <c r="B65" i="6"/>
  <c r="D3" i="6"/>
  <c r="AE4" i="10" l="1"/>
  <c r="C16" i="1"/>
  <c r="C18" i="1" s="1"/>
  <c r="AG4" i="10"/>
  <c r="D16" i="1"/>
  <c r="D18" i="1" s="1"/>
  <c r="M16" i="1"/>
  <c r="M18" i="1" s="1"/>
  <c r="AD4" i="10"/>
  <c r="A16" i="1"/>
  <c r="A18" i="1" s="1"/>
  <c r="F16" i="1"/>
  <c r="F18" i="1" s="1"/>
  <c r="G16" i="1"/>
  <c r="G18" i="1" s="1"/>
  <c r="L2" i="6"/>
  <c r="I95" i="9"/>
  <c r="B95" i="9"/>
  <c r="L4" i="6" l="1"/>
  <c r="A9" i="1"/>
  <c r="A11" i="1" s="1"/>
  <c r="P2" i="9"/>
  <c r="H117" i="7"/>
  <c r="B117" i="7"/>
  <c r="P4" i="9" l="1"/>
  <c r="M9" i="1"/>
  <c r="M11" i="1" s="1"/>
  <c r="P11" i="1" s="1"/>
  <c r="N2" i="7"/>
  <c r="P18" i="1"/>
  <c r="P16" i="1"/>
  <c r="L18" i="1"/>
  <c r="L16" i="1"/>
  <c r="E18" i="1"/>
  <c r="E16" i="1"/>
  <c r="D11" i="1"/>
  <c r="D9" i="1"/>
  <c r="L70" i="4"/>
  <c r="K70" i="4"/>
  <c r="J70" i="4"/>
  <c r="D70" i="4"/>
  <c r="C70" i="4"/>
  <c r="B70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M221" i="3"/>
  <c r="B221" i="3"/>
  <c r="K118" i="2"/>
  <c r="B118" i="2"/>
  <c r="R2" i="4" l="1"/>
  <c r="R4" i="4" s="1"/>
  <c r="S2" i="2"/>
  <c r="S4" i="2" s="1"/>
  <c r="Q2" i="4"/>
  <c r="J221" i="3"/>
  <c r="X2" i="3"/>
  <c r="X4" i="3" s="1"/>
  <c r="Y2" i="3"/>
  <c r="Y4" i="3" s="1"/>
  <c r="P2" i="4"/>
  <c r="P4" i="4" s="1"/>
  <c r="P9" i="1"/>
  <c r="N4" i="7"/>
  <c r="Q3" i="1"/>
  <c r="A5" i="1"/>
  <c r="D5" i="1" s="1"/>
  <c r="W2" i="3"/>
  <c r="H3" i="2"/>
  <c r="Q4" i="4" l="1"/>
  <c r="L3" i="1"/>
  <c r="P3" i="1"/>
  <c r="H9" i="1"/>
  <c r="W4" i="3"/>
  <c r="E3" i="1"/>
  <c r="Q5" i="1"/>
  <c r="T5" i="1" s="1"/>
  <c r="T3" i="1"/>
  <c r="D3" i="1"/>
  <c r="L9" i="1" l="1"/>
  <c r="I11" i="1"/>
  <c r="L11" i="1" s="1"/>
  <c r="I5" i="1"/>
  <c r="L5" i="1" s="1"/>
  <c r="M5" i="1"/>
  <c r="P5" i="1" s="1"/>
  <c r="E11" i="1"/>
  <c r="H11" i="1" s="1"/>
  <c r="H3" i="1"/>
  <c r="E5" i="1"/>
  <c r="H5" i="1" s="1"/>
  <c r="S5" i="5" l="1"/>
  <c r="I16" i="5" l="1"/>
  <c r="I68" i="5" s="1"/>
  <c r="H68" i="5"/>
</calcChain>
</file>

<file path=xl/sharedStrings.xml><?xml version="1.0" encoding="utf-8"?>
<sst xmlns="http://schemas.openxmlformats.org/spreadsheetml/2006/main" count="826" uniqueCount="179">
  <si>
    <t>Арахис</t>
  </si>
  <si>
    <t>Масло пальмовое</t>
  </si>
  <si>
    <t>Мука пшеничная</t>
  </si>
  <si>
    <t>Соль</t>
  </si>
  <si>
    <t>Крахмал кукурузный ГОСТ</t>
  </si>
  <si>
    <t>Патока крахм-карамельная</t>
  </si>
  <si>
    <t>Глутамат натрия</t>
  </si>
  <si>
    <t>Красители</t>
  </si>
  <si>
    <t>солнечный закат</t>
  </si>
  <si>
    <t>тартразин</t>
  </si>
  <si>
    <t>зеленое яблоко</t>
  </si>
  <si>
    <t>ВАДы</t>
  </si>
  <si>
    <t>барбекю</t>
  </si>
  <si>
    <t>васаби</t>
  </si>
  <si>
    <t>сметана и зелень</t>
  </si>
  <si>
    <t>Крахмал модифицированный Е1422</t>
  </si>
  <si>
    <t>Крахмал модифицированный Е1414</t>
  </si>
  <si>
    <t>дата поставки</t>
  </si>
  <si>
    <t>цена</t>
  </si>
  <si>
    <t>на сумму</t>
  </si>
  <si>
    <t>2024 год</t>
  </si>
  <si>
    <t>арахис, кг</t>
  </si>
  <si>
    <t>дата выдачи на пр-во</t>
  </si>
  <si>
    <t>в чей подотчет</t>
  </si>
  <si>
    <t>Ресурс Групп</t>
  </si>
  <si>
    <t>крахмал кукурузный ГОСТ</t>
  </si>
  <si>
    <t>крахмал кукурузный Е1422</t>
  </si>
  <si>
    <t>крахмал кукурузный Е1414</t>
  </si>
  <si>
    <t>пальмовое масло</t>
  </si>
  <si>
    <t>масло пальмовое раф.дез. отб</t>
  </si>
  <si>
    <t>Остаток сырья, на сумму</t>
  </si>
  <si>
    <t>мука, кг</t>
  </si>
  <si>
    <t>патока крахм, кг</t>
  </si>
  <si>
    <t>Скип</t>
  </si>
  <si>
    <t>соль пищевая, кг</t>
  </si>
  <si>
    <t>Виктан</t>
  </si>
  <si>
    <t>Ароматизатор барбекю</t>
  </si>
  <si>
    <t>Ароматизатор сыр с халапеньо</t>
  </si>
  <si>
    <t>Краситель желтый закат</t>
  </si>
  <si>
    <t>Краситель тартразин</t>
  </si>
  <si>
    <t>Краситель зеленое яблоко</t>
  </si>
  <si>
    <t>сыр с халапеньо</t>
  </si>
  <si>
    <t>глутамат, кг</t>
  </si>
  <si>
    <t>Орион</t>
  </si>
  <si>
    <t>Краситель белый титановый</t>
  </si>
  <si>
    <t>Омега-Фуд</t>
  </si>
  <si>
    <t>ВМ Ингред</t>
  </si>
  <si>
    <t>Захаров</t>
  </si>
  <si>
    <t>до 31.08</t>
  </si>
  <si>
    <t>компл пищевая добавка сметана-зелень/2</t>
  </si>
  <si>
    <t>списано после учета?...</t>
  </si>
  <si>
    <t>масло отработка</t>
  </si>
  <si>
    <t>отработка</t>
  </si>
  <si>
    <t>СоюзСнаб</t>
  </si>
  <si>
    <t>пищевая добавка сметана-зелень/2</t>
  </si>
  <si>
    <t>изм в отчете!</t>
  </si>
  <si>
    <t>было 115,00</t>
  </si>
  <si>
    <t xml:space="preserve"> пищевая добавка Шашлык</t>
  </si>
  <si>
    <t>пищевая добавка Васаби 409</t>
  </si>
  <si>
    <t xml:space="preserve"> пищевая добавка сладкий Чили</t>
  </si>
  <si>
    <t>пищевая добавка холодец с хреном</t>
  </si>
  <si>
    <t>Пд Васаби 409</t>
  </si>
  <si>
    <t xml:space="preserve"> Пд сладкий Чили</t>
  </si>
  <si>
    <t>Пд холодец с хреном</t>
  </si>
  <si>
    <t>потери:</t>
  </si>
  <si>
    <t>Аромат барбекю</t>
  </si>
  <si>
    <t>Аромат сыр с халапеньо</t>
  </si>
  <si>
    <t>пищевая добавка Васаби 402</t>
  </si>
  <si>
    <t>Пд имбирь</t>
  </si>
  <si>
    <t>ч/л</t>
  </si>
  <si>
    <t>было 5</t>
  </si>
  <si>
    <t>остаток сырья, в единицах</t>
  </si>
  <si>
    <t>масло подсолнечное</t>
  </si>
  <si>
    <t>Пд сметана-зелень</t>
  </si>
  <si>
    <t>Пд васаби особая</t>
  </si>
  <si>
    <t>Пд сметана-зелень/3</t>
  </si>
  <si>
    <t>сметана и зелень/3</t>
  </si>
  <si>
    <t>Краситель понсо</t>
  </si>
  <si>
    <t>Аромат сыр сливоч</t>
  </si>
  <si>
    <t>пищевая добавка салями</t>
  </si>
  <si>
    <t>салями</t>
  </si>
  <si>
    <t>сыр сливочный</t>
  </si>
  <si>
    <t>понсо</t>
  </si>
  <si>
    <t>васаби 402</t>
  </si>
  <si>
    <t>шашлык</t>
  </si>
  <si>
    <t>сахар</t>
  </si>
  <si>
    <t>ИП Ким</t>
  </si>
  <si>
    <t>Русские мельницы</t>
  </si>
  <si>
    <t>пищевая добавка Сыр</t>
  </si>
  <si>
    <t>сыр</t>
  </si>
  <si>
    <t>диоксид титана, кг</t>
  </si>
  <si>
    <t>диоксид титана</t>
  </si>
  <si>
    <t>Эко Ресурс</t>
  </si>
  <si>
    <t>Гуммиарабик Инст ВА</t>
  </si>
  <si>
    <t>Мальтодекстрин Multydex</t>
  </si>
  <si>
    <t>пищевая добавка красная икра 011</t>
  </si>
  <si>
    <t>пищевая добавка Бекон 180</t>
  </si>
  <si>
    <t>Пд барбекю-шашлык 541</t>
  </si>
  <si>
    <t>Пд креветка 053</t>
  </si>
  <si>
    <t>Пд мексиканский соус 206</t>
  </si>
  <si>
    <t>красная икра 011</t>
  </si>
  <si>
    <t>бекон 180</t>
  </si>
  <si>
    <t>барбекю-шашлык 541</t>
  </si>
  <si>
    <t>креветка 053</t>
  </si>
  <si>
    <t>мексиканский соус 206</t>
  </si>
  <si>
    <t>было 40р.</t>
  </si>
  <si>
    <t>пересорт</t>
  </si>
  <si>
    <t>пищевая добавка Сыр 352</t>
  </si>
  <si>
    <t>2025 год</t>
  </si>
  <si>
    <t>2025 го</t>
  </si>
  <si>
    <t>Пд сметана-зелень 403</t>
  </si>
  <si>
    <t>Пд грибы-сметана 272</t>
  </si>
  <si>
    <t>Пд грибы-сметана 274</t>
  </si>
  <si>
    <t>Пд холодец с хреном 551</t>
  </si>
  <si>
    <t>арахис целый, кг</t>
  </si>
  <si>
    <t>арахис сплит, кг</t>
  </si>
  <si>
    <t>АгроТр целый</t>
  </si>
  <si>
    <t>АгроТр сплит</t>
  </si>
  <si>
    <t>Люкс Ойл</t>
  </si>
  <si>
    <t>продажа</t>
  </si>
  <si>
    <r>
      <t xml:space="preserve">крахмал кукурузный ГОСТ, </t>
    </r>
    <r>
      <rPr>
        <b/>
        <sz val="10"/>
        <color rgb="FFFF0000"/>
        <rFont val="Times New Roman"/>
        <family val="1"/>
        <charset val="204"/>
      </rPr>
      <t>48р.</t>
    </r>
  </si>
  <si>
    <r>
      <t xml:space="preserve">крахмал кукурузный Е1422, </t>
    </r>
    <r>
      <rPr>
        <b/>
        <sz val="10"/>
        <color rgb="FFFF0000"/>
        <rFont val="Times New Roman"/>
        <family val="1"/>
        <charset val="204"/>
      </rPr>
      <t>183р.</t>
    </r>
  </si>
  <si>
    <r>
      <t xml:space="preserve">крахмал кукурузный Е1414, </t>
    </r>
    <r>
      <rPr>
        <b/>
        <sz val="10"/>
        <color rgb="FFFF0000"/>
        <rFont val="Times New Roman"/>
        <family val="1"/>
        <charset val="204"/>
      </rPr>
      <t>183р.</t>
    </r>
  </si>
  <si>
    <t>ПдК Зеленое яблоко</t>
  </si>
  <si>
    <t>ПдК Солнечнй закат</t>
  </si>
  <si>
    <t>ПдК тартразин</t>
  </si>
  <si>
    <t>ПдК Понсо</t>
  </si>
  <si>
    <t>крахмал ГОСТ</t>
  </si>
  <si>
    <t>НьюБио</t>
  </si>
  <si>
    <t>Краситель понсо2</t>
  </si>
  <si>
    <t>Краситель тартразин2</t>
  </si>
  <si>
    <t>тартразин2</t>
  </si>
  <si>
    <t>понсо2</t>
  </si>
  <si>
    <t>Глюкоза</t>
  </si>
  <si>
    <t>Пекарский порошок В</t>
  </si>
  <si>
    <t>март</t>
  </si>
  <si>
    <t>февраль</t>
  </si>
  <si>
    <t>ПдК Пекарский порошок В</t>
  </si>
  <si>
    <t>Глутамат</t>
  </si>
  <si>
    <t>мука кукурузная</t>
  </si>
  <si>
    <t>масло подсолнечное 5л</t>
  </si>
  <si>
    <t>сметана/ лук 117403</t>
  </si>
  <si>
    <t>Сметана-лук 117403</t>
  </si>
  <si>
    <t>Мальтодекстрин</t>
  </si>
  <si>
    <t>за янв 2025</t>
  </si>
  <si>
    <t>апрель</t>
  </si>
  <si>
    <t>Велторг</t>
  </si>
  <si>
    <t>Антиокислит</t>
  </si>
  <si>
    <t>Антиокислитель Вел-Микс 043</t>
  </si>
  <si>
    <t>Агроимпекс сплит</t>
  </si>
  <si>
    <t>11-14.04</t>
  </si>
  <si>
    <r>
      <t>ПдК Зеленое яблоко</t>
    </r>
    <r>
      <rPr>
        <b/>
        <i/>
        <sz val="10"/>
        <color rgb="FFFF0000"/>
        <rFont val="Times New Roman"/>
        <family val="1"/>
        <charset val="204"/>
      </rPr>
      <t>2</t>
    </r>
  </si>
  <si>
    <r>
      <t>ПдК Зеленое яблоко</t>
    </r>
    <r>
      <rPr>
        <b/>
        <i/>
        <sz val="12"/>
        <color rgb="FFFF0000"/>
        <rFont val="Times New Roman"/>
        <family val="1"/>
        <charset val="204"/>
      </rPr>
      <t>2</t>
    </r>
  </si>
  <si>
    <t>Доминант</t>
  </si>
  <si>
    <t>КрахмалПрод</t>
  </si>
  <si>
    <t>было 25</t>
  </si>
  <si>
    <t>01-04 мая</t>
  </si>
  <si>
    <t>арахис сырой (индия)целый, кг</t>
  </si>
  <si>
    <t>05 мая</t>
  </si>
  <si>
    <t>06 мая</t>
  </si>
  <si>
    <t>07 мая</t>
  </si>
  <si>
    <t>08-09 мая</t>
  </si>
  <si>
    <t>10-11 мая</t>
  </si>
  <si>
    <t>12 мая</t>
  </si>
  <si>
    <t>Пд сметана-зелень 446</t>
  </si>
  <si>
    <t>краситель тартразин</t>
  </si>
  <si>
    <t>13 мая</t>
  </si>
  <si>
    <t>ароматизотор</t>
  </si>
  <si>
    <t>14 мая</t>
  </si>
  <si>
    <t>15 мая</t>
  </si>
  <si>
    <t>16 мая</t>
  </si>
  <si>
    <t>17 мая</t>
  </si>
  <si>
    <t>18 мая</t>
  </si>
  <si>
    <t>19 мая</t>
  </si>
  <si>
    <t>20 мая</t>
  </si>
  <si>
    <t>май</t>
  </si>
  <si>
    <t>21 мая</t>
  </si>
  <si>
    <t>22 мая</t>
  </si>
  <si>
    <t>23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</si>
</sst>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0"/>
  </numFmts>
  <fonts count="3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6">
    <xf numFmtId="0" fontId="0" fillId="0" borderId="0" xfId="0"/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40" fontId="3" fillId="0" borderId="8" xfId="0" applyNumberFormat="1" applyFont="1" applyBorder="1"/>
    <xf numFmtId="40" fontId="3" fillId="0" borderId="9" xfId="0" applyNumberFormat="1" applyFont="1" applyBorder="1"/>
    <xf numFmtId="40" fontId="3" fillId="3" borderId="8" xfId="0" applyNumberFormat="1" applyFont="1" applyFill="1" applyBorder="1"/>
    <xf numFmtId="40" fontId="3" fillId="0" borderId="0" xfId="0" applyNumberFormat="1" applyFont="1"/>
    <xf numFmtId="0" fontId="2" fillId="0" borderId="0" xfId="0" applyFont="1"/>
    <xf numFmtId="2" fontId="4" fillId="0" borderId="0" xfId="0" applyNumberFormat="1" applyFont="1"/>
    <xf numFmtId="0" fontId="3" fillId="0" borderId="0" xfId="0" applyFont="1" applyAlignment="1">
      <alignment horizontal="center"/>
    </xf>
    <xf numFmtId="40" fontId="3" fillId="8" borderId="8" xfId="0" applyNumberFormat="1" applyFont="1" applyFill="1" applyBorder="1"/>
    <xf numFmtId="40" fontId="3" fillId="9" borderId="9" xfId="0" applyNumberFormat="1" applyFont="1" applyFill="1" applyBorder="1"/>
    <xf numFmtId="40" fontId="3" fillId="10" borderId="8" xfId="0" applyNumberFormat="1" applyFont="1" applyFill="1" applyBorder="1"/>
    <xf numFmtId="40" fontId="3" fillId="0" borderId="25" xfId="0" applyNumberFormat="1" applyFont="1" applyBorder="1"/>
    <xf numFmtId="40" fontId="3" fillId="0" borderId="15" xfId="0" applyNumberFormat="1" applyFont="1" applyBorder="1"/>
    <xf numFmtId="40" fontId="3" fillId="0" borderId="11" xfId="0" applyNumberFormat="1" applyFont="1" applyBorder="1"/>
    <xf numFmtId="40" fontId="3" fillId="2" borderId="20" xfId="0" applyNumberFormat="1" applyFont="1" applyFill="1" applyBorder="1"/>
    <xf numFmtId="0" fontId="1" fillId="0" borderId="16" xfId="0" applyFont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15" xfId="0" applyFont="1" applyBorder="1"/>
    <xf numFmtId="0" fontId="7" fillId="0" borderId="15" xfId="0" applyFont="1" applyBorder="1"/>
    <xf numFmtId="164" fontId="7" fillId="0" borderId="15" xfId="0" applyNumberFormat="1" applyFont="1" applyBorder="1"/>
    <xf numFmtId="0" fontId="7" fillId="0" borderId="0" xfId="0" applyFont="1"/>
    <xf numFmtId="2" fontId="7" fillId="0" borderId="15" xfId="0" applyNumberFormat="1" applyFont="1" applyBorder="1"/>
    <xf numFmtId="16" fontId="7" fillId="0" borderId="15" xfId="0" applyNumberFormat="1" applyFont="1" applyBorder="1"/>
    <xf numFmtId="164" fontId="7" fillId="0" borderId="0" xfId="0" applyNumberFormat="1" applyFont="1"/>
    <xf numFmtId="164" fontId="7" fillId="8" borderId="15" xfId="0" applyNumberFormat="1" applyFont="1" applyFill="1" applyBorder="1"/>
    <xf numFmtId="2" fontId="7" fillId="0" borderId="0" xfId="0" applyNumberFormat="1" applyFont="1"/>
    <xf numFmtId="8" fontId="5" fillId="0" borderId="12" xfId="0" applyNumberFormat="1" applyFont="1" applyBorder="1"/>
    <xf numFmtId="8" fontId="5" fillId="0" borderId="0" xfId="0" applyNumberFormat="1" applyFont="1"/>
    <xf numFmtId="8" fontId="3" fillId="0" borderId="27" xfId="0" applyNumberFormat="1" applyFont="1" applyBorder="1" applyAlignment="1">
      <alignment vertical="center"/>
    </xf>
    <xf numFmtId="8" fontId="3" fillId="0" borderId="13" xfId="0" applyNumberFormat="1" applyFont="1" applyBorder="1" applyAlignment="1">
      <alignment vertical="center"/>
    </xf>
    <xf numFmtId="8" fontId="3" fillId="3" borderId="13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2" fontId="9" fillId="0" borderId="0" xfId="0" applyNumberFormat="1" applyFont="1"/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8" borderId="15" xfId="0" applyFont="1" applyFill="1" applyBorder="1" applyAlignment="1">
      <alignment vertical="center" wrapText="1"/>
    </xf>
    <xf numFmtId="164" fontId="13" fillId="8" borderId="15" xfId="0" applyNumberFormat="1" applyFont="1" applyFill="1" applyBorder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64" fontId="10" fillId="0" borderId="15" xfId="0" applyNumberFormat="1" applyFont="1" applyBorder="1"/>
    <xf numFmtId="8" fontId="3" fillId="0" borderId="21" xfId="0" applyNumberFormat="1" applyFont="1" applyBorder="1"/>
    <xf numFmtId="8" fontId="3" fillId="0" borderId="0" xfId="0" applyNumberFormat="1" applyFont="1"/>
    <xf numFmtId="8" fontId="3" fillId="2" borderId="23" xfId="0" applyNumberFormat="1" applyFont="1" applyFill="1" applyBorder="1" applyAlignment="1">
      <alignment vertical="center"/>
    </xf>
    <xf numFmtId="8" fontId="3" fillId="8" borderId="13" xfId="0" applyNumberFormat="1" applyFont="1" applyFill="1" applyBorder="1" applyAlignment="1">
      <alignment vertical="center"/>
    </xf>
    <xf numFmtId="8" fontId="3" fillId="9" borderId="13" xfId="0" applyNumberFormat="1" applyFont="1" applyFill="1" applyBorder="1" applyAlignment="1">
      <alignment vertical="center"/>
    </xf>
    <xf numFmtId="8" fontId="3" fillId="10" borderId="13" xfId="0" applyNumberFormat="1" applyFont="1" applyFill="1" applyBorder="1" applyAlignment="1">
      <alignment vertical="center"/>
    </xf>
    <xf numFmtId="2" fontId="3" fillId="0" borderId="8" xfId="0" applyNumberFormat="1" applyFont="1" applyBorder="1"/>
    <xf numFmtId="2" fontId="3" fillId="4" borderId="8" xfId="0" applyNumberFormat="1" applyFont="1" applyFill="1" applyBorder="1"/>
    <xf numFmtId="2" fontId="3" fillId="7" borderId="8" xfId="0" applyNumberFormat="1" applyFont="1" applyFill="1" applyBorder="1"/>
    <xf numFmtId="2" fontId="3" fillId="0" borderId="17" xfId="0" applyNumberFormat="1" applyFont="1" applyBorder="1"/>
    <xf numFmtId="2" fontId="3" fillId="0" borderId="18" xfId="0" applyNumberFormat="1" applyFont="1" applyBorder="1" applyAlignment="1">
      <alignment horizontal="center" vertical="center" wrapText="1"/>
    </xf>
    <xf numFmtId="2" fontId="3" fillId="7" borderId="19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164" fontId="3" fillId="0" borderId="13" xfId="0" applyNumberFormat="1" applyFont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7" borderId="13" xfId="0" applyNumberFormat="1" applyFont="1" applyFill="1" applyBorder="1" applyAlignment="1">
      <alignment vertical="center"/>
    </xf>
    <xf numFmtId="164" fontId="3" fillId="0" borderId="21" xfId="0" applyNumberFormat="1" applyFont="1" applyBorder="1"/>
    <xf numFmtId="164" fontId="3" fillId="7" borderId="23" xfId="0" applyNumberFormat="1" applyFont="1" applyFill="1" applyBorder="1" applyAlignment="1">
      <alignment vertical="center"/>
    </xf>
    <xf numFmtId="164" fontId="4" fillId="0" borderId="0" xfId="0" applyNumberFormat="1" applyFont="1"/>
    <xf numFmtId="164" fontId="2" fillId="0" borderId="0" xfId="0" applyNumberFormat="1" applyFont="1"/>
    <xf numFmtId="2" fontId="3" fillId="0" borderId="2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11" borderId="5" xfId="0" applyNumberFormat="1" applyFont="1" applyFill="1" applyBorder="1" applyAlignment="1">
      <alignment horizontal="center" vertical="center" wrapText="1"/>
    </xf>
    <xf numFmtId="164" fontId="3" fillId="0" borderId="27" xfId="0" applyNumberFormat="1" applyFont="1" applyBorder="1" applyAlignment="1">
      <alignment vertical="center"/>
    </xf>
    <xf numFmtId="164" fontId="3" fillId="6" borderId="13" xfId="0" applyNumberFormat="1" applyFont="1" applyFill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11" borderId="13" xfId="0" applyNumberFormat="1" applyFont="1" applyFill="1" applyBorder="1" applyAlignment="1">
      <alignment vertical="center"/>
    </xf>
    <xf numFmtId="2" fontId="3" fillId="8" borderId="30" xfId="0" applyNumberFormat="1" applyFont="1" applyFill="1" applyBorder="1" applyAlignment="1">
      <alignment horizontal="center" vertical="center" wrapText="1"/>
    </xf>
    <xf numFmtId="164" fontId="3" fillId="8" borderId="13" xfId="0" applyNumberFormat="1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3" fillId="2" borderId="19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vertical="center"/>
    </xf>
    <xf numFmtId="40" fontId="5" fillId="5" borderId="12" xfId="0" applyNumberFormat="1" applyFont="1" applyFill="1" applyBorder="1"/>
    <xf numFmtId="40" fontId="5" fillId="5" borderId="11" xfId="0" applyNumberFormat="1" applyFont="1" applyFill="1" applyBorder="1"/>
    <xf numFmtId="40" fontId="5" fillId="5" borderId="20" xfId="0" applyNumberFormat="1" applyFont="1" applyFill="1" applyBorder="1"/>
    <xf numFmtId="8" fontId="5" fillId="5" borderId="11" xfId="0" applyNumberFormat="1" applyFont="1" applyFill="1" applyBorder="1"/>
    <xf numFmtId="8" fontId="5" fillId="5" borderId="15" xfId="0" applyNumberFormat="1" applyFont="1" applyFill="1" applyBorder="1"/>
    <xf numFmtId="8" fontId="5" fillId="5" borderId="20" xfId="0" applyNumberFormat="1" applyFont="1" applyFill="1" applyBorder="1"/>
    <xf numFmtId="8" fontId="5" fillId="5" borderId="26" xfId="0" applyNumberFormat="1" applyFont="1" applyFill="1" applyBorder="1"/>
    <xf numFmtId="8" fontId="1" fillId="5" borderId="0" xfId="0" applyNumberFormat="1" applyFont="1" applyFill="1"/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4" fillId="8" borderId="15" xfId="0" applyFont="1" applyFill="1" applyBorder="1" applyAlignment="1">
      <alignment vertical="center" wrapText="1"/>
    </xf>
    <xf numFmtId="164" fontId="7" fillId="0" borderId="15" xfId="0" applyNumberFormat="1" applyFont="1" applyBorder="1" applyAlignment="1">
      <alignment vertical="center"/>
    </xf>
    <xf numFmtId="8" fontId="5" fillId="5" borderId="10" xfId="0" applyNumberFormat="1" applyFont="1" applyFill="1" applyBorder="1"/>
    <xf numFmtId="8" fontId="5" fillId="5" borderId="12" xfId="0" applyNumberFormat="1" applyFont="1" applyFill="1" applyBorder="1"/>
    <xf numFmtId="16" fontId="10" fillId="0" borderId="15" xfId="0" applyNumberFormat="1" applyFont="1" applyBorder="1"/>
    <xf numFmtId="2" fontId="12" fillId="0" borderId="15" xfId="0" applyNumberFormat="1" applyFont="1" applyBorder="1"/>
    <xf numFmtId="166" fontId="7" fillId="0" borderId="15" xfId="0" applyNumberFormat="1" applyFont="1" applyBorder="1"/>
    <xf numFmtId="0" fontId="7" fillId="0" borderId="33" xfId="0" applyFont="1" applyBorder="1"/>
    <xf numFmtId="2" fontId="7" fillId="0" borderId="33" xfId="0" applyNumberFormat="1" applyFont="1" applyBorder="1"/>
    <xf numFmtId="164" fontId="7" fillId="0" borderId="33" xfId="0" applyNumberFormat="1" applyFont="1" applyBorder="1"/>
    <xf numFmtId="164" fontId="7" fillId="8" borderId="33" xfId="0" applyNumberFormat="1" applyFont="1" applyFill="1" applyBorder="1"/>
    <xf numFmtId="16" fontId="7" fillId="0" borderId="33" xfId="0" applyNumberFormat="1" applyFont="1" applyBorder="1"/>
    <xf numFmtId="0" fontId="7" fillId="0" borderId="22" xfId="0" applyFont="1" applyBorder="1"/>
    <xf numFmtId="2" fontId="7" fillId="0" borderId="22" xfId="0" applyNumberFormat="1" applyFont="1" applyBorder="1"/>
    <xf numFmtId="164" fontId="7" fillId="0" borderId="22" xfId="0" applyNumberFormat="1" applyFont="1" applyBorder="1"/>
    <xf numFmtId="164" fontId="7" fillId="8" borderId="22" xfId="0" applyNumberFormat="1" applyFont="1" applyFill="1" applyBorder="1"/>
    <xf numFmtId="16" fontId="7" fillId="0" borderId="22" xfId="0" applyNumberFormat="1" applyFont="1" applyBorder="1"/>
    <xf numFmtId="0" fontId="15" fillId="0" borderId="15" xfId="0" applyFont="1" applyBorder="1"/>
    <xf numFmtId="2" fontId="15" fillId="0" borderId="15" xfId="0" applyNumberFormat="1" applyFont="1" applyBorder="1"/>
    <xf numFmtId="164" fontId="15" fillId="0" borderId="15" xfId="0" applyNumberFormat="1" applyFont="1" applyBorder="1"/>
    <xf numFmtId="164" fontId="15" fillId="8" borderId="15" xfId="0" applyNumberFormat="1" applyFont="1" applyFill="1" applyBorder="1"/>
    <xf numFmtId="0" fontId="15" fillId="0" borderId="0" xfId="0" applyFont="1"/>
    <xf numFmtId="2" fontId="17" fillId="0" borderId="15" xfId="0" applyNumberFormat="1" applyFont="1" applyBorder="1"/>
    <xf numFmtId="0" fontId="16" fillId="0" borderId="0" xfId="0" applyFont="1"/>
    <xf numFmtId="0" fontId="3" fillId="12" borderId="5" xfId="0" applyFont="1" applyFill="1" applyBorder="1" applyAlignment="1">
      <alignment horizontal="center" vertical="center" wrapText="1"/>
    </xf>
    <xf numFmtId="0" fontId="17" fillId="0" borderId="0" xfId="0" applyFont="1"/>
    <xf numFmtId="2" fontId="17" fillId="12" borderId="15" xfId="0" applyNumberFormat="1" applyFont="1" applyFill="1" applyBorder="1"/>
    <xf numFmtId="0" fontId="1" fillId="0" borderId="0" xfId="0" applyFont="1"/>
    <xf numFmtId="16" fontId="12" fillId="0" borderId="15" xfId="0" applyNumberFormat="1" applyFont="1" applyBorder="1"/>
    <xf numFmtId="8" fontId="1" fillId="0" borderId="0" xfId="0" applyNumberFormat="1" applyFont="1"/>
    <xf numFmtId="2" fontId="7" fillId="12" borderId="15" xfId="0" applyNumberFormat="1" applyFont="1" applyFill="1" applyBorder="1"/>
    <xf numFmtId="165" fontId="4" fillId="0" borderId="0" xfId="0" applyNumberFormat="1" applyFont="1"/>
    <xf numFmtId="166" fontId="7" fillId="12" borderId="15" xfId="0" applyNumberFormat="1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6" fontId="7" fillId="12" borderId="15" xfId="0" applyNumberFormat="1" applyFont="1" applyFill="1" applyBorder="1"/>
    <xf numFmtId="164" fontId="7" fillId="12" borderId="15" xfId="0" applyNumberFormat="1" applyFont="1" applyFill="1" applyBorder="1"/>
    <xf numFmtId="2" fontId="13" fillId="8" borderId="15" xfId="0" applyNumberFormat="1" applyFont="1" applyFill="1" applyBorder="1" applyAlignment="1">
      <alignment vertical="center" wrapText="1"/>
    </xf>
    <xf numFmtId="2" fontId="3" fillId="12" borderId="7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8" fontId="5" fillId="13" borderId="12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16" fontId="7" fillId="0" borderId="34" xfId="0" applyNumberFormat="1" applyFont="1" applyBorder="1"/>
    <xf numFmtId="0" fontId="7" fillId="0" borderId="34" xfId="0" applyFont="1" applyBorder="1"/>
    <xf numFmtId="2" fontId="7" fillId="0" borderId="34" xfId="0" applyNumberFormat="1" applyFont="1" applyBorder="1"/>
    <xf numFmtId="164" fontId="7" fillId="0" borderId="34" xfId="0" applyNumberFormat="1" applyFont="1" applyBorder="1"/>
    <xf numFmtId="164" fontId="7" fillId="8" borderId="34" xfId="0" applyNumberFormat="1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7" fillId="12" borderId="0" xfId="0" applyFont="1" applyFill="1"/>
    <xf numFmtId="0" fontId="17" fillId="0" borderId="15" xfId="0" applyFont="1" applyBorder="1"/>
    <xf numFmtId="164" fontId="17" fillId="0" borderId="15" xfId="0" applyNumberFormat="1" applyFont="1" applyBorder="1"/>
    <xf numFmtId="0" fontId="15" fillId="12" borderId="15" xfId="0" applyFont="1" applyFill="1" applyBorder="1"/>
    <xf numFmtId="2" fontId="15" fillId="12" borderId="15" xfId="0" applyNumberFormat="1" applyFont="1" applyFill="1" applyBorder="1"/>
    <xf numFmtId="164" fontId="15" fillId="12" borderId="15" xfId="0" applyNumberFormat="1" applyFont="1" applyFill="1" applyBorder="1"/>
    <xf numFmtId="16" fontId="15" fillId="12" borderId="15" xfId="0" applyNumberFormat="1" applyFont="1" applyFill="1" applyBorder="1"/>
    <xf numFmtId="0" fontId="21" fillId="8" borderId="15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vertical="center" wrapText="1"/>
    </xf>
    <xf numFmtId="164" fontId="21" fillId="8" borderId="15" xfId="0" applyNumberFormat="1" applyFont="1" applyFill="1" applyBorder="1" applyAlignment="1">
      <alignment vertical="center" wrapText="1"/>
    </xf>
    <xf numFmtId="0" fontId="21" fillId="8" borderId="15" xfId="0" applyFont="1" applyFill="1" applyBorder="1" applyAlignment="1">
      <alignment vertical="center" wrapText="1"/>
    </xf>
    <xf numFmtId="0" fontId="21" fillId="8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15" xfId="0" applyFont="1" applyBorder="1" applyAlignment="1">
      <alignment horizontal="center"/>
    </xf>
    <xf numFmtId="0" fontId="23" fillId="0" borderId="15" xfId="0" applyFont="1" applyBorder="1"/>
    <xf numFmtId="164" fontId="23" fillId="0" borderId="15" xfId="0" applyNumberFormat="1" applyFont="1" applyBorder="1"/>
    <xf numFmtId="164" fontId="23" fillId="8" borderId="15" xfId="0" applyNumberFormat="1" applyFont="1" applyFill="1" applyBorder="1"/>
    <xf numFmtId="0" fontId="24" fillId="0" borderId="15" xfId="0" applyFont="1" applyBorder="1"/>
    <xf numFmtId="0" fontId="23" fillId="0" borderId="0" xfId="0" applyFont="1"/>
    <xf numFmtId="2" fontId="23" fillId="0" borderId="15" xfId="0" applyNumberFormat="1" applyFont="1" applyBorder="1"/>
    <xf numFmtId="16" fontId="21" fillId="0" borderId="15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vertical="center"/>
    </xf>
    <xf numFmtId="16" fontId="23" fillId="0" borderId="15" xfId="0" applyNumberFormat="1" applyFont="1" applyBorder="1"/>
    <xf numFmtId="0" fontId="21" fillId="0" borderId="15" xfId="0" applyFont="1" applyBorder="1" applyAlignment="1">
      <alignment horizontal="center"/>
    </xf>
    <xf numFmtId="2" fontId="23" fillId="12" borderId="15" xfId="0" applyNumberFormat="1" applyFont="1" applyFill="1" applyBorder="1"/>
    <xf numFmtId="164" fontId="23" fillId="12" borderId="15" xfId="0" applyNumberFormat="1" applyFont="1" applyFill="1" applyBorder="1"/>
    <xf numFmtId="0" fontId="21" fillId="12" borderId="15" xfId="0" applyFont="1" applyFill="1" applyBorder="1" applyAlignment="1">
      <alignment horizontal="center"/>
    </xf>
    <xf numFmtId="2" fontId="21" fillId="12" borderId="15" xfId="0" applyNumberFormat="1" applyFont="1" applyFill="1" applyBorder="1"/>
    <xf numFmtId="164" fontId="21" fillId="12" borderId="15" xfId="0" applyNumberFormat="1" applyFont="1" applyFill="1" applyBorder="1"/>
    <xf numFmtId="16" fontId="21" fillId="12" borderId="15" xfId="0" applyNumberFormat="1" applyFont="1" applyFill="1" applyBorder="1"/>
    <xf numFmtId="0" fontId="21" fillId="0" borderId="0" xfId="0" applyFont="1" applyAlignment="1">
      <alignment horizontal="center"/>
    </xf>
    <xf numFmtId="164" fontId="23" fillId="0" borderId="0" xfId="0" applyNumberFormat="1" applyFont="1"/>
    <xf numFmtId="164" fontId="6" fillId="0" borderId="15" xfId="0" applyNumberFormat="1" applyFont="1" applyBorder="1"/>
    <xf numFmtId="16" fontId="3" fillId="12" borderId="15" xfId="0" applyNumberFormat="1" applyFont="1" applyFill="1" applyBorder="1"/>
    <xf numFmtId="0" fontId="10" fillId="0" borderId="15" xfId="0" applyFont="1" applyBorder="1"/>
    <xf numFmtId="0" fontId="5" fillId="0" borderId="24" xfId="0" applyFont="1" applyBorder="1" applyAlignment="1">
      <alignment horizontal="center" vertical="center" wrapText="1"/>
    </xf>
    <xf numFmtId="0" fontId="25" fillId="0" borderId="15" xfId="0" applyFont="1" applyBorder="1"/>
    <xf numFmtId="0" fontId="18" fillId="0" borderId="15" xfId="0" applyFont="1" applyBorder="1"/>
    <xf numFmtId="164" fontId="18" fillId="0" borderId="15" xfId="0" applyNumberFormat="1" applyFont="1" applyBorder="1"/>
    <xf numFmtId="164" fontId="18" fillId="8" borderId="15" xfId="0" applyNumberFormat="1" applyFont="1" applyFill="1" applyBorder="1"/>
    <xf numFmtId="0" fontId="18" fillId="0" borderId="0" xfId="0" applyFont="1"/>
    <xf numFmtId="2" fontId="18" fillId="0" borderId="15" xfId="0" applyNumberFormat="1" applyFont="1" applyBorder="1"/>
    <xf numFmtId="2" fontId="18" fillId="0" borderId="0" xfId="0" applyNumberFormat="1" applyFont="1"/>
    <xf numFmtId="16" fontId="18" fillId="0" borderId="15" xfId="0" applyNumberFormat="1" applyFont="1" applyBorder="1"/>
    <xf numFmtId="164" fontId="18" fillId="0" borderId="0" xfId="0" applyNumberFormat="1" applyFont="1"/>
    <xf numFmtId="14" fontId="18" fillId="0" borderId="15" xfId="0" applyNumberFormat="1" applyFont="1" applyBorder="1"/>
    <xf numFmtId="0" fontId="13" fillId="12" borderId="15" xfId="0" applyFont="1" applyFill="1" applyBorder="1"/>
    <xf numFmtId="2" fontId="13" fillId="12" borderId="15" xfId="0" applyNumberFormat="1" applyFont="1" applyFill="1" applyBorder="1"/>
    <xf numFmtId="164" fontId="13" fillId="12" borderId="15" xfId="0" applyNumberFormat="1" applyFont="1" applyFill="1" applyBorder="1"/>
    <xf numFmtId="16" fontId="13" fillId="12" borderId="15" xfId="0" applyNumberFormat="1" applyFont="1" applyFill="1" applyBorder="1"/>
    <xf numFmtId="164" fontId="14" fillId="0" borderId="15" xfId="0" applyNumberFormat="1" applyFont="1" applyBorder="1"/>
    <xf numFmtId="0" fontId="16" fillId="0" borderId="15" xfId="0" applyFont="1" applyBorder="1"/>
    <xf numFmtId="2" fontId="16" fillId="0" borderId="15" xfId="0" applyNumberFormat="1" applyFont="1" applyBorder="1"/>
    <xf numFmtId="164" fontId="16" fillId="0" borderId="15" xfId="0" applyNumberFormat="1" applyFont="1" applyBorder="1"/>
    <xf numFmtId="16" fontId="6" fillId="0" borderId="15" xfId="0" applyNumberFormat="1" applyFont="1" applyBorder="1"/>
    <xf numFmtId="2" fontId="10" fillId="0" borderId="15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2" fontId="22" fillId="8" borderId="15" xfId="0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6" fontId="21" fillId="12" borderId="15" xfId="0" applyNumberFormat="1" applyFont="1" applyFill="1" applyBorder="1" applyAlignment="1">
      <alignment horizontal="center"/>
    </xf>
    <xf numFmtId="164" fontId="15" fillId="12" borderId="15" xfId="0" applyNumberFormat="1" applyFont="1" applyFill="1" applyBorder="1" applyAlignment="1">
      <alignment vertical="center"/>
    </xf>
    <xf numFmtId="2" fontId="13" fillId="0" borderId="15" xfId="0" applyNumberFormat="1" applyFont="1" applyBorder="1"/>
    <xf numFmtId="2" fontId="18" fillId="12" borderId="15" xfId="0" applyNumberFormat="1" applyFont="1" applyFill="1" applyBorder="1"/>
    <xf numFmtId="0" fontId="14" fillId="5" borderId="3" xfId="0" applyFont="1" applyFill="1" applyBorder="1" applyAlignment="1">
      <alignment horizontal="center" vertical="center" wrapText="1"/>
    </xf>
    <xf numFmtId="164" fontId="7" fillId="8" borderId="35" xfId="0" applyNumberFormat="1" applyFont="1" applyFill="1" applyBorder="1"/>
    <xf numFmtId="16" fontId="15" fillId="12" borderId="34" xfId="0" applyNumberFormat="1" applyFont="1" applyFill="1" applyBorder="1"/>
    <xf numFmtId="0" fontId="15" fillId="12" borderId="34" xfId="0" applyFont="1" applyFill="1" applyBorder="1"/>
    <xf numFmtId="2" fontId="15" fillId="12" borderId="34" xfId="0" applyNumberFormat="1" applyFont="1" applyFill="1" applyBorder="1"/>
    <xf numFmtId="164" fontId="15" fillId="12" borderId="34" xfId="0" applyNumberFormat="1" applyFont="1" applyFill="1" applyBorder="1"/>
    <xf numFmtId="16" fontId="7" fillId="0" borderId="17" xfId="0" applyNumberFormat="1" applyFont="1" applyBorder="1"/>
    <xf numFmtId="2" fontId="7" fillId="0" borderId="18" xfId="0" applyNumberFormat="1" applyFont="1" applyBorder="1"/>
    <xf numFmtId="164" fontId="7" fillId="0" borderId="18" xfId="0" applyNumberFormat="1" applyFont="1" applyBorder="1"/>
    <xf numFmtId="164" fontId="7" fillId="0" borderId="19" xfId="0" applyNumberFormat="1" applyFont="1" applyBorder="1"/>
    <xf numFmtId="16" fontId="7" fillId="0" borderId="11" xfId="0" applyNumberFormat="1" applyFont="1" applyBorder="1"/>
    <xf numFmtId="164" fontId="7" fillId="0" borderId="20" xfId="0" applyNumberFormat="1" applyFont="1" applyBorder="1"/>
    <xf numFmtId="16" fontId="7" fillId="0" borderId="21" xfId="0" applyNumberFormat="1" applyFont="1" applyBorder="1"/>
    <xf numFmtId="164" fontId="7" fillId="0" borderId="23" xfId="0" applyNumberFormat="1" applyFont="1" applyBorder="1"/>
    <xf numFmtId="164" fontId="7" fillId="0" borderId="34" xfId="0" applyNumberFormat="1" applyFont="1" applyBorder="1" applyAlignment="1">
      <alignment vertical="center"/>
    </xf>
    <xf numFmtId="16" fontId="7" fillId="12" borderId="17" xfId="0" applyNumberFormat="1" applyFont="1" applyFill="1" applyBorder="1"/>
    <xf numFmtId="2" fontId="7" fillId="12" borderId="18" xfId="0" applyNumberFormat="1" applyFont="1" applyFill="1" applyBorder="1"/>
    <xf numFmtId="164" fontId="7" fillId="12" borderId="18" xfId="0" applyNumberFormat="1" applyFont="1" applyFill="1" applyBorder="1"/>
    <xf numFmtId="164" fontId="7" fillId="12" borderId="19" xfId="0" applyNumberFormat="1" applyFont="1" applyFill="1" applyBorder="1"/>
    <xf numFmtId="164" fontId="10" fillId="0" borderId="18" xfId="0" applyNumberFormat="1" applyFont="1" applyBorder="1"/>
    <xf numFmtId="164" fontId="7" fillId="0" borderId="35" xfId="0" applyNumberFormat="1" applyFont="1" applyBorder="1"/>
    <xf numFmtId="16" fontId="6" fillId="0" borderId="31" xfId="0" applyNumberFormat="1" applyFont="1" applyBorder="1"/>
    <xf numFmtId="0" fontId="7" fillId="0" borderId="32" xfId="0" applyFont="1" applyBorder="1"/>
    <xf numFmtId="2" fontId="7" fillId="0" borderId="32" xfId="0" applyNumberFormat="1" applyFont="1" applyBorder="1"/>
    <xf numFmtId="164" fontId="7" fillId="0" borderId="32" xfId="0" applyNumberFormat="1" applyFont="1" applyBorder="1"/>
    <xf numFmtId="164" fontId="7" fillId="0" borderId="36" xfId="0" applyNumberFormat="1" applyFont="1" applyBorder="1"/>
    <xf numFmtId="0" fontId="7" fillId="0" borderId="18" xfId="0" applyFont="1" applyBorder="1"/>
    <xf numFmtId="16" fontId="15" fillId="12" borderId="31" xfId="0" applyNumberFormat="1" applyFont="1" applyFill="1" applyBorder="1"/>
    <xf numFmtId="164" fontId="18" fillId="8" borderId="35" xfId="0" applyNumberFormat="1" applyFont="1" applyFill="1" applyBorder="1"/>
    <xf numFmtId="16" fontId="13" fillId="12" borderId="34" xfId="0" applyNumberFormat="1" applyFont="1" applyFill="1" applyBorder="1"/>
    <xf numFmtId="2" fontId="13" fillId="12" borderId="34" xfId="0" applyNumberFormat="1" applyFont="1" applyFill="1" applyBorder="1"/>
    <xf numFmtId="164" fontId="13" fillId="12" borderId="34" xfId="0" applyNumberFormat="1" applyFont="1" applyFill="1" applyBorder="1"/>
    <xf numFmtId="2" fontId="18" fillId="0" borderId="33" xfId="0" applyNumberFormat="1" applyFont="1" applyBorder="1"/>
    <xf numFmtId="164" fontId="18" fillId="0" borderId="33" xfId="0" applyNumberFormat="1" applyFont="1" applyBorder="1"/>
    <xf numFmtId="16" fontId="18" fillId="0" borderId="17" xfId="0" applyNumberFormat="1" applyFont="1" applyBorder="1"/>
    <xf numFmtId="2" fontId="18" fillId="0" borderId="18" xfId="0" applyNumberFormat="1" applyFont="1" applyBorder="1"/>
    <xf numFmtId="164" fontId="18" fillId="0" borderId="18" xfId="0" applyNumberFormat="1" applyFont="1" applyBorder="1"/>
    <xf numFmtId="164" fontId="18" fillId="0" borderId="19" xfId="0" applyNumberFormat="1" applyFont="1" applyBorder="1"/>
    <xf numFmtId="16" fontId="18" fillId="0" borderId="11" xfId="0" applyNumberFormat="1" applyFont="1" applyBorder="1"/>
    <xf numFmtId="164" fontId="18" fillId="0" borderId="20" xfId="0" applyNumberFormat="1" applyFont="1" applyBorder="1"/>
    <xf numFmtId="0" fontId="18" fillId="0" borderId="11" xfId="0" applyFont="1" applyBorder="1"/>
    <xf numFmtId="0" fontId="18" fillId="0" borderId="21" xfId="0" applyFont="1" applyBorder="1"/>
    <xf numFmtId="2" fontId="18" fillId="0" borderId="22" xfId="0" applyNumberFormat="1" applyFont="1" applyBorder="1"/>
    <xf numFmtId="164" fontId="18" fillId="0" borderId="22" xfId="0" applyNumberFormat="1" applyFont="1" applyBorder="1"/>
    <xf numFmtId="164" fontId="18" fillId="0" borderId="23" xfId="0" applyNumberFormat="1" applyFont="1" applyBorder="1"/>
    <xf numFmtId="0" fontId="6" fillId="0" borderId="34" xfId="0" applyFont="1" applyBorder="1"/>
    <xf numFmtId="16" fontId="7" fillId="0" borderId="31" xfId="0" applyNumberFormat="1" applyFont="1" applyBorder="1"/>
    <xf numFmtId="16" fontId="3" fillId="12" borderId="34" xfId="0" applyNumberFormat="1" applyFont="1" applyFill="1" applyBorder="1"/>
    <xf numFmtId="16" fontId="12" fillId="0" borderId="33" xfId="0" applyNumberFormat="1" applyFont="1" applyBorder="1"/>
    <xf numFmtId="16" fontId="12" fillId="0" borderId="17" xfId="0" applyNumberFormat="1" applyFont="1" applyBorder="1"/>
    <xf numFmtId="16" fontId="12" fillId="0" borderId="21" xfId="0" applyNumberFormat="1" applyFont="1" applyBorder="1"/>
    <xf numFmtId="16" fontId="12" fillId="0" borderId="11" xfId="0" applyNumberFormat="1" applyFont="1" applyBorder="1"/>
    <xf numFmtId="164" fontId="23" fillId="8" borderId="35" xfId="0" applyNumberFormat="1" applyFont="1" applyFill="1" applyBorder="1"/>
    <xf numFmtId="16" fontId="21" fillId="12" borderId="34" xfId="0" applyNumberFormat="1" applyFont="1" applyFill="1" applyBorder="1"/>
    <xf numFmtId="2" fontId="21" fillId="12" borderId="34" xfId="0" applyNumberFormat="1" applyFont="1" applyFill="1" applyBorder="1"/>
    <xf numFmtId="164" fontId="21" fillId="12" borderId="34" xfId="0" applyNumberFormat="1" applyFont="1" applyFill="1" applyBorder="1"/>
    <xf numFmtId="2" fontId="23" fillId="0" borderId="33" xfId="0" applyNumberFormat="1" applyFont="1" applyBorder="1"/>
    <xf numFmtId="164" fontId="23" fillId="0" borderId="33" xfId="0" applyNumberFormat="1" applyFont="1" applyBorder="1"/>
    <xf numFmtId="16" fontId="23" fillId="0" borderId="17" xfId="0" applyNumberFormat="1" applyFont="1" applyBorder="1"/>
    <xf numFmtId="2" fontId="23" fillId="0" borderId="18" xfId="0" applyNumberFormat="1" applyFont="1" applyBorder="1"/>
    <xf numFmtId="164" fontId="23" fillId="0" borderId="19" xfId="0" applyNumberFormat="1" applyFont="1" applyBorder="1"/>
    <xf numFmtId="16" fontId="23" fillId="0" borderId="11" xfId="0" applyNumberFormat="1" applyFont="1" applyBorder="1"/>
    <xf numFmtId="164" fontId="23" fillId="0" borderId="20" xfId="0" applyNumberFormat="1" applyFont="1" applyBorder="1"/>
    <xf numFmtId="16" fontId="23" fillId="0" borderId="21" xfId="0" applyNumberFormat="1" applyFont="1" applyBorder="1"/>
    <xf numFmtId="2" fontId="23" fillId="0" borderId="22" xfId="0" applyNumberFormat="1" applyFont="1" applyBorder="1"/>
    <xf numFmtId="164" fontId="23" fillId="0" borderId="23" xfId="0" applyNumberFormat="1" applyFont="1" applyBorder="1"/>
    <xf numFmtId="0" fontId="23" fillId="0" borderId="11" xfId="0" applyFont="1" applyBorder="1"/>
    <xf numFmtId="2" fontId="7" fillId="0" borderId="26" xfId="0" applyNumberFormat="1" applyFont="1" applyBorder="1"/>
    <xf numFmtId="16" fontId="15" fillId="12" borderId="17" xfId="0" applyNumberFormat="1" applyFont="1" applyFill="1" applyBorder="1"/>
    <xf numFmtId="164" fontId="23" fillId="0" borderId="26" xfId="0" applyNumberFormat="1" applyFont="1" applyBorder="1"/>
    <xf numFmtId="16" fontId="26" fillId="0" borderId="15" xfId="0" applyNumberFormat="1" applyFont="1" applyBorder="1"/>
    <xf numFmtId="16" fontId="7" fillId="0" borderId="37" xfId="0" applyNumberFormat="1" applyFont="1" applyBorder="1"/>
    <xf numFmtId="0" fontId="18" fillId="0" borderId="39" xfId="0" applyFont="1" applyBorder="1"/>
    <xf numFmtId="2" fontId="18" fillId="0" borderId="34" xfId="0" applyNumberFormat="1" applyFont="1" applyBorder="1"/>
    <xf numFmtId="164" fontId="18" fillId="0" borderId="34" xfId="0" applyNumberFormat="1" applyFont="1" applyBorder="1"/>
    <xf numFmtId="164" fontId="18" fillId="0" borderId="40" xfId="0" applyNumberFormat="1" applyFont="1" applyBorder="1"/>
    <xf numFmtId="16" fontId="7" fillId="0" borderId="38" xfId="0" applyNumberFormat="1" applyFont="1" applyBorder="1"/>
    <xf numFmtId="16" fontId="12" fillId="0" borderId="37" xfId="0" applyNumberFormat="1" applyFont="1" applyBorder="1"/>
    <xf numFmtId="16" fontId="12" fillId="0" borderId="38" xfId="0" applyNumberFormat="1" applyFont="1" applyBorder="1"/>
    <xf numFmtId="16" fontId="23" fillId="0" borderId="39" xfId="0" applyNumberFormat="1" applyFont="1" applyBorder="1"/>
    <xf numFmtId="2" fontId="23" fillId="0" borderId="34" xfId="0" applyNumberFormat="1" applyFont="1" applyBorder="1"/>
    <xf numFmtId="164" fontId="23" fillId="0" borderId="40" xfId="0" applyNumberFormat="1" applyFont="1" applyBorder="1"/>
    <xf numFmtId="164" fontId="23" fillId="0" borderId="41" xfId="0" applyNumberFormat="1" applyFont="1" applyBorder="1"/>
    <xf numFmtId="164" fontId="23" fillId="0" borderId="18" xfId="0" applyNumberFormat="1" applyFont="1" applyBorder="1"/>
    <xf numFmtId="0" fontId="23" fillId="0" borderId="21" xfId="0" applyFont="1" applyBorder="1"/>
    <xf numFmtId="164" fontId="23" fillId="0" borderId="22" xfId="0" applyNumberFormat="1" applyFont="1" applyBorder="1"/>
    <xf numFmtId="16" fontId="7" fillId="0" borderId="39" xfId="0" applyNumberFormat="1" applyFont="1" applyBorder="1"/>
    <xf numFmtId="164" fontId="7" fillId="0" borderId="40" xfId="0" applyNumberFormat="1" applyFont="1" applyBorder="1"/>
    <xf numFmtId="164" fontId="18" fillId="0" borderId="42" xfId="0" applyNumberFormat="1" applyFont="1" applyBorder="1"/>
    <xf numFmtId="164" fontId="18" fillId="0" borderId="43" xfId="0" applyNumberFormat="1" applyFont="1" applyBorder="1"/>
    <xf numFmtId="16" fontId="18" fillId="0" borderId="33" xfId="0" applyNumberFormat="1" applyFont="1" applyBorder="1"/>
    <xf numFmtId="164" fontId="7" fillId="8" borderId="44" xfId="0" applyNumberFormat="1" applyFont="1" applyFill="1" applyBorder="1"/>
    <xf numFmtId="0" fontId="27" fillId="0" borderId="5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15" fillId="12" borderId="45" xfId="0" applyNumberFormat="1" applyFont="1" applyFill="1" applyBorder="1"/>
    <xf numFmtId="2" fontId="13" fillId="0" borderId="34" xfId="0" applyNumberFormat="1" applyFont="1" applyBorder="1"/>
    <xf numFmtId="164" fontId="13" fillId="0" borderId="15" xfId="0" applyNumberFormat="1" applyFont="1" applyBorder="1"/>
    <xf numFmtId="164" fontId="13" fillId="0" borderId="34" xfId="0" applyNumberFormat="1" applyFont="1" applyBorder="1"/>
    <xf numFmtId="16" fontId="15" fillId="12" borderId="45" xfId="0" applyNumberFormat="1" applyFont="1" applyFill="1" applyBorder="1"/>
    <xf numFmtId="0" fontId="15" fillId="12" borderId="45" xfId="0" applyFont="1" applyFill="1" applyBorder="1"/>
    <xf numFmtId="2" fontId="15" fillId="12" borderId="45" xfId="0" applyNumberFormat="1" applyFont="1" applyFill="1" applyBorder="1"/>
    <xf numFmtId="164" fontId="7" fillId="0" borderId="18" xfId="0" applyNumberFormat="1" applyFont="1" applyBorder="1" applyAlignment="1">
      <alignment vertical="center"/>
    </xf>
    <xf numFmtId="16" fontId="23" fillId="0" borderId="33" xfId="0" applyNumberFormat="1" applyFont="1" applyBorder="1"/>
    <xf numFmtId="0" fontId="19" fillId="0" borderId="31" xfId="0" applyFont="1" applyBorder="1" applyAlignment="1">
      <alignment horizontal="center" vertical="center" wrapText="1"/>
    </xf>
    <xf numFmtId="0" fontId="17" fillId="12" borderId="0" xfId="0" applyFont="1" applyFill="1"/>
    <xf numFmtId="0" fontId="25" fillId="0" borderId="34" xfId="0" applyFont="1" applyBorder="1"/>
    <xf numFmtId="0" fontId="18" fillId="0" borderId="34" xfId="0" applyFont="1" applyBorder="1"/>
    <xf numFmtId="0" fontId="18" fillId="0" borderId="33" xfId="0" applyFont="1" applyBorder="1"/>
    <xf numFmtId="16" fontId="18" fillId="0" borderId="21" xfId="0" applyNumberFormat="1" applyFont="1" applyBorder="1"/>
    <xf numFmtId="164" fontId="7" fillId="0" borderId="42" xfId="0" applyNumberFormat="1" applyFont="1" applyBorder="1"/>
    <xf numFmtId="0" fontId="20" fillId="11" borderId="28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5" borderId="4" xfId="0" applyFont="1" applyFill="1" applyBorder="1" applyAlignment="1">
      <alignment horizontal="center" vertical="center" wrapText="1"/>
    </xf>
    <xf numFmtId="16" fontId="23" fillId="0" borderId="22" xfId="0" applyNumberFormat="1" applyFont="1" applyBorder="1"/>
    <xf numFmtId="0" fontId="21" fillId="0" borderId="2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8" fillId="0" borderId="22" xfId="0" applyFont="1" applyBorder="1"/>
    <xf numFmtId="2" fontId="12" fillId="0" borderId="34" xfId="0" applyNumberFormat="1" applyFont="1" applyBorder="1"/>
    <xf numFmtId="0" fontId="14" fillId="8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3" fillId="8" borderId="15" xfId="0" applyNumberFormat="1" applyFont="1" applyFill="1" applyBorder="1" applyAlignment="1">
      <alignment horizontal="center" vertical="center" wrapText="1"/>
    </xf>
    <xf numFmtId="0" fontId="7" fillId="0" borderId="28" xfId="0" applyFont="1" applyBorder="1"/>
    <xf numFmtId="16" fontId="15" fillId="0" borderId="15" xfId="0" applyNumberFormat="1" applyFont="1" applyBorder="1"/>
    <xf numFmtId="0" fontId="7" fillId="12" borderId="33" xfId="0" applyFont="1" applyFill="1" applyBorder="1"/>
    <xf numFmtId="2" fontId="7" fillId="12" borderId="33" xfId="0" applyNumberFormat="1" applyFont="1" applyFill="1" applyBorder="1"/>
    <xf numFmtId="164" fontId="7" fillId="12" borderId="33" xfId="0" applyNumberFormat="1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9634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9486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58902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00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4236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1462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3004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326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21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420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7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58824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3223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1"/>
  <sheetViews>
    <sheetView tabSelected="1" topLeftCell="B1" workbookViewId="0">
      <pane ySplit="1" topLeftCell="A18" activePane="bottomLeft" state="frozen"/>
      <selection pane="bottomLeft" activeCell="D21" sqref="D21"/>
    </sheetView>
  </sheetViews>
  <sheetFormatPr defaultColWidth="8.85546875" defaultRowHeight="15.75" x14ac:dyDescent="0.25"/>
  <cols>
    <col min="1" max="1" width="14.42578125" style="1" bestFit="1" customWidth="1"/>
    <col min="2" max="2" width="15.28515625" style="1" customWidth="1"/>
    <col min="3" max="3" width="13.85546875" style="1" customWidth="1"/>
    <col min="4" max="4" width="16" style="1" customWidth="1"/>
    <col min="5" max="5" width="14.7109375" style="1" customWidth="1"/>
    <col min="6" max="6" width="14.140625" style="1" customWidth="1"/>
    <col min="7" max="7" width="13.7109375" style="1" customWidth="1"/>
    <col min="8" max="8" width="15.28515625" style="1" customWidth="1"/>
    <col min="9" max="9" width="15" style="1" customWidth="1"/>
    <col min="10" max="10" width="14.7109375" style="1" customWidth="1"/>
    <col min="11" max="11" width="12.28515625" style="1" customWidth="1"/>
    <col min="12" max="12" width="13.42578125" style="1" customWidth="1"/>
    <col min="13" max="13" width="15.140625" style="1" customWidth="1"/>
    <col min="14" max="14" width="14.28515625" style="1" customWidth="1"/>
    <col min="15" max="15" width="16.28515625" style="1" customWidth="1"/>
    <col min="16" max="16" width="15.7109375" style="1" customWidth="1"/>
    <col min="17" max="17" width="13.140625" style="1" customWidth="1"/>
    <col min="18" max="18" width="11.5703125" style="1" bestFit="1" customWidth="1"/>
    <col min="19" max="19" width="11" style="1" customWidth="1"/>
    <col min="20" max="20" width="14.42578125" style="1" customWidth="1"/>
    <col min="21" max="21" width="13.140625" style="1" customWidth="1"/>
    <col min="22" max="22" width="8.85546875" style="1"/>
    <col min="23" max="23" width="10.85546875" style="1" bestFit="1" customWidth="1"/>
    <col min="24" max="16384" width="8.85546875" style="1"/>
  </cols>
  <sheetData>
    <row r="1" spans="1:22" s="41" customFormat="1" ht="37.9" customHeight="1" thickBot="1" x14ac:dyDescent="0.3">
      <c r="A1" s="368" t="s">
        <v>0</v>
      </c>
      <c r="B1" s="369"/>
      <c r="C1" s="370"/>
      <c r="D1" s="37"/>
      <c r="E1" s="374" t="s">
        <v>4</v>
      </c>
      <c r="F1" s="375"/>
      <c r="G1" s="376"/>
      <c r="H1" s="38"/>
      <c r="I1" s="384" t="s">
        <v>15</v>
      </c>
      <c r="J1" s="385"/>
      <c r="K1" s="225" t="s">
        <v>139</v>
      </c>
      <c r="L1" s="39"/>
      <c r="M1" s="377" t="s">
        <v>16</v>
      </c>
      <c r="N1" s="378"/>
      <c r="O1" s="379"/>
      <c r="P1" s="38"/>
      <c r="Q1" s="371" t="s">
        <v>2</v>
      </c>
      <c r="R1" s="372"/>
      <c r="S1" s="373"/>
      <c r="T1" s="40"/>
    </row>
    <row r="2" spans="1:22" s="326" customFormat="1" ht="32.25" thickBot="1" x14ac:dyDescent="0.3">
      <c r="A2" s="325" t="s">
        <v>149</v>
      </c>
      <c r="B2" s="325" t="s">
        <v>116</v>
      </c>
      <c r="C2" s="325" t="s">
        <v>117</v>
      </c>
      <c r="D2" s="53"/>
      <c r="E2" s="54" t="s">
        <v>24</v>
      </c>
      <c r="F2" s="198" t="s">
        <v>153</v>
      </c>
      <c r="G2" s="2" t="s">
        <v>128</v>
      </c>
      <c r="H2" s="56"/>
      <c r="I2" s="198" t="s">
        <v>153</v>
      </c>
      <c r="J2" s="198" t="s">
        <v>24</v>
      </c>
      <c r="K2" s="198" t="s">
        <v>24</v>
      </c>
      <c r="L2" s="55"/>
      <c r="M2" s="198" t="s">
        <v>153</v>
      </c>
      <c r="N2" s="198" t="s">
        <v>24</v>
      </c>
      <c r="O2" s="55"/>
      <c r="P2" s="55"/>
      <c r="Q2" s="380" t="s">
        <v>87</v>
      </c>
      <c r="R2" s="381"/>
      <c r="S2" s="55"/>
      <c r="T2" s="55"/>
    </row>
    <row r="3" spans="1:22" s="7" customFormat="1" x14ac:dyDescent="0.25">
      <c r="A3" s="16">
        <f>Агроимпекс!V2</f>
        <v>0</v>
      </c>
      <c r="B3" s="15">
        <f>АгроТрейд!T2</f>
        <v>-75</v>
      </c>
      <c r="C3" s="15">
        <f>АгроТрейд!U2</f>
        <v>0</v>
      </c>
      <c r="D3" s="17">
        <f>A3+B3+C3</f>
        <v>-75</v>
      </c>
      <c r="E3" s="14">
        <f>РесурсГр!W2</f>
        <v>50</v>
      </c>
      <c r="F3" s="4">
        <f>Доминант!W2</f>
        <v>3150</v>
      </c>
      <c r="G3" s="4">
        <f>НьюБио!V2</f>
        <v>0</v>
      </c>
      <c r="H3" s="11">
        <f>E3+F3+G3</f>
        <v>3200</v>
      </c>
      <c r="I3" s="4">
        <f>Доминант!X2</f>
        <v>1650</v>
      </c>
      <c r="J3" s="4">
        <f>РесурсГр!AA2</f>
        <v>75</v>
      </c>
      <c r="K3" s="4">
        <f>РесурсГр!AC2</f>
        <v>0</v>
      </c>
      <c r="L3" s="12">
        <f>I3+J3+K3</f>
        <v>1725</v>
      </c>
      <c r="M3" s="5">
        <f>Доминант!Y2</f>
        <v>1350</v>
      </c>
      <c r="N3" s="5">
        <f>РесурсГр!AB2</f>
        <v>0</v>
      </c>
      <c r="O3" s="4"/>
      <c r="P3" s="13">
        <f>M3+N3+O3</f>
        <v>1350</v>
      </c>
      <c r="Q3" s="4">
        <f>'Русские мельницы'!N2</f>
        <v>0</v>
      </c>
      <c r="R3" s="4">
        <f>'Русские мельницы'!O2</f>
        <v>2650</v>
      </c>
      <c r="S3" s="4"/>
      <c r="T3" s="6">
        <f>Q3+R3+S3</f>
        <v>2650</v>
      </c>
    </row>
    <row r="4" spans="1:22" s="33" customFormat="1" x14ac:dyDescent="0.25">
      <c r="A4" s="104">
        <v>186</v>
      </c>
      <c r="B4" s="105">
        <v>152.5</v>
      </c>
      <c r="C4" s="105">
        <v>207.99600000000001</v>
      </c>
      <c r="D4" s="106"/>
      <c r="E4" s="107">
        <v>47</v>
      </c>
      <c r="F4" s="104">
        <v>47</v>
      </c>
      <c r="G4" s="104">
        <v>165</v>
      </c>
      <c r="H4" s="104"/>
      <c r="I4" s="104">
        <v>183</v>
      </c>
      <c r="J4" s="104">
        <v>183</v>
      </c>
      <c r="K4" s="104">
        <v>37</v>
      </c>
      <c r="L4" s="104"/>
      <c r="M4" s="104">
        <v>183</v>
      </c>
      <c r="N4" s="104">
        <v>183</v>
      </c>
      <c r="O4" s="104"/>
      <c r="P4" s="104"/>
      <c r="Q4" s="104">
        <v>26</v>
      </c>
      <c r="R4" s="104">
        <v>27</v>
      </c>
      <c r="S4" s="104"/>
      <c r="T4" s="32"/>
    </row>
    <row r="5" spans="1:22" s="63" customFormat="1" ht="16.5" thickBot="1" x14ac:dyDescent="0.3">
      <c r="A5" s="62">
        <f>A3*A4</f>
        <v>0</v>
      </c>
      <c r="B5" s="62">
        <f t="shared" ref="B5:C5" si="0">B3*B4</f>
        <v>-11437.5</v>
      </c>
      <c r="C5" s="62">
        <f t="shared" si="0"/>
        <v>0</v>
      </c>
      <c r="D5" s="64">
        <f>A5+B5+C5</f>
        <v>-11437.5</v>
      </c>
      <c r="E5" s="34">
        <f>E3*E4</f>
        <v>2350</v>
      </c>
      <c r="F5" s="34">
        <f>F3*F4</f>
        <v>148050</v>
      </c>
      <c r="G5" s="34">
        <f>G3*G4</f>
        <v>0</v>
      </c>
      <c r="H5" s="65">
        <f>E5+F5+G5</f>
        <v>150400</v>
      </c>
      <c r="I5" s="35">
        <f>I3*I4</f>
        <v>301950</v>
      </c>
      <c r="J5" s="35">
        <f>J3*J4</f>
        <v>13725</v>
      </c>
      <c r="K5" s="35">
        <f>K3*K4</f>
        <v>0</v>
      </c>
      <c r="L5" s="66">
        <f>I5+J5+K5</f>
        <v>315675</v>
      </c>
      <c r="M5" s="35">
        <f>M3*M4</f>
        <v>247050</v>
      </c>
      <c r="N5" s="35">
        <f>N3*N4</f>
        <v>0</v>
      </c>
      <c r="O5" s="35"/>
      <c r="P5" s="67">
        <f>M5+N5+O5</f>
        <v>247050</v>
      </c>
      <c r="Q5" s="35">
        <f>Q3*Q4</f>
        <v>0</v>
      </c>
      <c r="R5" s="35">
        <f>R3*R4</f>
        <v>71550</v>
      </c>
      <c r="S5" s="35"/>
      <c r="T5" s="36">
        <f>Q5+R5+S5</f>
        <v>71550</v>
      </c>
    </row>
    <row r="6" spans="1:22" ht="16.5" thickBot="1" x14ac:dyDescent="0.3">
      <c r="S6" s="8"/>
      <c r="V6" s="9"/>
    </row>
    <row r="7" spans="1:22" s="41" customFormat="1" ht="63" customHeight="1" thickBot="1" x14ac:dyDescent="0.3">
      <c r="A7" s="323" t="s">
        <v>3</v>
      </c>
      <c r="B7" s="324" t="s">
        <v>147</v>
      </c>
      <c r="C7" s="323"/>
      <c r="D7" s="42"/>
      <c r="E7" s="382" t="s">
        <v>1</v>
      </c>
      <c r="F7" s="383"/>
      <c r="G7" s="230" t="s">
        <v>140</v>
      </c>
      <c r="H7" s="43"/>
      <c r="I7" s="151" t="s">
        <v>6</v>
      </c>
      <c r="J7" s="223" t="s">
        <v>133</v>
      </c>
      <c r="K7" s="224" t="s">
        <v>134</v>
      </c>
      <c r="L7" s="37"/>
      <c r="M7" s="155" t="s">
        <v>5</v>
      </c>
      <c r="N7" s="161" t="s">
        <v>143</v>
      </c>
      <c r="O7" s="155" t="s">
        <v>5</v>
      </c>
      <c r="P7" s="47"/>
      <c r="S7" s="44"/>
      <c r="V7" s="45"/>
    </row>
    <row r="8" spans="1:22" ht="16.5" thickBot="1" x14ac:dyDescent="0.3">
      <c r="A8" s="55" t="s">
        <v>35</v>
      </c>
      <c r="B8" s="322" t="s">
        <v>146</v>
      </c>
      <c r="C8" s="2"/>
      <c r="D8" s="2"/>
      <c r="E8" s="2" t="s">
        <v>118</v>
      </c>
      <c r="F8" s="135" t="s">
        <v>52</v>
      </c>
      <c r="G8" s="146" t="s">
        <v>86</v>
      </c>
      <c r="H8" s="2"/>
      <c r="I8" s="219" t="s">
        <v>53</v>
      </c>
      <c r="J8" s="219" t="s">
        <v>53</v>
      </c>
      <c r="K8" s="219" t="s">
        <v>53</v>
      </c>
      <c r="L8" s="18"/>
      <c r="M8" s="110" t="s">
        <v>33</v>
      </c>
      <c r="N8" s="162" t="s">
        <v>43</v>
      </c>
      <c r="O8" s="336" t="s">
        <v>154</v>
      </c>
      <c r="P8" s="20"/>
      <c r="S8" s="8"/>
      <c r="V8" s="9"/>
    </row>
    <row r="9" spans="1:22" s="9" customFormat="1" x14ac:dyDescent="0.25">
      <c r="A9" s="68">
        <f>'ТД Виктан'!L2</f>
        <v>1440</v>
      </c>
      <c r="B9" s="68">
        <f>Велторг!V2</f>
        <v>39.74</v>
      </c>
      <c r="C9" s="68"/>
      <c r="D9" s="69">
        <f>A9+B9+C9</f>
        <v>1479.74</v>
      </c>
      <c r="E9" s="68">
        <f>ЛюксОйл!O2</f>
        <v>720</v>
      </c>
      <c r="F9" s="68">
        <f>'отработ масло'!M2</f>
        <v>1075</v>
      </c>
      <c r="G9" s="68">
        <f>'ИП Ким'!V2</f>
        <v>210</v>
      </c>
      <c r="H9" s="70">
        <f>E9+F9+G9</f>
        <v>2005</v>
      </c>
      <c r="I9" s="71">
        <f>'Союзснаб ПдК'!AE2</f>
        <v>50</v>
      </c>
      <c r="J9" s="72">
        <f>'Союзснаб ПдК'!AC2</f>
        <v>0</v>
      </c>
      <c r="K9" s="72">
        <f>'Союзснаб ПдК'!AD2</f>
        <v>0</v>
      </c>
      <c r="L9" s="73">
        <f>I9+J9+K9</f>
        <v>50</v>
      </c>
      <c r="M9" s="71">
        <f>Скип!P2</f>
        <v>-256</v>
      </c>
      <c r="N9" s="72">
        <f>Орион!R2</f>
        <v>25</v>
      </c>
      <c r="O9" s="72">
        <f>КрахмалПрод!L2</f>
        <v>3424</v>
      </c>
      <c r="P9" s="99">
        <f>M9+N9+O9</f>
        <v>3193</v>
      </c>
      <c r="S9" s="74"/>
    </row>
    <row r="10" spans="1:22" x14ac:dyDescent="0.25">
      <c r="A10" s="113">
        <v>24</v>
      </c>
      <c r="B10" s="113">
        <v>2196.6</v>
      </c>
      <c r="C10" s="113"/>
      <c r="D10" s="101"/>
      <c r="E10" s="114">
        <v>234</v>
      </c>
      <c r="F10" s="114">
        <v>55</v>
      </c>
      <c r="G10" s="154">
        <v>623</v>
      </c>
      <c r="H10" s="101"/>
      <c r="I10" s="104">
        <v>194.15</v>
      </c>
      <c r="J10" s="105">
        <v>129</v>
      </c>
      <c r="K10" s="105">
        <v>168.11</v>
      </c>
      <c r="L10" s="103"/>
      <c r="M10" s="104">
        <v>57</v>
      </c>
      <c r="N10" s="105">
        <v>84</v>
      </c>
      <c r="O10" s="105">
        <v>59</v>
      </c>
      <c r="P10" s="103"/>
      <c r="S10" s="8"/>
      <c r="V10" s="9"/>
    </row>
    <row r="11" spans="1:22" s="80" customFormat="1" ht="16.5" thickBot="1" x14ac:dyDescent="0.3">
      <c r="A11" s="75">
        <f>A9*A10</f>
        <v>34560</v>
      </c>
      <c r="B11" s="75">
        <f>B9*B10</f>
        <v>87292.884000000005</v>
      </c>
      <c r="C11" s="75"/>
      <c r="D11" s="76">
        <f>A11+B11+C11</f>
        <v>121852.88400000001</v>
      </c>
      <c r="E11" s="75">
        <f>E9*E10</f>
        <v>168480</v>
      </c>
      <c r="F11" s="75">
        <f>F9*F10</f>
        <v>59125</v>
      </c>
      <c r="G11" s="75">
        <f>G9*G10</f>
        <v>130830</v>
      </c>
      <c r="H11" s="77">
        <f>E11+F11+G11</f>
        <v>358435</v>
      </c>
      <c r="I11" s="78">
        <f>I9*I10</f>
        <v>9707.5</v>
      </c>
      <c r="J11" s="78">
        <f t="shared" ref="J11:K11" si="1">J9*J10</f>
        <v>0</v>
      </c>
      <c r="K11" s="78">
        <f t="shared" si="1"/>
        <v>0</v>
      </c>
      <c r="L11" s="79">
        <f>I11+J11+K11</f>
        <v>9707.5</v>
      </c>
      <c r="M11" s="78">
        <f>M9*M10</f>
        <v>-14592</v>
      </c>
      <c r="N11" s="78">
        <f>N9*N10</f>
        <v>2100</v>
      </c>
      <c r="O11" s="78">
        <f>O9*O10</f>
        <v>202016</v>
      </c>
      <c r="P11" s="100">
        <f>M11+N11+O11</f>
        <v>189524</v>
      </c>
      <c r="S11" s="81"/>
    </row>
    <row r="12" spans="1:22" ht="16.5" thickBot="1" x14ac:dyDescent="0.3">
      <c r="S12" s="8"/>
      <c r="V12" s="9"/>
    </row>
    <row r="13" spans="1:22" s="41" customFormat="1" ht="28.15" customHeight="1" thickBot="1" x14ac:dyDescent="0.3">
      <c r="A13" s="363" t="s">
        <v>7</v>
      </c>
      <c r="B13" s="363"/>
      <c r="C13" s="363"/>
      <c r="D13" s="364"/>
      <c r="E13" s="39"/>
      <c r="F13" s="365" t="s">
        <v>11</v>
      </c>
      <c r="G13" s="366"/>
      <c r="H13" s="366"/>
      <c r="I13" s="366"/>
      <c r="J13" s="366"/>
      <c r="K13" s="367"/>
      <c r="L13" s="40"/>
      <c r="M13" s="151" t="s">
        <v>6</v>
      </c>
      <c r="N13" s="153" t="s">
        <v>85</v>
      </c>
      <c r="O13" s="152" t="s">
        <v>91</v>
      </c>
      <c r="P13" s="40"/>
      <c r="S13" s="44"/>
      <c r="V13" s="45"/>
    </row>
    <row r="14" spans="1:22" s="41" customFormat="1" ht="32.25" thickBot="1" x14ac:dyDescent="0.3">
      <c r="A14" s="46" t="s">
        <v>8</v>
      </c>
      <c r="B14" s="47" t="s">
        <v>9</v>
      </c>
      <c r="C14" s="47" t="s">
        <v>10</v>
      </c>
      <c r="D14" s="48" t="s">
        <v>82</v>
      </c>
      <c r="E14" s="49"/>
      <c r="F14" s="50" t="s">
        <v>12</v>
      </c>
      <c r="G14" s="51" t="s">
        <v>41</v>
      </c>
      <c r="H14" s="52" t="s">
        <v>13</v>
      </c>
      <c r="I14" s="50" t="s">
        <v>14</v>
      </c>
      <c r="J14" s="51" t="s">
        <v>141</v>
      </c>
      <c r="K14" s="51" t="s">
        <v>76</v>
      </c>
      <c r="L14" s="48"/>
      <c r="M14" s="21" t="s">
        <v>43</v>
      </c>
      <c r="N14" s="98" t="s">
        <v>86</v>
      </c>
      <c r="O14" s="19" t="s">
        <v>92</v>
      </c>
      <c r="P14" s="22"/>
      <c r="S14" s="44"/>
      <c r="V14" s="45"/>
    </row>
    <row r="15" spans="1:22" s="41" customFormat="1" ht="32.25" thickBot="1" x14ac:dyDescent="0.3">
      <c r="A15" s="96" t="s">
        <v>46</v>
      </c>
      <c r="B15" s="97" t="s">
        <v>46</v>
      </c>
      <c r="C15" s="97" t="s">
        <v>46</v>
      </c>
      <c r="D15" s="97" t="s">
        <v>46</v>
      </c>
      <c r="E15" s="49"/>
      <c r="F15" s="95" t="s">
        <v>46</v>
      </c>
      <c r="G15" s="95" t="s">
        <v>46</v>
      </c>
      <c r="H15" s="94" t="s">
        <v>45</v>
      </c>
      <c r="I15" s="94" t="s">
        <v>45</v>
      </c>
      <c r="J15" s="94" t="s">
        <v>45</v>
      </c>
      <c r="K15" s="94" t="s">
        <v>45</v>
      </c>
      <c r="L15" s="48"/>
      <c r="M15" s="21"/>
      <c r="N15" s="98"/>
      <c r="O15" s="19"/>
      <c r="P15" s="22"/>
      <c r="S15" s="44"/>
      <c r="V15" s="45"/>
    </row>
    <row r="16" spans="1:22" s="9" customFormat="1" ht="16.5" thickBot="1" x14ac:dyDescent="0.3">
      <c r="A16" s="82">
        <f>'ВМ Ингредиент'!AD2</f>
        <v>0</v>
      </c>
      <c r="B16" s="83">
        <f>'ВМ Ингредиент'!AE2</f>
        <v>0</v>
      </c>
      <c r="C16" s="84">
        <f>'ВМ Ингредиент'!AF2</f>
        <v>2</v>
      </c>
      <c r="D16" s="84">
        <f>'ВМ Ингредиент'!AG2</f>
        <v>2</v>
      </c>
      <c r="E16" s="85">
        <f>A16+B16+C16+D16</f>
        <v>4</v>
      </c>
      <c r="F16" s="86">
        <f>'ВМ Ингредиент'!AB2</f>
        <v>0</v>
      </c>
      <c r="G16" s="84">
        <f>'ВМ Ингредиент'!AC2</f>
        <v>0</v>
      </c>
      <c r="H16" s="84">
        <f>'Омега Фуд Техн'!V2</f>
        <v>0</v>
      </c>
      <c r="I16" s="84">
        <f>'Омега Фуд Техн'!U2</f>
        <v>93</v>
      </c>
      <c r="J16" s="84">
        <f>'Омега Фуд Техн'!X2</f>
        <v>310</v>
      </c>
      <c r="K16" s="84">
        <f>'Омега Фуд Техн'!W2</f>
        <v>0</v>
      </c>
      <c r="L16" s="87">
        <f>F16+G16+H16+I16+J16+K16</f>
        <v>403</v>
      </c>
      <c r="M16" s="84">
        <f>Орион!Q2</f>
        <v>0</v>
      </c>
      <c r="N16" s="84">
        <f>'ИП Ким'!U2</f>
        <v>750</v>
      </c>
      <c r="O16" s="84">
        <f>'Эко Ресурс'!M2</f>
        <v>150</v>
      </c>
      <c r="P16" s="92">
        <f>M16+N16+O16</f>
        <v>900</v>
      </c>
      <c r="S16" s="74"/>
    </row>
    <row r="17" spans="1:22" x14ac:dyDescent="0.25">
      <c r="A17" s="107">
        <v>1465.2</v>
      </c>
      <c r="B17" s="104">
        <v>1200</v>
      </c>
      <c r="C17" s="104">
        <v>2070</v>
      </c>
      <c r="D17" s="104">
        <v>1758</v>
      </c>
      <c r="E17" s="102"/>
      <c r="F17" s="104">
        <v>312</v>
      </c>
      <c r="G17" s="104">
        <v>470.4</v>
      </c>
      <c r="H17" s="104">
        <v>832.48158333333333</v>
      </c>
      <c r="I17" s="104">
        <v>743.28719999999998</v>
      </c>
      <c r="J17" s="104">
        <v>559.20000000000005</v>
      </c>
      <c r="K17" s="104">
        <v>676.42</v>
      </c>
      <c r="L17" s="101"/>
      <c r="M17" s="104">
        <v>183</v>
      </c>
      <c r="N17" s="104">
        <v>60</v>
      </c>
      <c r="O17" s="104">
        <v>498</v>
      </c>
      <c r="P17" s="101"/>
      <c r="S17" s="8"/>
      <c r="V17" s="9"/>
    </row>
    <row r="18" spans="1:22" s="80" customFormat="1" ht="16.5" thickBot="1" x14ac:dyDescent="0.3">
      <c r="A18" s="88">
        <f>A16*A17</f>
        <v>0</v>
      </c>
      <c r="B18" s="88">
        <f t="shared" ref="B18:D18" si="2">B16*B17</f>
        <v>0</v>
      </c>
      <c r="C18" s="88">
        <f t="shared" si="2"/>
        <v>4140</v>
      </c>
      <c r="D18" s="88">
        <f t="shared" si="2"/>
        <v>3516</v>
      </c>
      <c r="E18" s="89">
        <f>A18+B18+C18+D18</f>
        <v>7656</v>
      </c>
      <c r="F18" s="90">
        <f t="shared" ref="F18:K18" si="3">F16*F17</f>
        <v>0</v>
      </c>
      <c r="G18" s="90">
        <f t="shared" si="3"/>
        <v>0</v>
      </c>
      <c r="H18" s="90">
        <f t="shared" si="3"/>
        <v>0</v>
      </c>
      <c r="I18" s="90">
        <f t="shared" si="3"/>
        <v>69125.709600000002</v>
      </c>
      <c r="J18" s="90">
        <f t="shared" si="3"/>
        <v>173352</v>
      </c>
      <c r="K18" s="90">
        <f t="shared" si="3"/>
        <v>0</v>
      </c>
      <c r="L18" s="91">
        <f>F18+G18+H18+I18+J18+K18</f>
        <v>242477.7096</v>
      </c>
      <c r="M18" s="75">
        <f>M16*M17</f>
        <v>0</v>
      </c>
      <c r="N18" s="75">
        <f>N16*N17</f>
        <v>45000</v>
      </c>
      <c r="O18" s="75">
        <f>O16*O17</f>
        <v>74700</v>
      </c>
      <c r="P18" s="93">
        <f>M18+N18+O18</f>
        <v>119700</v>
      </c>
      <c r="S18" s="81"/>
    </row>
    <row r="19" spans="1:22" ht="16.5" thickBot="1" x14ac:dyDescent="0.3">
      <c r="S19" s="8"/>
      <c r="V19" s="9"/>
    </row>
    <row r="20" spans="1:22" ht="16.5" thickBot="1" x14ac:dyDescent="0.3">
      <c r="A20" s="109" t="s">
        <v>30</v>
      </c>
      <c r="D20" s="108">
        <f>D5+H5+L5+P5+T5+D11+H11+L11+P11+E18+L18+P18+L25+T25+M32+G39+-44861</f>
        <v>2330205.5436000004</v>
      </c>
      <c r="F20" s="365" t="s">
        <v>11</v>
      </c>
      <c r="G20" s="366"/>
      <c r="H20" s="366"/>
      <c r="I20" s="366"/>
      <c r="J20" s="366"/>
      <c r="K20" s="367"/>
      <c r="L20" s="40"/>
      <c r="N20" s="365" t="s">
        <v>11</v>
      </c>
      <c r="O20" s="366"/>
      <c r="P20" s="366"/>
      <c r="Q20" s="366"/>
      <c r="R20" s="366"/>
      <c r="S20" s="367"/>
      <c r="T20" s="40"/>
    </row>
    <row r="21" spans="1:22" ht="32.25" thickBot="1" x14ac:dyDescent="0.3">
      <c r="F21" s="50" t="s">
        <v>84</v>
      </c>
      <c r="G21" s="51" t="s">
        <v>61</v>
      </c>
      <c r="H21" s="52" t="s">
        <v>83</v>
      </c>
      <c r="I21" s="50" t="s">
        <v>62</v>
      </c>
      <c r="J21" s="51" t="s">
        <v>63</v>
      </c>
      <c r="K21" s="144" t="s">
        <v>68</v>
      </c>
      <c r="L21" s="145"/>
      <c r="N21" s="50" t="s">
        <v>101</v>
      </c>
      <c r="O21" s="51" t="s">
        <v>80</v>
      </c>
      <c r="P21" s="52" t="s">
        <v>100</v>
      </c>
      <c r="Q21" s="51" t="s">
        <v>81</v>
      </c>
      <c r="R21" s="51" t="s">
        <v>89</v>
      </c>
      <c r="S21" s="144"/>
      <c r="T21" s="145"/>
    </row>
    <row r="22" spans="1:22" ht="32.25" thickBot="1" x14ac:dyDescent="0.3">
      <c r="A22" s="138" t="s">
        <v>64</v>
      </c>
      <c r="D22" s="140">
        <f>Агроимпекс!T61</f>
        <v>0</v>
      </c>
      <c r="F22" s="95" t="s">
        <v>53</v>
      </c>
      <c r="G22" s="95" t="s">
        <v>53</v>
      </c>
      <c r="H22" s="95" t="s">
        <v>53</v>
      </c>
      <c r="I22" s="95" t="s">
        <v>53</v>
      </c>
      <c r="J22" s="95" t="s">
        <v>53</v>
      </c>
      <c r="K22" s="145" t="s">
        <v>69</v>
      </c>
      <c r="L22" s="145"/>
      <c r="N22" s="95" t="s">
        <v>53</v>
      </c>
      <c r="O22" s="95" t="s">
        <v>53</v>
      </c>
      <c r="P22" s="95" t="s">
        <v>53</v>
      </c>
      <c r="Q22" s="95" t="s">
        <v>46</v>
      </c>
      <c r="R22" s="95" t="s">
        <v>53</v>
      </c>
      <c r="S22" s="145"/>
      <c r="T22" s="145"/>
    </row>
    <row r="23" spans="1:22" ht="16.5" thickBot="1" x14ac:dyDescent="0.3">
      <c r="F23" s="150">
        <f>СоюзСнаб!AO2</f>
        <v>-20</v>
      </c>
      <c r="G23" s="84">
        <f>СоюзСнаб!AQ2</f>
        <v>130</v>
      </c>
      <c r="H23" s="84">
        <f>СоюзСнаб!AP2</f>
        <v>75</v>
      </c>
      <c r="I23" s="84">
        <f>СоюзСнаб!AR2</f>
        <v>105</v>
      </c>
      <c r="J23" s="84">
        <f>СоюзСнаб!AS2</f>
        <v>-10</v>
      </c>
      <c r="K23" s="84">
        <f>чл!V2</f>
        <v>0</v>
      </c>
      <c r="L23" s="87">
        <f>F23+G23+H23+I23+J23+K23</f>
        <v>280</v>
      </c>
      <c r="N23" s="86">
        <f>СоюзСнаб!AV2</f>
        <v>0</v>
      </c>
      <c r="O23" s="84">
        <f>СоюзСнаб!AT2</f>
        <v>10</v>
      </c>
      <c r="P23" s="84">
        <f>СоюзСнаб!AU2</f>
        <v>65</v>
      </c>
      <c r="Q23" s="84">
        <f>'ВМ Ингредиент'!AA2</f>
        <v>100</v>
      </c>
      <c r="R23" s="84">
        <f>СоюзСнаб!AW2</f>
        <v>155</v>
      </c>
      <c r="S23" s="84">
        <f>чл!AD2</f>
        <v>0</v>
      </c>
      <c r="T23" s="87">
        <f>N23+O23+P23+Q23+R23+S23</f>
        <v>330</v>
      </c>
    </row>
    <row r="24" spans="1:22" x14ac:dyDescent="0.25">
      <c r="A24" s="1" t="s">
        <v>71</v>
      </c>
      <c r="D24" s="142">
        <f>D3+H3+L3+P3+T3+D9+H9+L9+P9+E16+L16+P16+L23+T23+M30+G37+0-290</f>
        <v>17662.739999999998</v>
      </c>
      <c r="E24" s="10"/>
      <c r="F24" s="104">
        <v>607</v>
      </c>
      <c r="G24" s="104">
        <v>427</v>
      </c>
      <c r="H24" s="104">
        <v>427</v>
      </c>
      <c r="I24" s="104">
        <v>514</v>
      </c>
      <c r="J24" s="104">
        <v>519</v>
      </c>
      <c r="K24" s="104">
        <v>450</v>
      </c>
      <c r="L24" s="101"/>
      <c r="M24" s="10"/>
      <c r="N24" s="104">
        <v>502.85</v>
      </c>
      <c r="O24" s="104">
        <v>504</v>
      </c>
      <c r="P24" s="104">
        <v>557</v>
      </c>
      <c r="Q24" s="104">
        <v>384</v>
      </c>
      <c r="R24" s="104">
        <v>398</v>
      </c>
      <c r="S24" s="104">
        <v>450</v>
      </c>
      <c r="T24" s="101"/>
    </row>
    <row r="25" spans="1:22" ht="16.5" thickBot="1" x14ac:dyDescent="0.3">
      <c r="E25" s="10"/>
      <c r="F25" s="90">
        <f t="shared" ref="F25:K25" si="4">F23*F24</f>
        <v>-12140</v>
      </c>
      <c r="G25" s="90">
        <f t="shared" si="4"/>
        <v>55510</v>
      </c>
      <c r="H25" s="90">
        <f t="shared" si="4"/>
        <v>32025</v>
      </c>
      <c r="I25" s="90">
        <f t="shared" si="4"/>
        <v>53970</v>
      </c>
      <c r="J25" s="90">
        <f t="shared" si="4"/>
        <v>-5190</v>
      </c>
      <c r="K25" s="90">
        <f t="shared" si="4"/>
        <v>0</v>
      </c>
      <c r="L25" s="91">
        <f>F25+G25+H25+I25+J25+K25</f>
        <v>124175</v>
      </c>
      <c r="M25" s="10"/>
      <c r="N25" s="90">
        <f t="shared" ref="N25:S25" si="5">N23*N24</f>
        <v>0</v>
      </c>
      <c r="O25" s="90">
        <f t="shared" si="5"/>
        <v>5040</v>
      </c>
      <c r="P25" s="90">
        <f t="shared" si="5"/>
        <v>36205</v>
      </c>
      <c r="Q25" s="90">
        <f t="shared" si="5"/>
        <v>38400</v>
      </c>
      <c r="R25" s="90">
        <f t="shared" si="5"/>
        <v>61690</v>
      </c>
      <c r="S25" s="90">
        <f t="shared" si="5"/>
        <v>0</v>
      </c>
      <c r="T25" s="91">
        <f>N25+O25+P25+Q25+R25+S25</f>
        <v>141335</v>
      </c>
    </row>
    <row r="26" spans="1:22" ht="16.5" thickBot="1" x14ac:dyDescent="0.3">
      <c r="N26" s="3"/>
    </row>
    <row r="27" spans="1:22" ht="16.5" thickBot="1" x14ac:dyDescent="0.3">
      <c r="C27" s="365" t="s">
        <v>11</v>
      </c>
      <c r="D27" s="366"/>
      <c r="E27" s="366"/>
      <c r="F27" s="366"/>
      <c r="G27" s="366"/>
      <c r="H27" s="366"/>
      <c r="I27" s="366"/>
      <c r="J27" s="366"/>
      <c r="K27" s="366"/>
      <c r="L27" s="367"/>
      <c r="M27" s="347"/>
      <c r="N27" s="3"/>
    </row>
    <row r="28" spans="1:22" ht="48" thickBot="1" x14ac:dyDescent="0.3">
      <c r="C28" s="94" t="s">
        <v>111</v>
      </c>
      <c r="D28" s="95" t="s">
        <v>112</v>
      </c>
      <c r="E28" s="343" t="s">
        <v>113</v>
      </c>
      <c r="F28" s="94" t="s">
        <v>102</v>
      </c>
      <c r="G28" s="95" t="s">
        <v>103</v>
      </c>
      <c r="H28" s="343" t="s">
        <v>104</v>
      </c>
      <c r="I28" s="344" t="s">
        <v>124</v>
      </c>
      <c r="J28" s="344" t="s">
        <v>125</v>
      </c>
      <c r="K28" s="345" t="s">
        <v>152</v>
      </c>
      <c r="L28" s="346" t="s">
        <v>123</v>
      </c>
      <c r="M28" s="47"/>
    </row>
    <row r="29" spans="1:22" ht="16.5" thickBot="1" x14ac:dyDescent="0.3">
      <c r="C29" s="365" t="s">
        <v>53</v>
      </c>
      <c r="D29" s="366"/>
      <c r="E29" s="366"/>
      <c r="F29" s="366"/>
      <c r="G29" s="366"/>
      <c r="H29" s="366"/>
      <c r="I29" s="366"/>
      <c r="J29" s="366"/>
      <c r="K29" s="366"/>
      <c r="L29" s="366"/>
      <c r="M29" s="348"/>
    </row>
    <row r="30" spans="1:22" ht="16.149999999999999" customHeight="1" thickBot="1" x14ac:dyDescent="0.3">
      <c r="C30" s="86">
        <f>СоюзСнаб!BA2</f>
        <v>10</v>
      </c>
      <c r="D30" s="84">
        <f>СоюзСнаб!BB2</f>
        <v>45</v>
      </c>
      <c r="E30" s="84">
        <f>СоюзСнаб!BC2</f>
        <v>85</v>
      </c>
      <c r="F30" s="86">
        <f>СоюзСнаб!AX2</f>
        <v>220</v>
      </c>
      <c r="G30" s="84">
        <f>СоюзСнаб!AY2</f>
        <v>70</v>
      </c>
      <c r="H30" s="84">
        <f>СоюзСнаб!AZ2</f>
        <v>15</v>
      </c>
      <c r="I30" s="84">
        <f>'Союзснаб ПдК'!Z2</f>
        <v>3</v>
      </c>
      <c r="J30" s="84">
        <f>'Союзснаб ПдК'!AA2</f>
        <v>0</v>
      </c>
      <c r="K30" s="84">
        <f>'Союзснаб ПдК'!AF2</f>
        <v>3</v>
      </c>
      <c r="L30" s="84">
        <f>'Союзснаб ПдК'!Y2</f>
        <v>0</v>
      </c>
      <c r="M30" s="87">
        <f>C30+D30+E30+F30+G30+H30+I30+J30+K30+L30</f>
        <v>451</v>
      </c>
    </row>
    <row r="31" spans="1:22" ht="16.149999999999999" customHeight="1" x14ac:dyDescent="0.25">
      <c r="C31" s="104">
        <v>688.59</v>
      </c>
      <c r="D31" s="104">
        <v>522.19000000000005</v>
      </c>
      <c r="E31" s="104">
        <v>532.12</v>
      </c>
      <c r="F31" s="104">
        <v>629.27</v>
      </c>
      <c r="G31" s="104">
        <v>524</v>
      </c>
      <c r="H31" s="104">
        <v>689.75</v>
      </c>
      <c r="I31" s="104">
        <v>1891.98</v>
      </c>
      <c r="J31" s="104">
        <v>1780.53</v>
      </c>
      <c r="K31" s="104">
        <v>1924.17</v>
      </c>
      <c r="L31" s="104">
        <v>2233.9899999999998</v>
      </c>
      <c r="M31" s="101"/>
    </row>
    <row r="32" spans="1:22" ht="16.149999999999999" customHeight="1" thickBot="1" x14ac:dyDescent="0.3">
      <c r="C32" s="90">
        <f t="shared" ref="C32:E32" si="6">C30*C31</f>
        <v>6885.9000000000005</v>
      </c>
      <c r="D32" s="90">
        <f t="shared" si="6"/>
        <v>23498.550000000003</v>
      </c>
      <c r="E32" s="90">
        <f t="shared" si="6"/>
        <v>45230.2</v>
      </c>
      <c r="F32" s="90">
        <f t="shared" ref="F32:K32" si="7">F30*F31</f>
        <v>138439.4</v>
      </c>
      <c r="G32" s="90">
        <f t="shared" si="7"/>
        <v>36680</v>
      </c>
      <c r="H32" s="90">
        <f t="shared" si="7"/>
        <v>10346.25</v>
      </c>
      <c r="I32" s="90">
        <f t="shared" si="7"/>
        <v>5675.9400000000005</v>
      </c>
      <c r="J32" s="90">
        <f t="shared" si="7"/>
        <v>0</v>
      </c>
      <c r="K32" s="90">
        <f t="shared" si="7"/>
        <v>5772.51</v>
      </c>
      <c r="L32" s="90">
        <f t="shared" ref="L32" si="8">L30*L31</f>
        <v>0</v>
      </c>
      <c r="M32" s="91">
        <f>C32+D32+E32+F32+G32+H32+I32+J32+K32+L32</f>
        <v>272528.75</v>
      </c>
    </row>
    <row r="33" spans="3:11" ht="16.5" thickBot="1" x14ac:dyDescent="0.3"/>
    <row r="34" spans="3:11" ht="16.5" thickBot="1" x14ac:dyDescent="0.3">
      <c r="C34" s="362" t="s">
        <v>7</v>
      </c>
      <c r="D34" s="363"/>
      <c r="E34" s="363"/>
      <c r="F34" s="364"/>
      <c r="G34" s="47"/>
    </row>
    <row r="35" spans="3:11" ht="32.25" thickBot="1" x14ac:dyDescent="0.3">
      <c r="C35" s="49" t="s">
        <v>8</v>
      </c>
      <c r="D35" s="47" t="s">
        <v>131</v>
      </c>
      <c r="E35" s="47" t="s">
        <v>10</v>
      </c>
      <c r="F35" s="48" t="s">
        <v>132</v>
      </c>
      <c r="G35" s="219"/>
    </row>
    <row r="36" spans="3:11" ht="16.5" thickBot="1" x14ac:dyDescent="0.3">
      <c r="C36" s="220" t="s">
        <v>46</v>
      </c>
      <c r="D36" s="97" t="s">
        <v>46</v>
      </c>
      <c r="E36" s="97" t="s">
        <v>46</v>
      </c>
      <c r="F36" s="97" t="s">
        <v>46</v>
      </c>
      <c r="G36" s="219"/>
    </row>
    <row r="37" spans="3:11" ht="16.5" thickBot="1" x14ac:dyDescent="0.3">
      <c r="C37" s="84">
        <f>'ВМ Ингредиент'!AF23</f>
        <v>0</v>
      </c>
      <c r="D37" s="83">
        <f>'ВМ Ингредиент'!AI2</f>
        <v>1</v>
      </c>
      <c r="E37" s="84">
        <f>'ВМ Ингредиент'!AH23</f>
        <v>0</v>
      </c>
      <c r="F37" s="84">
        <f>'ВМ Ингредиент'!AH2</f>
        <v>6</v>
      </c>
      <c r="G37" s="85">
        <f>C37+D37+E37+F37</f>
        <v>7</v>
      </c>
    </row>
    <row r="38" spans="3:11" x14ac:dyDescent="0.25">
      <c r="C38" s="104"/>
      <c r="D38" s="104">
        <v>1585.2</v>
      </c>
      <c r="E38" s="104"/>
      <c r="F38" s="104">
        <v>2142</v>
      </c>
      <c r="G38" s="101"/>
    </row>
    <row r="39" spans="3:11" ht="16.5" thickBot="1" x14ac:dyDescent="0.3">
      <c r="C39" s="75">
        <f>C37*C38</f>
        <v>0</v>
      </c>
      <c r="D39" s="88">
        <f t="shared" ref="D39:F39" si="9">D37*D38</f>
        <v>1585.2</v>
      </c>
      <c r="E39" s="88">
        <f t="shared" si="9"/>
        <v>0</v>
      </c>
      <c r="F39" s="88">
        <f t="shared" si="9"/>
        <v>12852</v>
      </c>
      <c r="G39" s="89">
        <f>C39+D39+E39+F39</f>
        <v>14437.2</v>
      </c>
    </row>
    <row r="41" spans="3:11" x14ac:dyDescent="0.25">
      <c r="K41" s="1">
        <f>38400+14437+7656</f>
        <v>60493</v>
      </c>
    </row>
  </sheetData>
  <mergeCells count="14">
    <mergeCell ref="C34:F34"/>
    <mergeCell ref="C29:L29"/>
    <mergeCell ref="C27:L27"/>
    <mergeCell ref="A1:C1"/>
    <mergeCell ref="Q1:S1"/>
    <mergeCell ref="E1:G1"/>
    <mergeCell ref="M1:O1"/>
    <mergeCell ref="Q2:R2"/>
    <mergeCell ref="F20:K20"/>
    <mergeCell ref="A13:D13"/>
    <mergeCell ref="F13:K13"/>
    <mergeCell ref="E7:F7"/>
    <mergeCell ref="N20:S20"/>
    <mergeCell ref="I1:J1"/>
  </mergeCells>
  <pageMargins left="0" right="0" top="0" bottom="0" header="0.31496062992125984" footer="0.31496062992125984"/>
  <pageSetup paperSize="9" scale="5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B86"/>
  <sheetViews>
    <sheetView workbookViewId="0">
      <pane ySplit="1" topLeftCell="A2" activePane="bottomLeft" state="frozen"/>
      <selection pane="bottomLeft" activeCell="E12" sqref="E12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1" width="13.7109375" style="26" customWidth="1"/>
    <col min="12" max="16" width="11.28515625" style="26" customWidth="1"/>
    <col min="17" max="17" width="10.5703125" style="29" customWidth="1"/>
    <col min="18" max="18" width="14.42578125" style="29" bestFit="1" customWidth="1"/>
    <col min="19" max="19" width="8.85546875" style="26"/>
    <col min="20" max="20" width="14.42578125" style="26" bestFit="1" customWidth="1"/>
    <col min="21" max="21" width="11.42578125" style="26" customWidth="1"/>
    <col min="22" max="22" width="12.7109375" style="26" bestFit="1" customWidth="1"/>
    <col min="23" max="16384" width="8.85546875" style="26"/>
  </cols>
  <sheetData>
    <row r="1" spans="1:28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23</v>
      </c>
      <c r="L1" s="57" t="s">
        <v>21</v>
      </c>
      <c r="M1" s="57" t="s">
        <v>114</v>
      </c>
      <c r="N1" s="57" t="s">
        <v>115</v>
      </c>
      <c r="O1" s="57"/>
      <c r="P1" s="57"/>
      <c r="Q1" s="58" t="s">
        <v>18</v>
      </c>
      <c r="R1" s="58" t="s">
        <v>19</v>
      </c>
      <c r="S1" s="59"/>
      <c r="T1" s="57" t="s">
        <v>21</v>
      </c>
      <c r="U1" s="57" t="s">
        <v>114</v>
      </c>
      <c r="V1" s="57" t="s">
        <v>115</v>
      </c>
      <c r="W1" s="57"/>
      <c r="X1" s="57"/>
    </row>
    <row r="2" spans="1:28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4"/>
      <c r="Q2" s="25"/>
      <c r="R2" s="25"/>
      <c r="S2" s="31"/>
      <c r="T2" s="27">
        <f>0+B86-L86</f>
        <v>0</v>
      </c>
      <c r="U2" s="27">
        <f>0+C86-M86</f>
        <v>0</v>
      </c>
      <c r="V2" s="27">
        <f>0+D86-N86</f>
        <v>0</v>
      </c>
      <c r="W2" s="27"/>
      <c r="X2" s="27"/>
      <c r="Y2" s="31"/>
      <c r="Z2" s="31"/>
      <c r="AA2" s="31"/>
      <c r="AB2" s="31"/>
    </row>
    <row r="3" spans="1:28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7"/>
      <c r="L3" s="158"/>
      <c r="M3" s="158"/>
      <c r="N3" s="158"/>
      <c r="O3" s="158"/>
      <c r="P3" s="158"/>
      <c r="Q3" s="159"/>
      <c r="R3" s="159"/>
      <c r="T3" s="195">
        <v>190</v>
      </c>
      <c r="U3" s="195"/>
      <c r="V3" s="195">
        <v>186</v>
      </c>
      <c r="W3" s="195"/>
      <c r="X3" s="195"/>
      <c r="Y3" s="29"/>
      <c r="Z3" s="29"/>
      <c r="AA3" s="29"/>
    </row>
    <row r="4" spans="1:28" ht="16.5" thickBot="1" x14ac:dyDescent="0.3">
      <c r="A4" s="28">
        <v>45722</v>
      </c>
      <c r="B4" s="27">
        <v>10000</v>
      </c>
      <c r="C4" s="27"/>
      <c r="D4" s="27"/>
      <c r="E4" s="27"/>
      <c r="F4" s="27"/>
      <c r="G4" s="25">
        <v>198</v>
      </c>
      <c r="H4" s="25">
        <f t="shared" ref="H4:H67" si="0">B4*G4+C4*G4+D4*G4+E4*G4+F4*G4</f>
        <v>1980000</v>
      </c>
      <c r="I4" s="250"/>
      <c r="J4" s="251">
        <v>45723</v>
      </c>
      <c r="K4" s="252" t="s">
        <v>47</v>
      </c>
      <c r="L4" s="253">
        <v>2800</v>
      </c>
      <c r="M4" s="253"/>
      <c r="N4" s="253"/>
      <c r="O4" s="253"/>
      <c r="P4" s="253"/>
      <c r="Q4" s="254">
        <v>198</v>
      </c>
      <c r="R4" s="255">
        <f>L4*Q4</f>
        <v>554400</v>
      </c>
      <c r="T4" s="25">
        <f>T2*T3</f>
        <v>0</v>
      </c>
      <c r="U4" s="25">
        <f t="shared" ref="U4:V4" si="1">U2*U3</f>
        <v>0</v>
      </c>
      <c r="V4" s="25">
        <f t="shared" si="1"/>
        <v>0</v>
      </c>
      <c r="W4" s="25"/>
      <c r="X4" s="25"/>
      <c r="Y4" s="29"/>
      <c r="Z4" s="29"/>
      <c r="AA4" s="29"/>
    </row>
    <row r="5" spans="1:28" x14ac:dyDescent="0.25">
      <c r="A5" s="28">
        <v>45728</v>
      </c>
      <c r="B5" s="27">
        <v>500</v>
      </c>
      <c r="C5" s="27"/>
      <c r="D5" s="27"/>
      <c r="E5" s="27"/>
      <c r="F5" s="27"/>
      <c r="G5" s="25">
        <v>198</v>
      </c>
      <c r="H5" s="25">
        <f t="shared" si="0"/>
        <v>99000</v>
      </c>
      <c r="I5" s="250"/>
      <c r="J5" s="236">
        <v>45726</v>
      </c>
      <c r="K5" s="256" t="s">
        <v>47</v>
      </c>
      <c r="L5" s="237">
        <v>4700</v>
      </c>
      <c r="M5" s="237"/>
      <c r="N5" s="237"/>
      <c r="O5" s="237"/>
      <c r="P5" s="237"/>
      <c r="Q5" s="238">
        <v>198</v>
      </c>
      <c r="R5" s="239">
        <f>L5*Q5</f>
        <v>930600</v>
      </c>
    </row>
    <row r="6" spans="1:28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>
        <v>45727</v>
      </c>
      <c r="K6" s="24" t="s">
        <v>47</v>
      </c>
      <c r="L6" s="27">
        <v>2000</v>
      </c>
      <c r="M6" s="27"/>
      <c r="N6" s="27"/>
      <c r="O6" s="27"/>
      <c r="P6" s="27"/>
      <c r="Q6" s="25">
        <v>198</v>
      </c>
      <c r="R6" s="241">
        <f t="shared" ref="R6:R42" si="2">L6*Q6</f>
        <v>396000</v>
      </c>
    </row>
    <row r="7" spans="1:28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>
        <v>45729</v>
      </c>
      <c r="K7" s="157" t="s">
        <v>47</v>
      </c>
      <c r="L7" s="158">
        <v>1000</v>
      </c>
      <c r="M7" s="158"/>
      <c r="N7" s="158"/>
      <c r="O7" s="158"/>
      <c r="P7" s="158"/>
      <c r="Q7" s="159">
        <v>198</v>
      </c>
      <c r="R7" s="317">
        <f t="shared" si="2"/>
        <v>198000</v>
      </c>
    </row>
    <row r="8" spans="1:28" x14ac:dyDescent="0.25">
      <c r="A8" s="28">
        <v>45742</v>
      </c>
      <c r="B8" s="27">
        <v>5000</v>
      </c>
      <c r="C8" s="27"/>
      <c r="D8" s="27"/>
      <c r="E8" s="27"/>
      <c r="F8" s="27"/>
      <c r="G8" s="25">
        <v>190</v>
      </c>
      <c r="H8" s="25">
        <f t="shared" si="0"/>
        <v>950000</v>
      </c>
      <c r="I8" s="250"/>
      <c r="J8" s="236">
        <v>45742</v>
      </c>
      <c r="K8" s="256" t="s">
        <v>47</v>
      </c>
      <c r="L8" s="237">
        <v>2500</v>
      </c>
      <c r="M8" s="237"/>
      <c r="N8" s="237"/>
      <c r="O8" s="237"/>
      <c r="P8" s="237"/>
      <c r="Q8" s="249">
        <v>190</v>
      </c>
      <c r="R8" s="239">
        <f t="shared" si="2"/>
        <v>475000</v>
      </c>
    </row>
    <row r="9" spans="1:28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>
        <v>45743</v>
      </c>
      <c r="K9" s="123" t="s">
        <v>47</v>
      </c>
      <c r="L9" s="124">
        <v>2500</v>
      </c>
      <c r="M9" s="124"/>
      <c r="N9" s="124"/>
      <c r="O9" s="124"/>
      <c r="P9" s="124"/>
      <c r="Q9" s="125">
        <v>190</v>
      </c>
      <c r="R9" s="243">
        <f t="shared" si="2"/>
        <v>475000</v>
      </c>
    </row>
    <row r="10" spans="1:28" ht="16.5" thickBot="1" x14ac:dyDescent="0.3">
      <c r="A10" s="28">
        <v>45757</v>
      </c>
      <c r="B10" s="27"/>
      <c r="C10" s="27"/>
      <c r="D10" s="27">
        <v>5000</v>
      </c>
      <c r="E10" s="27"/>
      <c r="F10" s="27"/>
      <c r="G10" s="25">
        <v>186</v>
      </c>
      <c r="H10" s="25">
        <f t="shared" si="0"/>
        <v>930000</v>
      </c>
      <c r="I10" s="250"/>
      <c r="J10" s="276">
        <v>45757</v>
      </c>
      <c r="K10" s="252" t="s">
        <v>47</v>
      </c>
      <c r="L10" s="253"/>
      <c r="M10" s="253"/>
      <c r="N10" s="253">
        <v>5000</v>
      </c>
      <c r="O10" s="253"/>
      <c r="P10" s="253"/>
      <c r="Q10" s="254">
        <v>186</v>
      </c>
      <c r="R10" s="255">
        <f>L10*Q10+M10*Q10+N10*Q10+O10*Q10+P10*Q10</f>
        <v>930000</v>
      </c>
    </row>
    <row r="11" spans="1:28" ht="16.5" thickBot="1" x14ac:dyDescent="0.3">
      <c r="A11" s="24" t="s">
        <v>161</v>
      </c>
      <c r="B11" s="27">
        <v>5000</v>
      </c>
      <c r="C11" s="27"/>
      <c r="D11" s="27"/>
      <c r="E11" s="27"/>
      <c r="F11" s="27"/>
      <c r="G11" s="25">
        <v>173</v>
      </c>
      <c r="H11" s="25">
        <f t="shared" si="0"/>
        <v>865000</v>
      </c>
      <c r="I11" s="25"/>
      <c r="J11" s="24" t="s">
        <v>161</v>
      </c>
      <c r="K11" s="252" t="s">
        <v>47</v>
      </c>
      <c r="L11" s="119">
        <v>5000</v>
      </c>
      <c r="M11" s="119"/>
      <c r="N11" s="119"/>
      <c r="O11" s="119"/>
      <c r="P11" s="119"/>
      <c r="Q11" s="25">
        <v>173</v>
      </c>
      <c r="R11" s="120">
        <f t="shared" si="2"/>
        <v>865000</v>
      </c>
    </row>
    <row r="12" spans="1:28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4"/>
      <c r="L12" s="27"/>
      <c r="M12" s="27"/>
      <c r="N12" s="27"/>
      <c r="O12" s="27"/>
      <c r="P12" s="27"/>
      <c r="Q12" s="25"/>
      <c r="R12" s="25">
        <f t="shared" si="2"/>
        <v>0</v>
      </c>
    </row>
    <row r="13" spans="1:28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4"/>
      <c r="L13" s="27"/>
      <c r="M13" s="27"/>
      <c r="N13" s="27"/>
      <c r="O13" s="27"/>
      <c r="P13" s="27"/>
      <c r="Q13" s="25"/>
      <c r="R13" s="25">
        <f t="shared" si="2"/>
        <v>0</v>
      </c>
    </row>
    <row r="14" spans="1:28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4"/>
      <c r="L14" s="27"/>
      <c r="M14" s="27"/>
      <c r="N14" s="27"/>
      <c r="O14" s="27"/>
      <c r="P14" s="27"/>
      <c r="Q14" s="25"/>
      <c r="R14" s="25">
        <f t="shared" si="2"/>
        <v>0</v>
      </c>
    </row>
    <row r="15" spans="1:28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4"/>
      <c r="L15" s="27"/>
      <c r="M15" s="27"/>
      <c r="N15" s="27"/>
      <c r="O15" s="27"/>
      <c r="P15" s="27"/>
      <c r="Q15" s="25"/>
      <c r="R15" s="25">
        <f t="shared" si="2"/>
        <v>0</v>
      </c>
    </row>
    <row r="16" spans="1:28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4"/>
      <c r="L16" s="27"/>
      <c r="M16" s="27"/>
      <c r="N16" s="27"/>
      <c r="O16" s="27"/>
      <c r="P16" s="27"/>
      <c r="Q16" s="25"/>
      <c r="R16" s="25">
        <f t="shared" si="2"/>
        <v>0</v>
      </c>
    </row>
    <row r="17" spans="1:18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4"/>
      <c r="L17" s="27"/>
      <c r="M17" s="27"/>
      <c r="N17" s="27"/>
      <c r="O17" s="27"/>
      <c r="P17" s="27"/>
      <c r="Q17" s="25"/>
      <c r="R17" s="25">
        <f t="shared" si="2"/>
        <v>0</v>
      </c>
    </row>
    <row r="18" spans="1:18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4"/>
      <c r="L18" s="27"/>
      <c r="M18" s="27"/>
      <c r="N18" s="27"/>
      <c r="O18" s="27"/>
      <c r="P18" s="27"/>
      <c r="Q18" s="25"/>
      <c r="R18" s="25">
        <f t="shared" si="2"/>
        <v>0</v>
      </c>
    </row>
    <row r="19" spans="1:18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4"/>
      <c r="L19" s="27"/>
      <c r="M19" s="27"/>
      <c r="N19" s="27"/>
      <c r="O19" s="27"/>
      <c r="P19" s="27"/>
      <c r="Q19" s="25"/>
      <c r="R19" s="25">
        <f t="shared" si="2"/>
        <v>0</v>
      </c>
    </row>
    <row r="20" spans="1:18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4"/>
      <c r="L20" s="27"/>
      <c r="M20" s="27"/>
      <c r="N20" s="27"/>
      <c r="O20" s="27"/>
      <c r="P20" s="27"/>
      <c r="Q20" s="25"/>
      <c r="R20" s="25">
        <f t="shared" si="2"/>
        <v>0</v>
      </c>
    </row>
    <row r="21" spans="1:18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4"/>
      <c r="L21" s="27"/>
      <c r="M21" s="27"/>
      <c r="N21" s="27"/>
      <c r="O21" s="27"/>
      <c r="P21" s="27"/>
      <c r="Q21" s="25"/>
      <c r="R21" s="25">
        <f t="shared" si="2"/>
        <v>0</v>
      </c>
    </row>
    <row r="22" spans="1:18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4"/>
      <c r="L22" s="27"/>
      <c r="M22" s="27"/>
      <c r="N22" s="27"/>
      <c r="O22" s="27"/>
      <c r="P22" s="27"/>
      <c r="Q22" s="25"/>
      <c r="R22" s="25">
        <f t="shared" si="2"/>
        <v>0</v>
      </c>
    </row>
    <row r="23" spans="1:18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4"/>
      <c r="L23" s="27"/>
      <c r="M23" s="27"/>
      <c r="N23" s="27"/>
      <c r="O23" s="27"/>
      <c r="P23" s="27"/>
      <c r="Q23" s="25"/>
      <c r="R23" s="25">
        <f t="shared" si="2"/>
        <v>0</v>
      </c>
    </row>
    <row r="24" spans="1:18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4"/>
      <c r="L24" s="27"/>
      <c r="M24" s="27"/>
      <c r="N24" s="27"/>
      <c r="O24" s="27"/>
      <c r="P24" s="27"/>
      <c r="Q24" s="25"/>
      <c r="R24" s="25">
        <f t="shared" si="2"/>
        <v>0</v>
      </c>
    </row>
    <row r="25" spans="1:18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4"/>
      <c r="L25" s="27"/>
      <c r="M25" s="27"/>
      <c r="N25" s="27"/>
      <c r="O25" s="27"/>
      <c r="P25" s="27"/>
      <c r="Q25" s="25"/>
      <c r="R25" s="25">
        <f t="shared" si="2"/>
        <v>0</v>
      </c>
    </row>
    <row r="26" spans="1:18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4"/>
      <c r="L26" s="27"/>
      <c r="M26" s="27"/>
      <c r="N26" s="27"/>
      <c r="O26" s="27"/>
      <c r="P26" s="27"/>
      <c r="Q26" s="25"/>
      <c r="R26" s="25">
        <f t="shared" si="2"/>
        <v>0</v>
      </c>
    </row>
    <row r="27" spans="1:18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4"/>
      <c r="L27" s="27"/>
      <c r="M27" s="27"/>
      <c r="N27" s="27"/>
      <c r="O27" s="27"/>
      <c r="P27" s="27"/>
      <c r="Q27" s="25"/>
      <c r="R27" s="25">
        <f t="shared" si="2"/>
        <v>0</v>
      </c>
    </row>
    <row r="28" spans="1:18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4"/>
      <c r="L28" s="27"/>
      <c r="M28" s="27"/>
      <c r="N28" s="27"/>
      <c r="O28" s="27"/>
      <c r="P28" s="27"/>
      <c r="Q28" s="25"/>
      <c r="R28" s="25">
        <f t="shared" si="2"/>
        <v>0</v>
      </c>
    </row>
    <row r="29" spans="1:18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4"/>
      <c r="L29" s="27"/>
      <c r="M29" s="27"/>
      <c r="N29" s="27"/>
      <c r="O29" s="27"/>
      <c r="P29" s="27"/>
      <c r="Q29" s="25"/>
      <c r="R29" s="25">
        <f t="shared" si="2"/>
        <v>0</v>
      </c>
    </row>
    <row r="30" spans="1:18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4"/>
      <c r="L30" s="27"/>
      <c r="M30" s="27"/>
      <c r="N30" s="27"/>
      <c r="O30" s="27"/>
      <c r="P30" s="27"/>
      <c r="Q30" s="25"/>
      <c r="R30" s="25">
        <f t="shared" si="2"/>
        <v>0</v>
      </c>
    </row>
    <row r="31" spans="1:18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4"/>
      <c r="L31" s="27"/>
      <c r="M31" s="27"/>
      <c r="N31" s="27"/>
      <c r="O31" s="27"/>
      <c r="P31" s="27"/>
      <c r="Q31" s="25"/>
      <c r="R31" s="25">
        <f t="shared" si="2"/>
        <v>0</v>
      </c>
    </row>
    <row r="32" spans="1:18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4"/>
      <c r="L32" s="27"/>
      <c r="M32" s="27"/>
      <c r="N32" s="27"/>
      <c r="O32" s="27"/>
      <c r="P32" s="27"/>
      <c r="Q32" s="25"/>
      <c r="R32" s="25">
        <f t="shared" si="2"/>
        <v>0</v>
      </c>
    </row>
    <row r="33" spans="1:18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4"/>
      <c r="L33" s="27"/>
      <c r="M33" s="27"/>
      <c r="N33" s="27"/>
      <c r="O33" s="27"/>
      <c r="P33" s="27"/>
      <c r="Q33" s="25"/>
      <c r="R33" s="25">
        <f t="shared" si="2"/>
        <v>0</v>
      </c>
    </row>
    <row r="34" spans="1:18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4"/>
      <c r="L34" s="27"/>
      <c r="M34" s="27"/>
      <c r="N34" s="27"/>
      <c r="O34" s="27"/>
      <c r="P34" s="27"/>
      <c r="Q34" s="25"/>
      <c r="R34" s="25">
        <f t="shared" si="2"/>
        <v>0</v>
      </c>
    </row>
    <row r="35" spans="1:18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4"/>
      <c r="L35" s="27"/>
      <c r="M35" s="27"/>
      <c r="N35" s="27"/>
      <c r="O35" s="27"/>
      <c r="P35" s="27"/>
      <c r="Q35" s="25"/>
      <c r="R35" s="25">
        <f t="shared" si="2"/>
        <v>0</v>
      </c>
    </row>
    <row r="36" spans="1:18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4"/>
      <c r="L36" s="27"/>
      <c r="M36" s="27"/>
      <c r="N36" s="27"/>
      <c r="O36" s="27"/>
      <c r="P36" s="27"/>
      <c r="Q36" s="25"/>
      <c r="R36" s="25">
        <f t="shared" si="2"/>
        <v>0</v>
      </c>
    </row>
    <row r="37" spans="1:18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4"/>
      <c r="L37" s="27"/>
      <c r="M37" s="27"/>
      <c r="N37" s="27"/>
      <c r="O37" s="27"/>
      <c r="P37" s="27"/>
      <c r="Q37" s="25"/>
      <c r="R37" s="25">
        <f t="shared" si="2"/>
        <v>0</v>
      </c>
    </row>
    <row r="38" spans="1:18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4"/>
      <c r="L38" s="27"/>
      <c r="M38" s="27"/>
      <c r="N38" s="27"/>
      <c r="O38" s="27"/>
      <c r="P38" s="27"/>
      <c r="Q38" s="25"/>
      <c r="R38" s="25">
        <f t="shared" si="2"/>
        <v>0</v>
      </c>
    </row>
    <row r="39" spans="1:18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4"/>
      <c r="L39" s="27"/>
      <c r="M39" s="27"/>
      <c r="N39" s="27"/>
      <c r="O39" s="27"/>
      <c r="P39" s="27"/>
      <c r="Q39" s="25"/>
      <c r="R39" s="25">
        <f t="shared" si="2"/>
        <v>0</v>
      </c>
    </row>
    <row r="40" spans="1:18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4"/>
      <c r="L40" s="27"/>
      <c r="M40" s="27"/>
      <c r="N40" s="27"/>
      <c r="O40" s="27"/>
      <c r="P40" s="27"/>
      <c r="Q40" s="25"/>
      <c r="R40" s="25">
        <f t="shared" si="2"/>
        <v>0</v>
      </c>
    </row>
    <row r="41" spans="1:18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4"/>
      <c r="L41" s="27"/>
      <c r="M41" s="27"/>
      <c r="N41" s="27"/>
      <c r="O41" s="27"/>
      <c r="P41" s="27"/>
      <c r="Q41" s="25"/>
      <c r="R41" s="25">
        <f t="shared" si="2"/>
        <v>0</v>
      </c>
    </row>
    <row r="42" spans="1:18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4"/>
      <c r="L42" s="27"/>
      <c r="M42" s="27"/>
      <c r="N42" s="27"/>
      <c r="O42" s="27"/>
      <c r="P42" s="27"/>
      <c r="Q42" s="25"/>
      <c r="R42" s="25">
        <f t="shared" si="2"/>
        <v>0</v>
      </c>
    </row>
    <row r="43" spans="1:18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4"/>
      <c r="L43" s="27"/>
      <c r="M43" s="27"/>
      <c r="N43" s="27"/>
      <c r="O43" s="27"/>
      <c r="P43" s="27"/>
      <c r="Q43" s="25"/>
      <c r="R43" s="25">
        <f>L43*Q43+M43*Q43+N43*Q43+O43*Q43+P43*Q43</f>
        <v>0</v>
      </c>
    </row>
    <row r="44" spans="1:18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4"/>
      <c r="L44" s="27"/>
      <c r="M44" s="27"/>
      <c r="N44" s="27"/>
      <c r="O44" s="27"/>
      <c r="P44" s="27"/>
      <c r="Q44" s="25"/>
      <c r="R44" s="25">
        <f t="shared" ref="R44:R85" si="3">L44*Q44+M44*Q44+N44*Q44+O44*Q44+P44*Q44</f>
        <v>0</v>
      </c>
    </row>
    <row r="45" spans="1:18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4"/>
      <c r="L45" s="27"/>
      <c r="M45" s="27"/>
      <c r="N45" s="27"/>
      <c r="O45" s="27"/>
      <c r="P45" s="27"/>
      <c r="Q45" s="25"/>
      <c r="R45" s="25">
        <f t="shared" si="3"/>
        <v>0</v>
      </c>
    </row>
    <row r="46" spans="1:18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4"/>
      <c r="L46" s="27"/>
      <c r="M46" s="27"/>
      <c r="N46" s="27"/>
      <c r="O46" s="27"/>
      <c r="P46" s="27"/>
      <c r="Q46" s="25"/>
      <c r="R46" s="25">
        <f t="shared" si="3"/>
        <v>0</v>
      </c>
    </row>
    <row r="47" spans="1:18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4"/>
      <c r="L47" s="27"/>
      <c r="M47" s="27"/>
      <c r="N47" s="27"/>
      <c r="O47" s="27"/>
      <c r="P47" s="27"/>
      <c r="Q47" s="25"/>
      <c r="R47" s="25">
        <f t="shared" si="3"/>
        <v>0</v>
      </c>
    </row>
    <row r="48" spans="1:18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4"/>
      <c r="L48" s="27"/>
      <c r="M48" s="27"/>
      <c r="N48" s="27"/>
      <c r="O48" s="27"/>
      <c r="P48" s="27"/>
      <c r="Q48" s="25"/>
      <c r="R48" s="25">
        <f t="shared" si="3"/>
        <v>0</v>
      </c>
    </row>
    <row r="49" spans="1:18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4"/>
      <c r="L49" s="27"/>
      <c r="M49" s="27"/>
      <c r="N49" s="27"/>
      <c r="O49" s="27"/>
      <c r="P49" s="27"/>
      <c r="Q49" s="25"/>
      <c r="R49" s="25">
        <f t="shared" si="3"/>
        <v>0</v>
      </c>
    </row>
    <row r="50" spans="1:18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4"/>
      <c r="L50" s="27"/>
      <c r="M50" s="27"/>
      <c r="N50" s="27"/>
      <c r="O50" s="27"/>
      <c r="P50" s="27"/>
      <c r="Q50" s="25"/>
      <c r="R50" s="25">
        <f t="shared" si="3"/>
        <v>0</v>
      </c>
    </row>
    <row r="51" spans="1:18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4"/>
      <c r="L51" s="27"/>
      <c r="M51" s="27"/>
      <c r="N51" s="27"/>
      <c r="O51" s="27"/>
      <c r="P51" s="27"/>
      <c r="Q51" s="25"/>
      <c r="R51" s="25">
        <f t="shared" si="3"/>
        <v>0</v>
      </c>
    </row>
    <row r="52" spans="1:18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4"/>
      <c r="L52" s="27"/>
      <c r="M52" s="27"/>
      <c r="N52" s="27"/>
      <c r="O52" s="27"/>
      <c r="P52" s="27"/>
      <c r="Q52" s="25"/>
      <c r="R52" s="25">
        <f t="shared" si="3"/>
        <v>0</v>
      </c>
    </row>
    <row r="53" spans="1:18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4"/>
      <c r="L53" s="27"/>
      <c r="M53" s="27"/>
      <c r="N53" s="27"/>
      <c r="O53" s="27"/>
      <c r="P53" s="27"/>
      <c r="Q53" s="25"/>
      <c r="R53" s="25">
        <f t="shared" si="3"/>
        <v>0</v>
      </c>
    </row>
    <row r="54" spans="1:18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4"/>
      <c r="L54" s="27"/>
      <c r="M54" s="27"/>
      <c r="N54" s="27"/>
      <c r="O54" s="27"/>
      <c r="P54" s="27"/>
      <c r="Q54" s="25"/>
      <c r="R54" s="25">
        <f t="shared" si="3"/>
        <v>0</v>
      </c>
    </row>
    <row r="55" spans="1:18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4"/>
      <c r="L55" s="27"/>
      <c r="M55" s="27"/>
      <c r="N55" s="27"/>
      <c r="O55" s="27"/>
      <c r="P55" s="27"/>
      <c r="Q55" s="195"/>
      <c r="R55" s="25">
        <f t="shared" si="3"/>
        <v>0</v>
      </c>
    </row>
    <row r="56" spans="1:18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4"/>
      <c r="L56" s="27"/>
      <c r="M56" s="27"/>
      <c r="N56" s="27"/>
      <c r="O56" s="27"/>
      <c r="P56" s="27"/>
      <c r="Q56" s="25"/>
      <c r="R56" s="25">
        <f t="shared" si="3"/>
        <v>0</v>
      </c>
    </row>
    <row r="57" spans="1:18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4"/>
      <c r="L57" s="27"/>
      <c r="M57" s="27"/>
      <c r="N57" s="27"/>
      <c r="O57" s="27"/>
      <c r="P57" s="27"/>
      <c r="Q57" s="25"/>
      <c r="R57" s="25">
        <f t="shared" si="3"/>
        <v>0</v>
      </c>
    </row>
    <row r="58" spans="1:18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4"/>
      <c r="L58" s="27"/>
      <c r="M58" s="27"/>
      <c r="N58" s="27"/>
      <c r="O58" s="27"/>
      <c r="P58" s="27"/>
      <c r="Q58" s="25"/>
      <c r="R58" s="25">
        <f t="shared" si="3"/>
        <v>0</v>
      </c>
    </row>
    <row r="59" spans="1:18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4"/>
      <c r="L59" s="27"/>
      <c r="M59" s="27"/>
      <c r="N59" s="27"/>
      <c r="O59" s="27"/>
      <c r="P59" s="27"/>
      <c r="Q59" s="25"/>
      <c r="R59" s="25">
        <f t="shared" si="3"/>
        <v>0</v>
      </c>
    </row>
    <row r="60" spans="1:18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4"/>
      <c r="L60" s="27"/>
      <c r="M60" s="27"/>
      <c r="N60" s="27"/>
      <c r="O60" s="27"/>
      <c r="P60" s="27"/>
      <c r="Q60" s="25"/>
      <c r="R60" s="25">
        <f t="shared" si="3"/>
        <v>0</v>
      </c>
    </row>
    <row r="61" spans="1:18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4"/>
      <c r="L61" s="27"/>
      <c r="M61" s="27"/>
      <c r="N61" s="27"/>
      <c r="O61" s="27"/>
      <c r="P61" s="27"/>
      <c r="Q61" s="25"/>
      <c r="R61" s="25">
        <f t="shared" si="3"/>
        <v>0</v>
      </c>
    </row>
    <row r="62" spans="1:18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4"/>
      <c r="L62" s="27"/>
      <c r="M62" s="27"/>
      <c r="N62" s="27"/>
      <c r="O62" s="27"/>
      <c r="P62" s="27"/>
      <c r="Q62" s="25"/>
      <c r="R62" s="25">
        <f t="shared" si="3"/>
        <v>0</v>
      </c>
    </row>
    <row r="63" spans="1:18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4"/>
      <c r="L63" s="27"/>
      <c r="M63" s="27"/>
      <c r="N63" s="27"/>
      <c r="O63" s="27"/>
      <c r="P63" s="27"/>
      <c r="Q63" s="25"/>
      <c r="R63" s="25">
        <f t="shared" si="3"/>
        <v>0</v>
      </c>
    </row>
    <row r="64" spans="1:18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4"/>
      <c r="L64" s="27"/>
      <c r="M64" s="27"/>
      <c r="N64" s="27"/>
      <c r="O64" s="27"/>
      <c r="P64" s="27"/>
      <c r="Q64" s="25"/>
      <c r="R64" s="25">
        <f t="shared" si="3"/>
        <v>0</v>
      </c>
    </row>
    <row r="65" spans="1:18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4"/>
      <c r="L65" s="27"/>
      <c r="M65" s="27"/>
      <c r="N65" s="27"/>
      <c r="O65" s="27"/>
      <c r="P65" s="27"/>
      <c r="Q65" s="25"/>
      <c r="R65" s="25">
        <f t="shared" si="3"/>
        <v>0</v>
      </c>
    </row>
    <row r="66" spans="1:18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4"/>
      <c r="L66" s="27"/>
      <c r="M66" s="27"/>
      <c r="N66" s="27"/>
      <c r="O66" s="27"/>
      <c r="P66" s="27"/>
      <c r="Q66" s="25"/>
      <c r="R66" s="25">
        <f t="shared" si="3"/>
        <v>0</v>
      </c>
    </row>
    <row r="67" spans="1:18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4"/>
      <c r="L67" s="27"/>
      <c r="M67" s="27"/>
      <c r="N67" s="27"/>
      <c r="O67" s="27"/>
      <c r="P67" s="27"/>
      <c r="Q67" s="25"/>
      <c r="R67" s="25">
        <f t="shared" si="3"/>
        <v>0</v>
      </c>
    </row>
    <row r="68" spans="1:18" x14ac:dyDescent="0.25">
      <c r="A68" s="24"/>
      <c r="B68" s="27"/>
      <c r="C68" s="27"/>
      <c r="D68" s="27"/>
      <c r="E68" s="27"/>
      <c r="F68" s="27"/>
      <c r="G68" s="25"/>
      <c r="H68" s="25">
        <f t="shared" ref="H68:H78" si="4">B68*G68+C68*G68+D68*G68+E68*G68+F68*G68</f>
        <v>0</v>
      </c>
      <c r="I68" s="25"/>
      <c r="J68" s="28"/>
      <c r="K68" s="24"/>
      <c r="L68" s="27"/>
      <c r="M68" s="27"/>
      <c r="N68" s="27"/>
      <c r="O68" s="27"/>
      <c r="P68" s="27"/>
      <c r="Q68" s="25"/>
      <c r="R68" s="25">
        <f t="shared" si="3"/>
        <v>0</v>
      </c>
    </row>
    <row r="69" spans="1:18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4"/>
      <c r="L69" s="27"/>
      <c r="M69" s="27"/>
      <c r="N69" s="27"/>
      <c r="O69" s="27"/>
      <c r="P69" s="27"/>
      <c r="Q69" s="25"/>
      <c r="R69" s="25">
        <f t="shared" si="3"/>
        <v>0</v>
      </c>
    </row>
    <row r="70" spans="1:18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4"/>
      <c r="L70" s="27"/>
      <c r="M70" s="27"/>
      <c r="N70" s="27"/>
      <c r="O70" s="27"/>
      <c r="P70" s="27"/>
      <c r="Q70" s="25"/>
      <c r="R70" s="25">
        <f t="shared" si="3"/>
        <v>0</v>
      </c>
    </row>
    <row r="71" spans="1:18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4"/>
      <c r="L71" s="27"/>
      <c r="M71" s="27"/>
      <c r="N71" s="27"/>
      <c r="O71" s="27"/>
      <c r="P71" s="27"/>
      <c r="Q71" s="25"/>
      <c r="R71" s="25">
        <f t="shared" si="3"/>
        <v>0</v>
      </c>
    </row>
    <row r="72" spans="1:18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4"/>
      <c r="L72" s="27"/>
      <c r="M72" s="27"/>
      <c r="N72" s="27"/>
      <c r="O72" s="27"/>
      <c r="P72" s="27"/>
      <c r="Q72" s="25"/>
      <c r="R72" s="25">
        <f t="shared" si="3"/>
        <v>0</v>
      </c>
    </row>
    <row r="73" spans="1:18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4"/>
      <c r="L73" s="27"/>
      <c r="M73" s="27"/>
      <c r="N73" s="27"/>
      <c r="O73" s="27"/>
      <c r="P73" s="27"/>
      <c r="Q73" s="25"/>
      <c r="R73" s="25">
        <f t="shared" si="3"/>
        <v>0</v>
      </c>
    </row>
    <row r="74" spans="1:18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4"/>
      <c r="L74" s="27"/>
      <c r="M74" s="27"/>
      <c r="N74" s="27"/>
      <c r="O74" s="27"/>
      <c r="P74" s="27"/>
      <c r="Q74" s="25"/>
      <c r="R74" s="25">
        <f t="shared" si="3"/>
        <v>0</v>
      </c>
    </row>
    <row r="75" spans="1:18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4"/>
      <c r="L75" s="27"/>
      <c r="M75" s="27"/>
      <c r="N75" s="27"/>
      <c r="O75" s="27"/>
      <c r="P75" s="27"/>
      <c r="Q75" s="25"/>
      <c r="R75" s="25">
        <f t="shared" si="3"/>
        <v>0</v>
      </c>
    </row>
    <row r="76" spans="1:18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4"/>
      <c r="L76" s="27"/>
      <c r="M76" s="27"/>
      <c r="N76" s="27"/>
      <c r="O76" s="27"/>
      <c r="P76" s="27"/>
      <c r="Q76" s="25"/>
      <c r="R76" s="25">
        <f t="shared" si="3"/>
        <v>0</v>
      </c>
    </row>
    <row r="77" spans="1:18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4"/>
      <c r="L77" s="27"/>
      <c r="M77" s="27"/>
      <c r="N77" s="27"/>
      <c r="O77" s="27"/>
      <c r="P77" s="27"/>
      <c r="Q77" s="25"/>
      <c r="R77" s="25">
        <f t="shared" si="3"/>
        <v>0</v>
      </c>
    </row>
    <row r="78" spans="1:18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4"/>
      <c r="L78" s="27"/>
      <c r="M78" s="27"/>
      <c r="N78" s="27"/>
      <c r="O78" s="27"/>
      <c r="P78" s="27"/>
      <c r="Q78" s="25"/>
      <c r="R78" s="25">
        <f t="shared" si="3"/>
        <v>0</v>
      </c>
    </row>
    <row r="79" spans="1:18" x14ac:dyDescent="0.25">
      <c r="A79" s="24"/>
      <c r="B79" s="27"/>
      <c r="C79" s="27"/>
      <c r="D79" s="27"/>
      <c r="E79" s="27"/>
      <c r="F79" s="27"/>
      <c r="G79" s="25"/>
      <c r="H79" s="25">
        <f t="shared" ref="H79:H85" si="5">B79*G79+C79*G79+D79*G79+E79*G79+F79*G79</f>
        <v>0</v>
      </c>
      <c r="I79" s="25"/>
      <c r="J79" s="28"/>
      <c r="K79" s="24"/>
      <c r="L79" s="27"/>
      <c r="M79" s="27"/>
      <c r="N79" s="27"/>
      <c r="O79" s="27"/>
      <c r="P79" s="27"/>
      <c r="Q79" s="25"/>
      <c r="R79" s="25">
        <f t="shared" si="3"/>
        <v>0</v>
      </c>
    </row>
    <row r="80" spans="1:18" x14ac:dyDescent="0.25">
      <c r="A80" s="24"/>
      <c r="B80" s="27"/>
      <c r="C80" s="27"/>
      <c r="D80" s="27"/>
      <c r="E80" s="27"/>
      <c r="F80" s="27"/>
      <c r="G80" s="25"/>
      <c r="H80" s="25">
        <f t="shared" si="5"/>
        <v>0</v>
      </c>
      <c r="I80" s="25"/>
      <c r="J80" s="28"/>
      <c r="K80" s="24"/>
      <c r="L80" s="27"/>
      <c r="M80" s="27"/>
      <c r="N80" s="27"/>
      <c r="O80" s="27"/>
      <c r="P80" s="27"/>
      <c r="Q80" s="25"/>
      <c r="R80" s="25">
        <f t="shared" si="3"/>
        <v>0</v>
      </c>
    </row>
    <row r="81" spans="1:18" x14ac:dyDescent="0.25">
      <c r="A81" s="24"/>
      <c r="B81" s="27"/>
      <c r="C81" s="27"/>
      <c r="D81" s="27"/>
      <c r="E81" s="27"/>
      <c r="F81" s="27"/>
      <c r="G81" s="25"/>
      <c r="H81" s="25">
        <f t="shared" si="5"/>
        <v>0</v>
      </c>
      <c r="I81" s="30"/>
      <c r="J81" s="28"/>
      <c r="K81" s="24"/>
      <c r="L81" s="27"/>
      <c r="M81" s="27"/>
      <c r="N81" s="27"/>
      <c r="O81" s="27"/>
      <c r="P81" s="27"/>
      <c r="Q81" s="25"/>
      <c r="R81" s="25">
        <f t="shared" si="3"/>
        <v>0</v>
      </c>
    </row>
    <row r="82" spans="1:18" x14ac:dyDescent="0.25">
      <c r="A82" s="24"/>
      <c r="B82" s="27"/>
      <c r="C82" s="27"/>
      <c r="D82" s="27"/>
      <c r="E82" s="27"/>
      <c r="F82" s="27"/>
      <c r="G82" s="25"/>
      <c r="H82" s="25">
        <f t="shared" si="5"/>
        <v>0</v>
      </c>
      <c r="I82" s="30"/>
      <c r="J82" s="28"/>
      <c r="K82" s="24"/>
      <c r="L82" s="27"/>
      <c r="M82" s="27"/>
      <c r="N82" s="27"/>
      <c r="O82" s="27"/>
      <c r="P82" s="27"/>
      <c r="Q82" s="25"/>
      <c r="R82" s="25">
        <f t="shared" si="3"/>
        <v>0</v>
      </c>
    </row>
    <row r="83" spans="1:18" x14ac:dyDescent="0.25">
      <c r="A83" s="24"/>
      <c r="B83" s="27"/>
      <c r="C83" s="27"/>
      <c r="D83" s="27"/>
      <c r="E83" s="27"/>
      <c r="F83" s="27"/>
      <c r="G83" s="25"/>
      <c r="H83" s="25">
        <f t="shared" si="5"/>
        <v>0</v>
      </c>
      <c r="I83" s="30"/>
      <c r="J83" s="28"/>
      <c r="K83" s="24"/>
      <c r="L83" s="27"/>
      <c r="M83" s="27"/>
      <c r="N83" s="27"/>
      <c r="O83" s="27"/>
      <c r="P83" s="27"/>
      <c r="Q83" s="25"/>
      <c r="R83" s="25">
        <f t="shared" si="3"/>
        <v>0</v>
      </c>
    </row>
    <row r="84" spans="1:18" x14ac:dyDescent="0.25">
      <c r="A84" s="24"/>
      <c r="B84" s="27"/>
      <c r="C84" s="27"/>
      <c r="D84" s="27"/>
      <c r="E84" s="27"/>
      <c r="F84" s="27"/>
      <c r="G84" s="25"/>
      <c r="H84" s="25">
        <f t="shared" si="5"/>
        <v>0</v>
      </c>
      <c r="I84" s="30"/>
      <c r="J84" s="24"/>
      <c r="K84" s="24"/>
      <c r="L84" s="27"/>
      <c r="M84" s="27"/>
      <c r="N84" s="27"/>
      <c r="O84" s="27"/>
      <c r="P84" s="27"/>
      <c r="Q84" s="25"/>
      <c r="R84" s="25">
        <f t="shared" si="3"/>
        <v>0</v>
      </c>
    </row>
    <row r="85" spans="1:18" x14ac:dyDescent="0.25">
      <c r="A85" s="24"/>
      <c r="B85" s="27"/>
      <c r="C85" s="27"/>
      <c r="D85" s="27"/>
      <c r="E85" s="27"/>
      <c r="F85" s="27"/>
      <c r="G85" s="25"/>
      <c r="H85" s="25">
        <f t="shared" si="5"/>
        <v>0</v>
      </c>
      <c r="I85" s="30"/>
      <c r="J85" s="24"/>
      <c r="K85" s="24"/>
      <c r="L85" s="27"/>
      <c r="M85" s="27"/>
      <c r="N85" s="27"/>
      <c r="O85" s="27"/>
      <c r="P85" s="27"/>
      <c r="Q85" s="25"/>
      <c r="R85" s="25">
        <f t="shared" si="3"/>
        <v>0</v>
      </c>
    </row>
    <row r="86" spans="1:18" x14ac:dyDescent="0.25">
      <c r="A86" s="24"/>
      <c r="B86" s="27">
        <f>SUM(B3:B85)</f>
        <v>20500</v>
      </c>
      <c r="C86" s="27">
        <f t="shared" ref="C86:F86" si="6">SUM(C3:C85)</f>
        <v>0</v>
      </c>
      <c r="D86" s="27">
        <f t="shared" si="6"/>
        <v>5000</v>
      </c>
      <c r="E86" s="27">
        <f t="shared" si="6"/>
        <v>0</v>
      </c>
      <c r="F86" s="27">
        <f t="shared" si="6"/>
        <v>0</v>
      </c>
      <c r="G86" s="25"/>
      <c r="H86" s="25"/>
      <c r="I86" s="30"/>
      <c r="J86" s="24"/>
      <c r="K86" s="24"/>
      <c r="L86" s="27">
        <f>SUM(L3:L85)</f>
        <v>20500</v>
      </c>
      <c r="M86" s="27">
        <f t="shared" ref="M86:P86" si="7">SUM(M3:M85)</f>
        <v>0</v>
      </c>
      <c r="N86" s="27">
        <f t="shared" si="7"/>
        <v>5000</v>
      </c>
      <c r="O86" s="27">
        <f t="shared" si="7"/>
        <v>0</v>
      </c>
      <c r="P86" s="27">
        <f t="shared" si="7"/>
        <v>0</v>
      </c>
      <c r="Q86" s="25"/>
      <c r="R8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2112-AB8A-4810-8D91-84D9D9DC3DC9}">
  <sheetPr>
    <tabColor theme="5" tint="0.59999389629810485"/>
  </sheetPr>
  <dimension ref="A1:AA86"/>
  <sheetViews>
    <sheetView workbookViewId="0">
      <pane ySplit="1" topLeftCell="A2" activePane="bottomLeft" state="frozen"/>
      <selection pane="bottomLeft" activeCell="S10" sqref="S10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9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19" width="14.42578125" style="26" bestFit="1" customWidth="1"/>
    <col min="20" max="20" width="11.42578125" style="26" customWidth="1"/>
    <col min="21" max="21" width="12.7109375" style="26" bestFit="1" customWidth="1"/>
    <col min="22" max="16384" width="8.85546875" style="26"/>
  </cols>
  <sheetData>
    <row r="1" spans="1:27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114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5"/>
      <c r="Q2" s="25"/>
      <c r="R2" s="31"/>
      <c r="S2" s="27">
        <f>0+B86-K86</f>
        <v>9000</v>
      </c>
      <c r="T2" s="27">
        <f>0+C86-L86</f>
        <v>0</v>
      </c>
      <c r="U2" s="27">
        <f>0+D86-M86</f>
        <v>0</v>
      </c>
      <c r="V2" s="27"/>
      <c r="W2" s="27"/>
      <c r="X2" s="31"/>
      <c r="Y2" s="31"/>
      <c r="Z2" s="31"/>
      <c r="AA2" s="31"/>
    </row>
    <row r="3" spans="1:27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8"/>
      <c r="L3" s="158"/>
      <c r="M3" s="158"/>
      <c r="N3" s="158"/>
      <c r="O3" s="158"/>
      <c r="P3" s="159"/>
      <c r="Q3" s="159"/>
      <c r="S3" s="195">
        <v>143</v>
      </c>
      <c r="T3" s="195"/>
      <c r="U3" s="195"/>
      <c r="V3" s="195"/>
      <c r="W3" s="195"/>
      <c r="X3" s="29"/>
      <c r="Y3" s="29"/>
      <c r="Z3" s="29"/>
    </row>
    <row r="4" spans="1:27" ht="16.5" thickBot="1" x14ac:dyDescent="0.3">
      <c r="A4" s="358" t="s">
        <v>170</v>
      </c>
      <c r="B4" s="27">
        <v>10000</v>
      </c>
      <c r="C4" s="27"/>
      <c r="D4" s="27"/>
      <c r="E4" s="27"/>
      <c r="F4" s="27"/>
      <c r="G4" s="25">
        <v>143</v>
      </c>
      <c r="H4" s="25">
        <f t="shared" ref="H4:H67" si="0">B4*G4+C4*G4+D4*G4+E4*G4+F4*G4</f>
        <v>1430000</v>
      </c>
      <c r="I4" s="250"/>
      <c r="J4" s="358" t="s">
        <v>176</v>
      </c>
      <c r="K4" s="253">
        <v>1000</v>
      </c>
      <c r="L4" s="253"/>
      <c r="M4" s="253"/>
      <c r="N4" s="253"/>
      <c r="O4" s="253"/>
      <c r="P4" s="254">
        <v>143</v>
      </c>
      <c r="Q4" s="255">
        <f>K4*P4</f>
        <v>143000</v>
      </c>
      <c r="S4" s="25">
        <f>S2*S3</f>
        <v>1287000</v>
      </c>
      <c r="T4" s="25">
        <f t="shared" ref="T4:U4" si="1">T2*T3</f>
        <v>0</v>
      </c>
      <c r="U4" s="25">
        <f t="shared" si="1"/>
        <v>0</v>
      </c>
      <c r="V4" s="25"/>
      <c r="W4" s="25"/>
      <c r="X4" s="29"/>
      <c r="Y4" s="29"/>
      <c r="Z4" s="29"/>
    </row>
    <row r="5" spans="1:27" x14ac:dyDescent="0.25">
      <c r="A5" s="28"/>
      <c r="B5" s="27"/>
      <c r="C5" s="27"/>
      <c r="D5" s="27"/>
      <c r="E5" s="27"/>
      <c r="F5" s="27"/>
      <c r="G5" s="25"/>
      <c r="H5" s="25">
        <f t="shared" si="0"/>
        <v>0</v>
      </c>
      <c r="I5" s="250"/>
      <c r="J5" s="236"/>
      <c r="K5" s="237"/>
      <c r="L5" s="237"/>
      <c r="M5" s="237"/>
      <c r="N5" s="237"/>
      <c r="O5" s="237"/>
      <c r="P5" s="238"/>
      <c r="Q5" s="239"/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/>
      <c r="K6" s="27"/>
      <c r="L6" s="27"/>
      <c r="M6" s="27"/>
      <c r="N6" s="27"/>
      <c r="O6" s="27"/>
      <c r="P6" s="25"/>
      <c r="Q6" s="241"/>
    </row>
    <row r="7" spans="1:27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/>
      <c r="K7" s="158"/>
      <c r="L7" s="158"/>
      <c r="M7" s="158"/>
      <c r="N7" s="158"/>
      <c r="O7" s="158"/>
      <c r="P7" s="159"/>
      <c r="Q7" s="317"/>
    </row>
    <row r="8" spans="1:27" x14ac:dyDescent="0.25">
      <c r="A8" s="28"/>
      <c r="B8" s="27"/>
      <c r="C8" s="27"/>
      <c r="D8" s="27"/>
      <c r="E8" s="27"/>
      <c r="F8" s="27"/>
      <c r="G8" s="25"/>
      <c r="H8" s="25">
        <f t="shared" si="0"/>
        <v>0</v>
      </c>
      <c r="I8" s="250"/>
      <c r="J8" s="236"/>
      <c r="K8" s="237"/>
      <c r="L8" s="237"/>
      <c r="M8" s="237"/>
      <c r="N8" s="237"/>
      <c r="O8" s="237"/>
      <c r="P8" s="249"/>
      <c r="Q8" s="239"/>
    </row>
    <row r="9" spans="1:27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/>
      <c r="K9" s="124"/>
      <c r="L9" s="124"/>
      <c r="M9" s="124"/>
      <c r="N9" s="124"/>
      <c r="O9" s="124"/>
      <c r="P9" s="125"/>
      <c r="Q9" s="243"/>
    </row>
    <row r="10" spans="1:27" ht="16.5" thickBot="1" x14ac:dyDescent="0.3">
      <c r="A10" s="28"/>
      <c r="B10" s="27"/>
      <c r="C10" s="27"/>
      <c r="D10" s="27"/>
      <c r="E10" s="27"/>
      <c r="F10" s="27"/>
      <c r="G10" s="25"/>
      <c r="H10" s="25">
        <f t="shared" si="0"/>
        <v>0</v>
      </c>
      <c r="I10" s="250"/>
      <c r="J10" s="276"/>
      <c r="K10" s="253"/>
      <c r="L10" s="253"/>
      <c r="M10" s="253"/>
      <c r="N10" s="253"/>
      <c r="O10" s="253"/>
      <c r="P10" s="254"/>
      <c r="Q10" s="255"/>
    </row>
    <row r="11" spans="1:27" x14ac:dyDescent="0.25">
      <c r="A11" s="24"/>
      <c r="B11" s="27"/>
      <c r="C11" s="27"/>
      <c r="D11" s="27"/>
      <c r="E11" s="27"/>
      <c r="F11" s="27"/>
      <c r="G11" s="25"/>
      <c r="H11" s="25">
        <f t="shared" si="0"/>
        <v>0</v>
      </c>
      <c r="I11" s="25"/>
      <c r="J11" s="24"/>
      <c r="K11" s="119"/>
      <c r="L11" s="119"/>
      <c r="M11" s="119"/>
      <c r="N11" s="119"/>
      <c r="O11" s="119"/>
      <c r="P11" s="25"/>
      <c r="Q11" s="120"/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7"/>
      <c r="L12" s="27"/>
      <c r="M12" s="27"/>
      <c r="N12" s="27"/>
      <c r="O12" s="27"/>
      <c r="P12" s="25"/>
      <c r="Q12" s="25"/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7"/>
      <c r="L13" s="27"/>
      <c r="M13" s="27"/>
      <c r="N13" s="27"/>
      <c r="O13" s="27"/>
      <c r="P13" s="25"/>
      <c r="Q13" s="25">
        <f t="shared" ref="Q13:Q42" si="2">K13*P13</f>
        <v>0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7"/>
      <c r="L14" s="27"/>
      <c r="M14" s="27"/>
      <c r="N14" s="27"/>
      <c r="O14" s="27"/>
      <c r="P14" s="25"/>
      <c r="Q14" s="25">
        <f t="shared" si="2"/>
        <v>0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7"/>
      <c r="L15" s="27"/>
      <c r="M15" s="27"/>
      <c r="N15" s="27"/>
      <c r="O15" s="27"/>
      <c r="P15" s="25"/>
      <c r="Q15" s="25">
        <f t="shared" si="2"/>
        <v>0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7"/>
      <c r="L16" s="27"/>
      <c r="M16" s="27"/>
      <c r="N16" s="27"/>
      <c r="O16" s="27"/>
      <c r="P16" s="25"/>
      <c r="Q16" s="25">
        <f t="shared" si="2"/>
        <v>0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7"/>
      <c r="L17" s="27"/>
      <c r="M17" s="27"/>
      <c r="N17" s="27"/>
      <c r="O17" s="27"/>
      <c r="P17" s="25"/>
      <c r="Q17" s="25">
        <f t="shared" si="2"/>
        <v>0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7"/>
      <c r="L18" s="27"/>
      <c r="M18" s="27"/>
      <c r="N18" s="27"/>
      <c r="O18" s="27"/>
      <c r="P18" s="25"/>
      <c r="Q18" s="25">
        <f t="shared" si="2"/>
        <v>0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7"/>
      <c r="L19" s="27"/>
      <c r="M19" s="27"/>
      <c r="N19" s="27"/>
      <c r="O19" s="27"/>
      <c r="P19" s="25"/>
      <c r="Q19" s="25">
        <f t="shared" si="2"/>
        <v>0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7"/>
      <c r="L20" s="27"/>
      <c r="M20" s="27"/>
      <c r="N20" s="27"/>
      <c r="O20" s="27"/>
      <c r="P20" s="25"/>
      <c r="Q20" s="25">
        <f t="shared" si="2"/>
        <v>0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7"/>
      <c r="L21" s="27"/>
      <c r="M21" s="27"/>
      <c r="N21" s="27"/>
      <c r="O21" s="27"/>
      <c r="P21" s="25"/>
      <c r="Q21" s="25">
        <f t="shared" si="2"/>
        <v>0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7"/>
      <c r="L22" s="27"/>
      <c r="M22" s="27"/>
      <c r="N22" s="27"/>
      <c r="O22" s="27"/>
      <c r="P22" s="25"/>
      <c r="Q22" s="25">
        <f t="shared" si="2"/>
        <v>0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7"/>
      <c r="L23" s="27"/>
      <c r="M23" s="27"/>
      <c r="N23" s="27"/>
      <c r="O23" s="27"/>
      <c r="P23" s="25"/>
      <c r="Q23" s="25">
        <f t="shared" si="2"/>
        <v>0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7"/>
      <c r="L24" s="27"/>
      <c r="M24" s="27"/>
      <c r="N24" s="27"/>
      <c r="O24" s="27"/>
      <c r="P24" s="25"/>
      <c r="Q24" s="25">
        <f t="shared" si="2"/>
        <v>0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7"/>
      <c r="L25" s="27"/>
      <c r="M25" s="27"/>
      <c r="N25" s="27"/>
      <c r="O25" s="27"/>
      <c r="P25" s="25"/>
      <c r="Q25" s="25">
        <f t="shared" si="2"/>
        <v>0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7"/>
      <c r="L26" s="27"/>
      <c r="M26" s="27"/>
      <c r="N26" s="27"/>
      <c r="O26" s="27"/>
      <c r="P26" s="25"/>
      <c r="Q26" s="25">
        <f t="shared" si="2"/>
        <v>0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7"/>
      <c r="L27" s="27"/>
      <c r="M27" s="27"/>
      <c r="N27" s="27"/>
      <c r="O27" s="27"/>
      <c r="P27" s="25"/>
      <c r="Q27" s="25">
        <f t="shared" si="2"/>
        <v>0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7"/>
      <c r="L28" s="27"/>
      <c r="M28" s="27"/>
      <c r="N28" s="27"/>
      <c r="O28" s="27"/>
      <c r="P28" s="25"/>
      <c r="Q28" s="25">
        <f t="shared" si="2"/>
        <v>0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7"/>
      <c r="L29" s="27"/>
      <c r="M29" s="27"/>
      <c r="N29" s="27"/>
      <c r="O29" s="27"/>
      <c r="P29" s="25"/>
      <c r="Q29" s="25">
        <f t="shared" si="2"/>
        <v>0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7"/>
      <c r="L30" s="27"/>
      <c r="M30" s="27"/>
      <c r="N30" s="27"/>
      <c r="O30" s="27"/>
      <c r="P30" s="25"/>
      <c r="Q30" s="25">
        <f t="shared" si="2"/>
        <v>0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7"/>
      <c r="L31" s="27"/>
      <c r="M31" s="27"/>
      <c r="N31" s="27"/>
      <c r="O31" s="27"/>
      <c r="P31" s="25"/>
      <c r="Q31" s="25">
        <f t="shared" si="2"/>
        <v>0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7"/>
      <c r="L32" s="27"/>
      <c r="M32" s="27"/>
      <c r="N32" s="27"/>
      <c r="O32" s="27"/>
      <c r="P32" s="25"/>
      <c r="Q32" s="25">
        <f t="shared" si="2"/>
        <v>0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7"/>
      <c r="L33" s="27"/>
      <c r="M33" s="27"/>
      <c r="N33" s="27"/>
      <c r="O33" s="27"/>
      <c r="P33" s="25"/>
      <c r="Q33" s="25">
        <f t="shared" si="2"/>
        <v>0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7"/>
      <c r="L34" s="27"/>
      <c r="M34" s="27"/>
      <c r="N34" s="27"/>
      <c r="O34" s="27"/>
      <c r="P34" s="25"/>
      <c r="Q34" s="25">
        <f t="shared" si="2"/>
        <v>0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7"/>
      <c r="L35" s="27"/>
      <c r="M35" s="27"/>
      <c r="N35" s="27"/>
      <c r="O35" s="27"/>
      <c r="P35" s="25"/>
      <c r="Q35" s="25">
        <f t="shared" si="2"/>
        <v>0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7"/>
      <c r="L36" s="27"/>
      <c r="M36" s="27"/>
      <c r="N36" s="27"/>
      <c r="O36" s="27"/>
      <c r="P36" s="25"/>
      <c r="Q36" s="25">
        <f t="shared" si="2"/>
        <v>0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7"/>
      <c r="L37" s="27"/>
      <c r="M37" s="27"/>
      <c r="N37" s="27"/>
      <c r="O37" s="27"/>
      <c r="P37" s="25"/>
      <c r="Q37" s="25">
        <f t="shared" si="2"/>
        <v>0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7"/>
      <c r="L38" s="27"/>
      <c r="M38" s="27"/>
      <c r="N38" s="27"/>
      <c r="O38" s="27"/>
      <c r="P38" s="25"/>
      <c r="Q38" s="25">
        <f t="shared" si="2"/>
        <v>0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7"/>
      <c r="L39" s="27"/>
      <c r="M39" s="27"/>
      <c r="N39" s="27"/>
      <c r="O39" s="27"/>
      <c r="P39" s="25"/>
      <c r="Q39" s="25">
        <f t="shared" si="2"/>
        <v>0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7"/>
      <c r="L40" s="27"/>
      <c r="M40" s="27"/>
      <c r="N40" s="27"/>
      <c r="O40" s="27"/>
      <c r="P40" s="25"/>
      <c r="Q40" s="25">
        <f t="shared" si="2"/>
        <v>0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7"/>
      <c r="L41" s="27"/>
      <c r="M41" s="27"/>
      <c r="N41" s="27"/>
      <c r="O41" s="27"/>
      <c r="P41" s="25"/>
      <c r="Q41" s="25">
        <f t="shared" si="2"/>
        <v>0</v>
      </c>
    </row>
    <row r="42" spans="1:17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7"/>
      <c r="L42" s="27"/>
      <c r="M42" s="27"/>
      <c r="N42" s="27"/>
      <c r="O42" s="27"/>
      <c r="P42" s="25"/>
      <c r="Q42" s="25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7"/>
      <c r="L43" s="27"/>
      <c r="M43" s="27"/>
      <c r="N43" s="27"/>
      <c r="O43" s="27"/>
      <c r="P43" s="25"/>
      <c r="Q43" s="25">
        <f>K43*P43+L43*P43+M43*P43+N43*P43+O43*P43</f>
        <v>0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7"/>
      <c r="L44" s="27"/>
      <c r="M44" s="27"/>
      <c r="N44" s="27"/>
      <c r="O44" s="27"/>
      <c r="P44" s="25"/>
      <c r="Q44" s="25">
        <f t="shared" ref="Q44:Q85" si="3">K44*P44+L44*P44+M44*P44+N44*P44+O44*P44</f>
        <v>0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7"/>
      <c r="L45" s="27"/>
      <c r="M45" s="27"/>
      <c r="N45" s="27"/>
      <c r="O45" s="27"/>
      <c r="P45" s="25"/>
      <c r="Q45" s="25">
        <f t="shared" si="3"/>
        <v>0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7"/>
      <c r="L46" s="27"/>
      <c r="M46" s="27"/>
      <c r="N46" s="27"/>
      <c r="O46" s="27"/>
      <c r="P46" s="25"/>
      <c r="Q46" s="25">
        <f t="shared" si="3"/>
        <v>0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7"/>
      <c r="L47" s="27"/>
      <c r="M47" s="27"/>
      <c r="N47" s="27"/>
      <c r="O47" s="27"/>
      <c r="P47" s="25"/>
      <c r="Q47" s="25">
        <f t="shared" si="3"/>
        <v>0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7"/>
      <c r="L48" s="27"/>
      <c r="M48" s="27"/>
      <c r="N48" s="27"/>
      <c r="O48" s="27"/>
      <c r="P48" s="25"/>
      <c r="Q48" s="25">
        <f t="shared" si="3"/>
        <v>0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7"/>
      <c r="L49" s="27"/>
      <c r="M49" s="27"/>
      <c r="N49" s="27"/>
      <c r="O49" s="27"/>
      <c r="P49" s="25"/>
      <c r="Q49" s="25">
        <f t="shared" si="3"/>
        <v>0</v>
      </c>
    </row>
    <row r="50" spans="1:17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7"/>
      <c r="L50" s="27"/>
      <c r="M50" s="27"/>
      <c r="N50" s="27"/>
      <c r="O50" s="27"/>
      <c r="P50" s="25"/>
      <c r="Q50" s="25">
        <f t="shared" si="3"/>
        <v>0</v>
      </c>
    </row>
    <row r="51" spans="1:17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7"/>
      <c r="L51" s="27"/>
      <c r="M51" s="27"/>
      <c r="N51" s="27"/>
      <c r="O51" s="27"/>
      <c r="P51" s="25"/>
      <c r="Q51" s="25">
        <f t="shared" si="3"/>
        <v>0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7"/>
      <c r="L52" s="27"/>
      <c r="M52" s="27"/>
      <c r="N52" s="27"/>
      <c r="O52" s="27"/>
      <c r="P52" s="25"/>
      <c r="Q52" s="25">
        <f t="shared" si="3"/>
        <v>0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7"/>
      <c r="L53" s="27"/>
      <c r="M53" s="27"/>
      <c r="N53" s="27"/>
      <c r="O53" s="27"/>
      <c r="P53" s="25"/>
      <c r="Q53" s="25">
        <f t="shared" si="3"/>
        <v>0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7"/>
      <c r="L54" s="27"/>
      <c r="M54" s="27"/>
      <c r="N54" s="27"/>
      <c r="O54" s="27"/>
      <c r="P54" s="25"/>
      <c r="Q54" s="25">
        <f t="shared" si="3"/>
        <v>0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7"/>
      <c r="L55" s="27"/>
      <c r="M55" s="27"/>
      <c r="N55" s="27"/>
      <c r="O55" s="27"/>
      <c r="P55" s="195"/>
      <c r="Q55" s="25">
        <f t="shared" si="3"/>
        <v>0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7"/>
      <c r="L56" s="27"/>
      <c r="M56" s="27"/>
      <c r="N56" s="27"/>
      <c r="O56" s="27"/>
      <c r="P56" s="25"/>
      <c r="Q56" s="25">
        <f t="shared" si="3"/>
        <v>0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7"/>
      <c r="L57" s="27"/>
      <c r="M57" s="27"/>
      <c r="N57" s="27"/>
      <c r="O57" s="27"/>
      <c r="P57" s="25"/>
      <c r="Q57" s="25">
        <f t="shared" si="3"/>
        <v>0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7"/>
      <c r="L58" s="27"/>
      <c r="M58" s="27"/>
      <c r="N58" s="27"/>
      <c r="O58" s="27"/>
      <c r="P58" s="25"/>
      <c r="Q58" s="25">
        <f t="shared" si="3"/>
        <v>0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7"/>
      <c r="L59" s="27"/>
      <c r="M59" s="27"/>
      <c r="N59" s="27"/>
      <c r="O59" s="27"/>
      <c r="P59" s="25"/>
      <c r="Q59" s="25">
        <f t="shared" si="3"/>
        <v>0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7"/>
      <c r="L60" s="27"/>
      <c r="M60" s="27"/>
      <c r="N60" s="27"/>
      <c r="O60" s="27"/>
      <c r="P60" s="25"/>
      <c r="Q60" s="25">
        <f t="shared" si="3"/>
        <v>0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7"/>
      <c r="L61" s="27"/>
      <c r="M61" s="27"/>
      <c r="N61" s="27"/>
      <c r="O61" s="27"/>
      <c r="P61" s="25"/>
      <c r="Q61" s="25">
        <f t="shared" si="3"/>
        <v>0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7"/>
      <c r="L62" s="27"/>
      <c r="M62" s="27"/>
      <c r="N62" s="27"/>
      <c r="O62" s="27"/>
      <c r="P62" s="25"/>
      <c r="Q62" s="25">
        <f t="shared" si="3"/>
        <v>0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7"/>
      <c r="L63" s="27"/>
      <c r="M63" s="27"/>
      <c r="N63" s="27"/>
      <c r="O63" s="27"/>
      <c r="P63" s="25"/>
      <c r="Q63" s="25">
        <f t="shared" si="3"/>
        <v>0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7"/>
      <c r="L64" s="27"/>
      <c r="M64" s="27"/>
      <c r="N64" s="27"/>
      <c r="O64" s="27"/>
      <c r="P64" s="25"/>
      <c r="Q64" s="25">
        <f t="shared" si="3"/>
        <v>0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7"/>
      <c r="L65" s="27"/>
      <c r="M65" s="27"/>
      <c r="N65" s="27"/>
      <c r="O65" s="27"/>
      <c r="P65" s="25"/>
      <c r="Q65" s="25">
        <f t="shared" si="3"/>
        <v>0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7"/>
      <c r="L66" s="27"/>
      <c r="M66" s="27"/>
      <c r="N66" s="27"/>
      <c r="O66" s="27"/>
      <c r="P66" s="25"/>
      <c r="Q66" s="25">
        <f t="shared" si="3"/>
        <v>0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7"/>
      <c r="L67" s="27"/>
      <c r="M67" s="27"/>
      <c r="N67" s="27"/>
      <c r="O67" s="27"/>
      <c r="P67" s="25"/>
      <c r="Q67" s="25">
        <f t="shared" si="3"/>
        <v>0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ref="H68:H85" si="4">B68*G68+C68*G68+D68*G68+E68*G68+F68*G68</f>
        <v>0</v>
      </c>
      <c r="I68" s="25"/>
      <c r="J68" s="28"/>
      <c r="K68" s="27"/>
      <c r="L68" s="27"/>
      <c r="M68" s="27"/>
      <c r="N68" s="27"/>
      <c r="O68" s="27"/>
      <c r="P68" s="25"/>
      <c r="Q68" s="25">
        <f t="shared" si="3"/>
        <v>0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7"/>
      <c r="L69" s="27"/>
      <c r="M69" s="27"/>
      <c r="N69" s="27"/>
      <c r="O69" s="27"/>
      <c r="P69" s="25"/>
      <c r="Q69" s="25">
        <f t="shared" si="3"/>
        <v>0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7"/>
      <c r="L70" s="27"/>
      <c r="M70" s="27"/>
      <c r="N70" s="27"/>
      <c r="O70" s="27"/>
      <c r="P70" s="25"/>
      <c r="Q70" s="25">
        <f t="shared" si="3"/>
        <v>0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7"/>
      <c r="L71" s="27"/>
      <c r="M71" s="27"/>
      <c r="N71" s="27"/>
      <c r="O71" s="27"/>
      <c r="P71" s="25"/>
      <c r="Q71" s="25">
        <f t="shared" si="3"/>
        <v>0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7"/>
      <c r="L72" s="27"/>
      <c r="M72" s="27"/>
      <c r="N72" s="27"/>
      <c r="O72" s="27"/>
      <c r="P72" s="25"/>
      <c r="Q72" s="25">
        <f t="shared" si="3"/>
        <v>0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7"/>
      <c r="L73" s="27"/>
      <c r="M73" s="27"/>
      <c r="N73" s="27"/>
      <c r="O73" s="27"/>
      <c r="P73" s="25"/>
      <c r="Q73" s="25">
        <f t="shared" si="3"/>
        <v>0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7"/>
      <c r="L74" s="27"/>
      <c r="M74" s="27"/>
      <c r="N74" s="27"/>
      <c r="O74" s="27"/>
      <c r="P74" s="25"/>
      <c r="Q74" s="25">
        <f t="shared" si="3"/>
        <v>0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7"/>
      <c r="L75" s="27"/>
      <c r="M75" s="27"/>
      <c r="N75" s="27"/>
      <c r="O75" s="27"/>
      <c r="P75" s="25"/>
      <c r="Q75" s="25">
        <f t="shared" si="3"/>
        <v>0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7"/>
      <c r="L76" s="27"/>
      <c r="M76" s="27"/>
      <c r="N76" s="27"/>
      <c r="O76" s="27"/>
      <c r="P76" s="25"/>
      <c r="Q76" s="25">
        <f t="shared" si="3"/>
        <v>0</v>
      </c>
    </row>
    <row r="77" spans="1:17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7"/>
      <c r="L77" s="27"/>
      <c r="M77" s="27"/>
      <c r="N77" s="27"/>
      <c r="O77" s="27"/>
      <c r="P77" s="25"/>
      <c r="Q77" s="25">
        <f t="shared" si="3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7"/>
      <c r="L78" s="27"/>
      <c r="M78" s="27"/>
      <c r="N78" s="27"/>
      <c r="O78" s="27"/>
      <c r="P78" s="25"/>
      <c r="Q78" s="25">
        <f t="shared" si="3"/>
        <v>0</v>
      </c>
    </row>
    <row r="79" spans="1:17" x14ac:dyDescent="0.25">
      <c r="A79" s="24"/>
      <c r="B79" s="27"/>
      <c r="C79" s="27"/>
      <c r="D79" s="27"/>
      <c r="E79" s="27"/>
      <c r="F79" s="27"/>
      <c r="G79" s="25"/>
      <c r="H79" s="25">
        <f t="shared" si="4"/>
        <v>0</v>
      </c>
      <c r="I79" s="25"/>
      <c r="J79" s="28"/>
      <c r="K79" s="27"/>
      <c r="L79" s="27"/>
      <c r="M79" s="27"/>
      <c r="N79" s="27"/>
      <c r="O79" s="27"/>
      <c r="P79" s="25"/>
      <c r="Q79" s="25">
        <f t="shared" si="3"/>
        <v>0</v>
      </c>
    </row>
    <row r="80" spans="1:17" x14ac:dyDescent="0.25">
      <c r="A80" s="24"/>
      <c r="B80" s="27"/>
      <c r="C80" s="27"/>
      <c r="D80" s="27"/>
      <c r="E80" s="27"/>
      <c r="F80" s="27"/>
      <c r="G80" s="25"/>
      <c r="H80" s="25">
        <f t="shared" si="4"/>
        <v>0</v>
      </c>
      <c r="I80" s="25"/>
      <c r="J80" s="28"/>
      <c r="K80" s="27"/>
      <c r="L80" s="27"/>
      <c r="M80" s="27"/>
      <c r="N80" s="27"/>
      <c r="O80" s="27"/>
      <c r="P80" s="25"/>
      <c r="Q80" s="25">
        <f t="shared" si="3"/>
        <v>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4"/>
        <v>0</v>
      </c>
      <c r="I81" s="30"/>
      <c r="J81" s="28"/>
      <c r="K81" s="27"/>
      <c r="L81" s="27"/>
      <c r="M81" s="27"/>
      <c r="N81" s="27"/>
      <c r="O81" s="27"/>
      <c r="P81" s="25"/>
      <c r="Q81" s="25">
        <f t="shared" si="3"/>
        <v>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4"/>
        <v>0</v>
      </c>
      <c r="I82" s="30"/>
      <c r="J82" s="28"/>
      <c r="K82" s="27"/>
      <c r="L82" s="27"/>
      <c r="M82" s="27"/>
      <c r="N82" s="27"/>
      <c r="O82" s="27"/>
      <c r="P82" s="25"/>
      <c r="Q82" s="25">
        <f t="shared" si="3"/>
        <v>0</v>
      </c>
    </row>
    <row r="83" spans="1:17" x14ac:dyDescent="0.25">
      <c r="A83" s="24"/>
      <c r="B83" s="27"/>
      <c r="C83" s="27"/>
      <c r="D83" s="27"/>
      <c r="E83" s="27"/>
      <c r="F83" s="27"/>
      <c r="G83" s="25"/>
      <c r="H83" s="25">
        <f t="shared" si="4"/>
        <v>0</v>
      </c>
      <c r="I83" s="30"/>
      <c r="J83" s="28"/>
      <c r="K83" s="27"/>
      <c r="L83" s="27"/>
      <c r="M83" s="27"/>
      <c r="N83" s="27"/>
      <c r="O83" s="27"/>
      <c r="P83" s="25"/>
      <c r="Q83" s="25">
        <f t="shared" si="3"/>
        <v>0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4"/>
        <v>0</v>
      </c>
      <c r="I84" s="30"/>
      <c r="J84" s="24"/>
      <c r="K84" s="27"/>
      <c r="L84" s="27"/>
      <c r="M84" s="27"/>
      <c r="N84" s="27"/>
      <c r="O84" s="27"/>
      <c r="P84" s="25"/>
      <c r="Q84" s="25">
        <f t="shared" si="3"/>
        <v>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4"/>
        <v>0</v>
      </c>
      <c r="I85" s="30"/>
      <c r="J85" s="24"/>
      <c r="K85" s="27"/>
      <c r="L85" s="27"/>
      <c r="M85" s="27"/>
      <c r="N85" s="27"/>
      <c r="O85" s="27"/>
      <c r="P85" s="25"/>
      <c r="Q85" s="25">
        <f t="shared" si="3"/>
        <v>0</v>
      </c>
    </row>
    <row r="86" spans="1:17" x14ac:dyDescent="0.25">
      <c r="A86" s="24"/>
      <c r="B86" s="27">
        <f>SUM(B3:B85)</f>
        <v>10000</v>
      </c>
      <c r="C86" s="27">
        <f t="shared" ref="C86:F86" si="5">SUM(C3:C85)</f>
        <v>0</v>
      </c>
      <c r="D86" s="27">
        <f t="shared" si="5"/>
        <v>0</v>
      </c>
      <c r="E86" s="27">
        <f t="shared" si="5"/>
        <v>0</v>
      </c>
      <c r="F86" s="27">
        <f t="shared" si="5"/>
        <v>0</v>
      </c>
      <c r="G86" s="25"/>
      <c r="H86" s="25"/>
      <c r="I86" s="30"/>
      <c r="J86" s="24"/>
      <c r="K86" s="27">
        <f>SUM(K3:K85)</f>
        <v>1000</v>
      </c>
      <c r="L86" s="27">
        <f t="shared" ref="L86:O86" si="6">SUM(L3:L85)</f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5"/>
      <c r="Q86" s="2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8"/>
  <sheetViews>
    <sheetView workbookViewId="0">
      <pane ySplit="1" topLeftCell="A91" activePane="bottomLeft" state="frozen"/>
      <selection pane="bottomLeft" activeCell="P118" sqref="P118"/>
    </sheetView>
  </sheetViews>
  <sheetFormatPr defaultColWidth="8.85546875" defaultRowHeight="15.75" x14ac:dyDescent="0.25"/>
  <cols>
    <col min="1" max="3" width="11.140625" style="26" customWidth="1"/>
    <col min="4" max="4" width="9.28515625" style="26" customWidth="1"/>
    <col min="5" max="6" width="4.85546875" style="26" hidden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20" width="14.42578125" style="26" bestFit="1" customWidth="1"/>
    <col min="21" max="21" width="11.5703125" style="26" bestFit="1" customWidth="1"/>
    <col min="22" max="16384" width="8.85546875" style="26"/>
  </cols>
  <sheetData>
    <row r="1" spans="1:27" s="60" customFormat="1" ht="57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157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20</v>
      </c>
      <c r="B2" s="24"/>
      <c r="C2" s="24"/>
      <c r="D2" s="24"/>
      <c r="E2" s="24"/>
      <c r="F2" s="24"/>
      <c r="G2" s="25"/>
      <c r="H2" s="25"/>
      <c r="I2" s="30"/>
      <c r="J2" s="23" t="s">
        <v>20</v>
      </c>
      <c r="K2" s="24"/>
      <c r="L2" s="24"/>
      <c r="M2" s="24"/>
      <c r="N2" s="24"/>
      <c r="O2" s="24"/>
      <c r="P2" s="25"/>
      <c r="Q2" s="25"/>
      <c r="R2" s="31"/>
      <c r="S2" s="27">
        <f>0+B118-K118</f>
        <v>0</v>
      </c>
      <c r="T2" s="27">
        <f>0+C118-L118</f>
        <v>-75</v>
      </c>
      <c r="U2" s="27">
        <f>0+D118-M118</f>
        <v>0</v>
      </c>
      <c r="V2" s="27"/>
      <c r="W2" s="27"/>
      <c r="X2" s="31"/>
      <c r="Y2" s="31"/>
      <c r="Z2" s="31"/>
      <c r="AA2" s="31"/>
    </row>
    <row r="3" spans="1:27" x14ac:dyDescent="0.25">
      <c r="A3" s="28">
        <v>45508</v>
      </c>
      <c r="B3" s="27">
        <v>9920</v>
      </c>
      <c r="C3" s="27"/>
      <c r="D3" s="27"/>
      <c r="E3" s="27"/>
      <c r="F3" s="27"/>
      <c r="G3" s="25">
        <v>157.71600000000001</v>
      </c>
      <c r="H3" s="25">
        <f>B3*G3</f>
        <v>1564542.72</v>
      </c>
      <c r="I3" s="30"/>
      <c r="J3" s="28"/>
      <c r="K3" s="27"/>
      <c r="L3" s="27"/>
      <c r="M3" s="27"/>
      <c r="N3" s="27"/>
      <c r="O3" s="27"/>
      <c r="P3" s="25"/>
      <c r="Q3" s="25"/>
      <c r="S3" s="25">
        <v>171.99600000000001</v>
      </c>
      <c r="T3" s="195">
        <v>152.5</v>
      </c>
      <c r="U3" s="195">
        <v>207.79599999999999</v>
      </c>
      <c r="V3" s="195"/>
      <c r="W3" s="195"/>
      <c r="X3" s="29"/>
      <c r="Y3" s="29"/>
      <c r="Z3" s="29"/>
    </row>
    <row r="4" spans="1:27" x14ac:dyDescent="0.25">
      <c r="A4" s="24"/>
      <c r="B4" s="27"/>
      <c r="C4" s="27"/>
      <c r="D4" s="27"/>
      <c r="E4" s="27"/>
      <c r="F4" s="27"/>
      <c r="G4" s="25"/>
      <c r="H4" s="25">
        <f t="shared" ref="H4:H42" si="0">B4*G4</f>
        <v>0</v>
      </c>
      <c r="I4" s="30"/>
      <c r="J4" s="115">
        <v>45512</v>
      </c>
      <c r="K4" s="27">
        <v>30</v>
      </c>
      <c r="L4" s="27"/>
      <c r="M4" s="27"/>
      <c r="N4" s="27"/>
      <c r="O4" s="27"/>
      <c r="P4" s="25">
        <v>157.71600000000001</v>
      </c>
      <c r="Q4" s="25">
        <f>K4*P4</f>
        <v>4731.4800000000005</v>
      </c>
      <c r="S4" s="130">
        <f>S2*S3</f>
        <v>0</v>
      </c>
      <c r="T4" s="130">
        <f t="shared" ref="T4:U4" si="1">T2*T3</f>
        <v>-11437.5</v>
      </c>
      <c r="U4" s="130">
        <f t="shared" si="1"/>
        <v>0</v>
      </c>
      <c r="V4" s="25"/>
      <c r="W4" s="25"/>
      <c r="X4" s="29"/>
      <c r="Y4" s="29"/>
      <c r="Z4" s="29"/>
    </row>
    <row r="5" spans="1:27" x14ac:dyDescent="0.25">
      <c r="A5" s="24"/>
      <c r="B5" s="27"/>
      <c r="C5" s="27"/>
      <c r="D5" s="27"/>
      <c r="E5" s="27"/>
      <c r="F5" s="27"/>
      <c r="G5" s="25"/>
      <c r="H5" s="25">
        <f t="shared" si="0"/>
        <v>0</v>
      </c>
      <c r="I5" s="30"/>
      <c r="J5" s="28">
        <v>45535</v>
      </c>
      <c r="K5" s="27">
        <v>35</v>
      </c>
      <c r="L5" s="27"/>
      <c r="M5" s="27"/>
      <c r="N5" s="27"/>
      <c r="O5" s="27"/>
      <c r="P5" s="25">
        <v>157.71600000000001</v>
      </c>
      <c r="Q5" s="25">
        <f>K5*P5</f>
        <v>5520.06</v>
      </c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30"/>
      <c r="J6" s="28">
        <v>45545</v>
      </c>
      <c r="K6" s="27">
        <v>3</v>
      </c>
      <c r="L6" s="27"/>
      <c r="M6" s="27"/>
      <c r="N6" s="27"/>
      <c r="O6" s="27"/>
      <c r="P6" s="25">
        <v>157.71600000000001</v>
      </c>
      <c r="Q6" s="25">
        <f t="shared" ref="Q6:Q42" si="2">K6*P6</f>
        <v>473.14800000000002</v>
      </c>
    </row>
    <row r="7" spans="1:27" x14ac:dyDescent="0.25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30"/>
      <c r="J7" s="28">
        <v>45551</v>
      </c>
      <c r="K7" s="27">
        <v>5</v>
      </c>
      <c r="L7" s="27"/>
      <c r="M7" s="27"/>
      <c r="N7" s="27"/>
      <c r="O7" s="27"/>
      <c r="P7" s="25">
        <v>157.71600000000001</v>
      </c>
      <c r="Q7" s="25">
        <f t="shared" si="2"/>
        <v>788.58</v>
      </c>
    </row>
    <row r="8" spans="1:27" x14ac:dyDescent="0.25">
      <c r="A8" s="24"/>
      <c r="B8" s="27"/>
      <c r="C8" s="27"/>
      <c r="D8" s="27"/>
      <c r="E8" s="27"/>
      <c r="F8" s="27"/>
      <c r="G8" s="25"/>
      <c r="H8" s="25">
        <f t="shared" si="0"/>
        <v>0</v>
      </c>
      <c r="I8" s="30"/>
      <c r="J8" s="28">
        <v>45558</v>
      </c>
      <c r="K8" s="27">
        <v>36</v>
      </c>
      <c r="L8" s="27"/>
      <c r="M8" s="27"/>
      <c r="N8" s="27"/>
      <c r="O8" s="27"/>
      <c r="P8" s="25">
        <v>157.71600000000001</v>
      </c>
      <c r="Q8" s="25">
        <f t="shared" si="2"/>
        <v>5677.7759999999998</v>
      </c>
    </row>
    <row r="9" spans="1:27" x14ac:dyDescent="0.25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30"/>
      <c r="J9" s="28">
        <v>45560</v>
      </c>
      <c r="K9" s="27">
        <v>36</v>
      </c>
      <c r="L9" s="27"/>
      <c r="M9" s="27"/>
      <c r="N9" s="27"/>
      <c r="O9" s="27"/>
      <c r="P9" s="25">
        <v>157.71600000000001</v>
      </c>
      <c r="Q9" s="25">
        <f t="shared" si="2"/>
        <v>5677.7759999999998</v>
      </c>
    </row>
    <row r="10" spans="1:27" ht="16.5" thickBot="1" x14ac:dyDescent="0.3">
      <c r="A10" s="123"/>
      <c r="B10" s="124"/>
      <c r="C10" s="124"/>
      <c r="D10" s="124"/>
      <c r="E10" s="124"/>
      <c r="F10" s="124"/>
      <c r="G10" s="125"/>
      <c r="H10" s="25">
        <f t="shared" si="0"/>
        <v>0</v>
      </c>
      <c r="I10" s="126"/>
      <c r="J10" s="127">
        <v>45561</v>
      </c>
      <c r="K10" s="124">
        <v>17</v>
      </c>
      <c r="L10" s="124"/>
      <c r="M10" s="124"/>
      <c r="N10" s="124"/>
      <c r="O10" s="124"/>
      <c r="P10" s="125">
        <v>157.71600000000001</v>
      </c>
      <c r="Q10" s="125">
        <f t="shared" si="2"/>
        <v>2681.172</v>
      </c>
    </row>
    <row r="11" spans="1:27" x14ac:dyDescent="0.25">
      <c r="A11" s="118"/>
      <c r="B11" s="119"/>
      <c r="C11" s="119"/>
      <c r="D11" s="119"/>
      <c r="E11" s="119"/>
      <c r="F11" s="119"/>
      <c r="G11" s="120"/>
      <c r="H11" s="25">
        <f t="shared" si="0"/>
        <v>0</v>
      </c>
      <c r="I11" s="121"/>
      <c r="J11" s="122">
        <v>45566</v>
      </c>
      <c r="K11" s="119">
        <v>1</v>
      </c>
      <c r="L11" s="119"/>
      <c r="M11" s="119"/>
      <c r="N11" s="119"/>
      <c r="O11" s="119"/>
      <c r="P11" s="120">
        <v>157.71600000000001</v>
      </c>
      <c r="Q11" s="120">
        <f t="shared" si="2"/>
        <v>157.71600000000001</v>
      </c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30"/>
      <c r="J12" s="28">
        <v>45567</v>
      </c>
      <c r="K12" s="27">
        <v>75</v>
      </c>
      <c r="L12" s="27"/>
      <c r="M12" s="27"/>
      <c r="N12" s="27"/>
      <c r="O12" s="27"/>
      <c r="P12" s="25">
        <v>157.71600000000001</v>
      </c>
      <c r="Q12" s="25">
        <f t="shared" si="2"/>
        <v>11828.7</v>
      </c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30"/>
      <c r="J13" s="28">
        <v>45568</v>
      </c>
      <c r="K13" s="27">
        <v>150</v>
      </c>
      <c r="L13" s="27"/>
      <c r="M13" s="27"/>
      <c r="N13" s="27"/>
      <c r="O13" s="27"/>
      <c r="P13" s="25">
        <v>157.71600000000001</v>
      </c>
      <c r="Q13" s="25">
        <f t="shared" si="2"/>
        <v>23657.4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30"/>
      <c r="J14" s="28">
        <v>45569</v>
      </c>
      <c r="K14" s="27">
        <v>107</v>
      </c>
      <c r="L14" s="27"/>
      <c r="M14" s="27"/>
      <c r="N14" s="27"/>
      <c r="O14" s="27"/>
      <c r="P14" s="25">
        <v>157.71600000000001</v>
      </c>
      <c r="Q14" s="25">
        <f t="shared" si="2"/>
        <v>16875.612000000001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30"/>
      <c r="J15" s="28">
        <v>45572</v>
      </c>
      <c r="K15" s="27">
        <v>375</v>
      </c>
      <c r="L15" s="27"/>
      <c r="M15" s="27"/>
      <c r="N15" s="27"/>
      <c r="O15" s="27"/>
      <c r="P15" s="25">
        <v>157.71600000000001</v>
      </c>
      <c r="Q15" s="25">
        <f t="shared" si="2"/>
        <v>59143.5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30"/>
      <c r="J16" s="28">
        <v>45580</v>
      </c>
      <c r="K16" s="27">
        <v>100</v>
      </c>
      <c r="L16" s="27"/>
      <c r="M16" s="27"/>
      <c r="N16" s="27"/>
      <c r="O16" s="27"/>
      <c r="P16" s="25">
        <v>157.71600000000001</v>
      </c>
      <c r="Q16" s="25">
        <f t="shared" si="2"/>
        <v>15771.6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30"/>
      <c r="J17" s="28">
        <v>45581</v>
      </c>
      <c r="K17" s="27">
        <v>250</v>
      </c>
      <c r="L17" s="27"/>
      <c r="M17" s="27"/>
      <c r="N17" s="27"/>
      <c r="O17" s="27"/>
      <c r="P17" s="25">
        <v>157.71600000000001</v>
      </c>
      <c r="Q17" s="25">
        <f t="shared" si="2"/>
        <v>39429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30"/>
      <c r="J18" s="28">
        <v>45582</v>
      </c>
      <c r="K18" s="27">
        <v>300</v>
      </c>
      <c r="L18" s="27"/>
      <c r="M18" s="27"/>
      <c r="N18" s="27"/>
      <c r="O18" s="27"/>
      <c r="P18" s="25">
        <v>157.71600000000001</v>
      </c>
      <c r="Q18" s="25">
        <f t="shared" si="2"/>
        <v>47314.8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30"/>
      <c r="J19" s="28">
        <v>45583</v>
      </c>
      <c r="K19" s="27">
        <v>100</v>
      </c>
      <c r="L19" s="27"/>
      <c r="M19" s="27"/>
      <c r="N19" s="27"/>
      <c r="O19" s="27"/>
      <c r="P19" s="25">
        <v>157.71600000000001</v>
      </c>
      <c r="Q19" s="25">
        <f t="shared" si="2"/>
        <v>15771.6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30"/>
      <c r="J20" s="28">
        <v>45584</v>
      </c>
      <c r="K20" s="27">
        <v>25</v>
      </c>
      <c r="L20" s="27"/>
      <c r="M20" s="27"/>
      <c r="N20" s="27"/>
      <c r="O20" s="27"/>
      <c r="P20" s="25">
        <v>157.71600000000001</v>
      </c>
      <c r="Q20" s="25">
        <f t="shared" si="2"/>
        <v>3942.9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30"/>
      <c r="J21" s="28">
        <v>45587</v>
      </c>
      <c r="K21" s="27">
        <v>35</v>
      </c>
      <c r="L21" s="27"/>
      <c r="M21" s="27"/>
      <c r="N21" s="27"/>
      <c r="O21" s="27"/>
      <c r="P21" s="25">
        <v>157.71600000000001</v>
      </c>
      <c r="Q21" s="25">
        <f t="shared" si="2"/>
        <v>5520.06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30"/>
      <c r="J22" s="28">
        <v>45589</v>
      </c>
      <c r="K22" s="27">
        <v>200</v>
      </c>
      <c r="L22" s="27"/>
      <c r="M22" s="27"/>
      <c r="N22" s="27"/>
      <c r="O22" s="27"/>
      <c r="P22" s="25">
        <v>157.71600000000001</v>
      </c>
      <c r="Q22" s="25">
        <f t="shared" si="2"/>
        <v>31543.200000000001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30"/>
      <c r="J23" s="28">
        <v>45593</v>
      </c>
      <c r="K23" s="27">
        <v>300</v>
      </c>
      <c r="L23" s="27"/>
      <c r="M23" s="27"/>
      <c r="N23" s="27"/>
      <c r="O23" s="27"/>
      <c r="P23" s="25">
        <v>157.71600000000001</v>
      </c>
      <c r="Q23" s="25">
        <f t="shared" si="2"/>
        <v>47314.8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30"/>
      <c r="J24" s="28">
        <v>45594</v>
      </c>
      <c r="K24" s="27">
        <v>340</v>
      </c>
      <c r="L24" s="27"/>
      <c r="M24" s="27"/>
      <c r="N24" s="27"/>
      <c r="O24" s="27"/>
      <c r="P24" s="25">
        <v>157.71600000000001</v>
      </c>
      <c r="Q24" s="25">
        <f t="shared" si="2"/>
        <v>53623.44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30"/>
      <c r="J25" s="28">
        <v>45595</v>
      </c>
      <c r="K25" s="27">
        <v>300</v>
      </c>
      <c r="L25" s="27"/>
      <c r="M25" s="27"/>
      <c r="N25" s="27"/>
      <c r="O25" s="27"/>
      <c r="P25" s="25">
        <v>157.71600000000001</v>
      </c>
      <c r="Q25" s="25">
        <f t="shared" si="2"/>
        <v>47314.8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30"/>
      <c r="J26" s="28">
        <v>45596</v>
      </c>
      <c r="K26" s="27">
        <v>675</v>
      </c>
      <c r="L26" s="27"/>
      <c r="M26" s="27"/>
      <c r="N26" s="27"/>
      <c r="O26" s="27"/>
      <c r="P26" s="25">
        <v>157.71600000000001</v>
      </c>
      <c r="Q26" s="25">
        <f t="shared" si="2"/>
        <v>106458.3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30"/>
      <c r="J27" s="28">
        <v>45597</v>
      </c>
      <c r="K27" s="27">
        <v>700</v>
      </c>
      <c r="L27" s="27"/>
      <c r="M27" s="27"/>
      <c r="N27" s="27"/>
      <c r="O27" s="27"/>
      <c r="P27" s="25">
        <v>157.71600000000001</v>
      </c>
      <c r="Q27" s="25">
        <f t="shared" si="2"/>
        <v>110401.20000000001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30"/>
      <c r="J28" s="28">
        <v>45630</v>
      </c>
      <c r="K28" s="27">
        <v>250</v>
      </c>
      <c r="L28" s="27"/>
      <c r="M28" s="27"/>
      <c r="N28" s="27"/>
      <c r="O28" s="27"/>
      <c r="P28" s="25">
        <v>157.71600000000001</v>
      </c>
      <c r="Q28" s="25">
        <f t="shared" si="2"/>
        <v>39429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30"/>
      <c r="J29" s="28">
        <v>45631</v>
      </c>
      <c r="K29" s="27">
        <v>100</v>
      </c>
      <c r="L29" s="27"/>
      <c r="M29" s="27"/>
      <c r="N29" s="27"/>
      <c r="O29" s="27"/>
      <c r="P29" s="25">
        <v>157.71600000000001</v>
      </c>
      <c r="Q29" s="25">
        <f t="shared" si="2"/>
        <v>15771.6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30"/>
      <c r="J30" s="28">
        <v>45632</v>
      </c>
      <c r="K30" s="27">
        <v>200</v>
      </c>
      <c r="L30" s="27"/>
      <c r="M30" s="27"/>
      <c r="N30" s="27"/>
      <c r="O30" s="27"/>
      <c r="P30" s="25">
        <v>157.71600000000001</v>
      </c>
      <c r="Q30" s="25">
        <f t="shared" si="2"/>
        <v>31543.200000000001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30"/>
      <c r="J31" s="28">
        <v>45635</v>
      </c>
      <c r="K31" s="27">
        <v>75</v>
      </c>
      <c r="L31" s="27"/>
      <c r="M31" s="27"/>
      <c r="N31" s="27"/>
      <c r="O31" s="27"/>
      <c r="P31" s="25">
        <v>157.71600000000001</v>
      </c>
      <c r="Q31" s="25">
        <f t="shared" si="2"/>
        <v>11828.7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30"/>
      <c r="J32" s="28">
        <v>45636</v>
      </c>
      <c r="K32" s="27">
        <v>325</v>
      </c>
      <c r="L32" s="27"/>
      <c r="M32" s="27"/>
      <c r="N32" s="27"/>
      <c r="O32" s="27"/>
      <c r="P32" s="25">
        <v>157.71600000000001</v>
      </c>
      <c r="Q32" s="25">
        <f t="shared" si="2"/>
        <v>51257.700000000004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30"/>
      <c r="J33" s="28">
        <v>45637</v>
      </c>
      <c r="K33" s="27">
        <v>225</v>
      </c>
      <c r="L33" s="27"/>
      <c r="M33" s="27"/>
      <c r="N33" s="27"/>
      <c r="O33" s="27"/>
      <c r="P33" s="25">
        <v>157.71600000000001</v>
      </c>
      <c r="Q33" s="25">
        <f t="shared" si="2"/>
        <v>35486.1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30"/>
      <c r="J34" s="28">
        <v>45638</v>
      </c>
      <c r="K34" s="27">
        <v>175</v>
      </c>
      <c r="L34" s="27"/>
      <c r="M34" s="27"/>
      <c r="N34" s="27"/>
      <c r="O34" s="27"/>
      <c r="P34" s="25">
        <v>157.71600000000001</v>
      </c>
      <c r="Q34" s="25">
        <f t="shared" si="2"/>
        <v>27600.300000000003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30"/>
      <c r="J35" s="28">
        <v>45639</v>
      </c>
      <c r="K35" s="27">
        <v>400</v>
      </c>
      <c r="L35" s="27"/>
      <c r="M35" s="27"/>
      <c r="N35" s="27"/>
      <c r="O35" s="27"/>
      <c r="P35" s="25">
        <v>157.71600000000001</v>
      </c>
      <c r="Q35" s="25">
        <f t="shared" si="2"/>
        <v>63086.400000000001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30"/>
      <c r="J36" s="28">
        <v>45642</v>
      </c>
      <c r="K36" s="27">
        <v>100</v>
      </c>
      <c r="L36" s="27"/>
      <c r="M36" s="27"/>
      <c r="N36" s="27"/>
      <c r="O36" s="27"/>
      <c r="P36" s="25">
        <v>157.71600000000001</v>
      </c>
      <c r="Q36" s="25">
        <f t="shared" si="2"/>
        <v>15771.6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30"/>
      <c r="J37" s="28">
        <v>45643</v>
      </c>
      <c r="K37" s="27">
        <v>200</v>
      </c>
      <c r="L37" s="27"/>
      <c r="M37" s="27"/>
      <c r="N37" s="27"/>
      <c r="O37" s="27"/>
      <c r="P37" s="25">
        <v>157.71600000000001</v>
      </c>
      <c r="Q37" s="25">
        <f t="shared" si="2"/>
        <v>31543.200000000001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30"/>
      <c r="J38" s="28">
        <v>45644</v>
      </c>
      <c r="K38" s="27">
        <v>175</v>
      </c>
      <c r="L38" s="27"/>
      <c r="M38" s="27"/>
      <c r="N38" s="27"/>
      <c r="O38" s="27"/>
      <c r="P38" s="25">
        <v>157.71600000000001</v>
      </c>
      <c r="Q38" s="25">
        <f t="shared" si="2"/>
        <v>27600.300000000003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30"/>
      <c r="J39" s="28">
        <v>45645</v>
      </c>
      <c r="K39" s="27">
        <v>150</v>
      </c>
      <c r="L39" s="27"/>
      <c r="M39" s="27"/>
      <c r="N39" s="27"/>
      <c r="O39" s="27"/>
      <c r="P39" s="25">
        <v>157.71600000000001</v>
      </c>
      <c r="Q39" s="25">
        <f t="shared" si="2"/>
        <v>23657.4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30"/>
      <c r="J40" s="28">
        <v>46014</v>
      </c>
      <c r="K40" s="27">
        <v>200</v>
      </c>
      <c r="L40" s="27"/>
      <c r="M40" s="27"/>
      <c r="N40" s="27"/>
      <c r="O40" s="27"/>
      <c r="P40" s="25">
        <v>157.71600000000001</v>
      </c>
      <c r="Q40" s="25">
        <f t="shared" si="2"/>
        <v>31543.200000000001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30"/>
      <c r="J41" s="28">
        <v>46015</v>
      </c>
      <c r="K41" s="27">
        <v>250</v>
      </c>
      <c r="L41" s="27"/>
      <c r="M41" s="27"/>
      <c r="N41" s="27"/>
      <c r="O41" s="27"/>
      <c r="P41" s="25">
        <v>157.71600000000001</v>
      </c>
      <c r="Q41" s="25">
        <f t="shared" si="2"/>
        <v>39429</v>
      </c>
    </row>
    <row r="42" spans="1:17" x14ac:dyDescent="0.25">
      <c r="A42" s="166" t="s">
        <v>108</v>
      </c>
      <c r="B42" s="167"/>
      <c r="C42" s="167"/>
      <c r="D42" s="167"/>
      <c r="E42" s="167"/>
      <c r="F42" s="167"/>
      <c r="G42" s="168"/>
      <c r="H42" s="168">
        <f t="shared" si="0"/>
        <v>0</v>
      </c>
      <c r="I42" s="168"/>
      <c r="J42" s="166" t="s">
        <v>108</v>
      </c>
      <c r="K42" s="167"/>
      <c r="L42" s="167"/>
      <c r="M42" s="167"/>
      <c r="N42" s="167"/>
      <c r="O42" s="167"/>
      <c r="P42" s="168"/>
      <c r="Q42" s="168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>B43*G43+C43*G43+D43*G43+E43*G43+F43*G43</f>
        <v>0</v>
      </c>
      <c r="I43" s="30"/>
      <c r="J43" s="28">
        <v>45666</v>
      </c>
      <c r="K43" s="27">
        <v>550</v>
      </c>
      <c r="L43" s="27"/>
      <c r="M43" s="27"/>
      <c r="N43" s="27"/>
      <c r="O43" s="27"/>
      <c r="P43" s="25">
        <v>157.71600000000001</v>
      </c>
      <c r="Q43" s="25">
        <f>K43*P43+L43*P43+M43*P43+N43*P43+O43*P43</f>
        <v>86743.8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ref="H44:H117" si="3">B44*G44+C44*G44+D44*G44+E44*G44+F44*G44</f>
        <v>0</v>
      </c>
      <c r="I44" s="30"/>
      <c r="J44" s="28">
        <v>45667</v>
      </c>
      <c r="K44" s="27">
        <v>175</v>
      </c>
      <c r="L44" s="27"/>
      <c r="M44" s="27"/>
      <c r="N44" s="27"/>
      <c r="O44" s="27"/>
      <c r="P44" s="25">
        <v>157.71600000000001</v>
      </c>
      <c r="Q44" s="25">
        <f t="shared" ref="Q44:Q117" si="4">K44*P44+L44*P44+M44*P44+N44*P44+O44*P44</f>
        <v>27600.300000000003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3"/>
        <v>0</v>
      </c>
      <c r="I45" s="30"/>
      <c r="J45" s="28">
        <v>45671</v>
      </c>
      <c r="K45" s="27">
        <v>75</v>
      </c>
      <c r="L45" s="27"/>
      <c r="M45" s="27"/>
      <c r="N45" s="27"/>
      <c r="O45" s="27"/>
      <c r="P45" s="25">
        <v>157.71600000000001</v>
      </c>
      <c r="Q45" s="25">
        <f t="shared" si="4"/>
        <v>11828.7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3"/>
        <v>0</v>
      </c>
      <c r="I46" s="30"/>
      <c r="J46" s="28">
        <v>45672</v>
      </c>
      <c r="K46" s="27">
        <v>300</v>
      </c>
      <c r="L46" s="27"/>
      <c r="M46" s="27"/>
      <c r="N46" s="27"/>
      <c r="O46" s="27"/>
      <c r="P46" s="25">
        <v>157.71600000000001</v>
      </c>
      <c r="Q46" s="25">
        <f t="shared" si="4"/>
        <v>47314.8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3"/>
        <v>0</v>
      </c>
      <c r="I47" s="30"/>
      <c r="J47" s="28">
        <v>45673</v>
      </c>
      <c r="K47" s="27">
        <v>675</v>
      </c>
      <c r="L47" s="27"/>
      <c r="M47" s="27"/>
      <c r="N47" s="27"/>
      <c r="O47" s="27"/>
      <c r="P47" s="25">
        <v>157.71600000000001</v>
      </c>
      <c r="Q47" s="25">
        <f t="shared" si="4"/>
        <v>106458.3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3"/>
        <v>0</v>
      </c>
      <c r="I48" s="30"/>
      <c r="J48" s="28">
        <v>45674</v>
      </c>
      <c r="K48" s="27">
        <v>25</v>
      </c>
      <c r="L48" s="27"/>
      <c r="M48" s="27"/>
      <c r="N48" s="27"/>
      <c r="O48" s="27"/>
      <c r="P48" s="25">
        <v>157.71600000000001</v>
      </c>
      <c r="Q48" s="25">
        <f t="shared" si="4"/>
        <v>3942.9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3"/>
        <v>0</v>
      </c>
      <c r="I49" s="30"/>
      <c r="J49" s="28">
        <v>45678</v>
      </c>
      <c r="K49" s="27">
        <v>25</v>
      </c>
      <c r="L49" s="27"/>
      <c r="M49" s="27"/>
      <c r="N49" s="27"/>
      <c r="O49" s="27"/>
      <c r="P49" s="25">
        <v>157.71600000000001</v>
      </c>
      <c r="Q49" s="25">
        <f t="shared" si="4"/>
        <v>3942.9</v>
      </c>
    </row>
    <row r="50" spans="1:17" x14ac:dyDescent="0.25">
      <c r="A50" s="28">
        <v>45680</v>
      </c>
      <c r="B50" s="27"/>
      <c r="C50" s="27">
        <v>9196</v>
      </c>
      <c r="D50" s="27"/>
      <c r="E50" s="27"/>
      <c r="F50" s="27"/>
      <c r="G50" s="25">
        <v>171.99600000000001</v>
      </c>
      <c r="H50" s="25">
        <f t="shared" si="3"/>
        <v>1581675.216</v>
      </c>
      <c r="I50" s="30"/>
      <c r="J50" s="28">
        <v>45680</v>
      </c>
      <c r="K50" s="27">
        <v>150</v>
      </c>
      <c r="L50" s="27"/>
      <c r="M50" s="27"/>
      <c r="N50" s="27"/>
      <c r="O50" s="27"/>
      <c r="P50" s="25">
        <v>157.71600000000001</v>
      </c>
      <c r="Q50" s="25">
        <f t="shared" si="4"/>
        <v>23657.4</v>
      </c>
    </row>
    <row r="51" spans="1:17" x14ac:dyDescent="0.25">
      <c r="A51" s="24"/>
      <c r="B51" s="27"/>
      <c r="C51" s="27"/>
      <c r="D51" s="27">
        <v>50</v>
      </c>
      <c r="E51" s="27"/>
      <c r="F51" s="27"/>
      <c r="G51" s="25">
        <v>208</v>
      </c>
      <c r="H51" s="25">
        <f t="shared" si="3"/>
        <v>10400</v>
      </c>
      <c r="I51" s="30"/>
      <c r="J51" s="28">
        <v>45681</v>
      </c>
      <c r="K51" s="27">
        <v>100</v>
      </c>
      <c r="L51" s="27"/>
      <c r="M51" s="27"/>
      <c r="N51" s="27"/>
      <c r="O51" s="27"/>
      <c r="P51" s="25">
        <v>157.71600000000001</v>
      </c>
      <c r="Q51" s="25">
        <f t="shared" si="4"/>
        <v>15771.6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3"/>
        <v>0</v>
      </c>
      <c r="I52" s="30"/>
      <c r="J52" s="28">
        <v>45684</v>
      </c>
      <c r="K52" s="27">
        <v>350</v>
      </c>
      <c r="L52" s="27"/>
      <c r="M52" s="27"/>
      <c r="N52" s="27"/>
      <c r="O52" s="27"/>
      <c r="P52" s="25">
        <v>157.71600000000001</v>
      </c>
      <c r="Q52" s="25">
        <f t="shared" si="4"/>
        <v>55200.600000000006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3"/>
        <v>0</v>
      </c>
      <c r="I53" s="30"/>
      <c r="J53" s="28">
        <v>45685</v>
      </c>
      <c r="K53" s="27">
        <v>275</v>
      </c>
      <c r="L53" s="27"/>
      <c r="M53" s="27"/>
      <c r="N53" s="27"/>
      <c r="O53" s="27"/>
      <c r="P53" s="25">
        <v>157.71600000000001</v>
      </c>
      <c r="Q53" s="25">
        <f t="shared" si="4"/>
        <v>43371.9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3"/>
        <v>0</v>
      </c>
      <c r="I54" s="30"/>
      <c r="J54" s="28">
        <v>45686</v>
      </c>
      <c r="K54" s="27">
        <v>200</v>
      </c>
      <c r="L54" s="27"/>
      <c r="M54" s="27"/>
      <c r="N54" s="27"/>
      <c r="O54" s="27"/>
      <c r="P54" s="25">
        <v>157.71600000000001</v>
      </c>
      <c r="Q54" s="25">
        <f t="shared" si="4"/>
        <v>31543.200000000001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3"/>
        <v>0</v>
      </c>
      <c r="I55" s="30"/>
      <c r="J55" s="28"/>
      <c r="K55" s="27"/>
      <c r="L55" s="27">
        <v>150</v>
      </c>
      <c r="M55" s="27"/>
      <c r="N55" s="27"/>
      <c r="O55" s="27"/>
      <c r="P55" s="61">
        <v>171.99600000000001</v>
      </c>
      <c r="Q55" s="25">
        <f t="shared" si="4"/>
        <v>25799.4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3"/>
        <v>0</v>
      </c>
      <c r="I56" s="30"/>
      <c r="J56" s="28">
        <v>45687</v>
      </c>
      <c r="K56" s="27"/>
      <c r="L56" s="27">
        <v>300</v>
      </c>
      <c r="M56" s="27"/>
      <c r="N56" s="27"/>
      <c r="O56" s="27"/>
      <c r="P56" s="25">
        <v>171.99600000000001</v>
      </c>
      <c r="Q56" s="25">
        <f t="shared" si="4"/>
        <v>51598.8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3"/>
        <v>0</v>
      </c>
      <c r="I57" s="30"/>
      <c r="J57" s="28">
        <v>45688</v>
      </c>
      <c r="K57" s="27"/>
      <c r="L57" s="27">
        <v>150</v>
      </c>
      <c r="M57" s="27"/>
      <c r="N57" s="27"/>
      <c r="O57" s="27"/>
      <c r="P57" s="25">
        <v>171.99600000000001</v>
      </c>
      <c r="Q57" s="25">
        <f t="shared" si="4"/>
        <v>25799.4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3"/>
        <v>0</v>
      </c>
      <c r="I58" s="30"/>
      <c r="J58" s="28"/>
      <c r="K58" s="27"/>
      <c r="L58" s="27">
        <v>375</v>
      </c>
      <c r="M58" s="27"/>
      <c r="N58" s="27"/>
      <c r="O58" s="27"/>
      <c r="P58" s="25">
        <v>171.99600000000001</v>
      </c>
      <c r="Q58" s="25">
        <f t="shared" si="4"/>
        <v>64498.5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3"/>
        <v>0</v>
      </c>
      <c r="I59" s="30"/>
      <c r="J59" s="169">
        <v>45692</v>
      </c>
      <c r="K59" s="141"/>
      <c r="L59" s="141">
        <v>375</v>
      </c>
      <c r="M59" s="141"/>
      <c r="N59" s="141"/>
      <c r="O59" s="141"/>
      <c r="P59" s="148">
        <v>171.99600000000001</v>
      </c>
      <c r="Q59" s="148">
        <f t="shared" si="4"/>
        <v>64498.5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3"/>
        <v>0</v>
      </c>
      <c r="I60" s="30"/>
      <c r="J60" s="28">
        <v>45693</v>
      </c>
      <c r="K60" s="27"/>
      <c r="L60" s="27">
        <v>225</v>
      </c>
      <c r="M60" s="27"/>
      <c r="N60" s="27"/>
      <c r="O60" s="27"/>
      <c r="P60" s="25">
        <v>171.99600000000001</v>
      </c>
      <c r="Q60" s="25">
        <f t="shared" si="4"/>
        <v>38699.1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3"/>
        <v>0</v>
      </c>
      <c r="I61" s="30"/>
      <c r="J61" s="28">
        <v>45694</v>
      </c>
      <c r="K61" s="27"/>
      <c r="L61" s="27">
        <v>350</v>
      </c>
      <c r="M61" s="27"/>
      <c r="N61" s="27"/>
      <c r="O61" s="27"/>
      <c r="P61" s="25">
        <v>171.99600000000001</v>
      </c>
      <c r="Q61" s="25">
        <f t="shared" si="4"/>
        <v>60198.600000000006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3"/>
        <v>0</v>
      </c>
      <c r="I62" s="30"/>
      <c r="J62" s="28">
        <v>45698</v>
      </c>
      <c r="K62" s="27"/>
      <c r="L62" s="27">
        <v>525</v>
      </c>
      <c r="M62" s="27"/>
      <c r="N62" s="27"/>
      <c r="O62" s="27"/>
      <c r="P62" s="25">
        <v>171.99600000000001</v>
      </c>
      <c r="Q62" s="25">
        <f t="shared" si="4"/>
        <v>90297.900000000009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3"/>
        <v>0</v>
      </c>
      <c r="I63" s="30"/>
      <c r="J63" s="28">
        <v>45699</v>
      </c>
      <c r="K63" s="27"/>
      <c r="L63" s="27">
        <v>500</v>
      </c>
      <c r="M63" s="27"/>
      <c r="N63" s="27"/>
      <c r="O63" s="27"/>
      <c r="P63" s="25">
        <v>171.99600000000001</v>
      </c>
      <c r="Q63" s="25">
        <f t="shared" si="4"/>
        <v>85998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3"/>
        <v>0</v>
      </c>
      <c r="I64" s="30"/>
      <c r="J64" s="28">
        <v>45700</v>
      </c>
      <c r="K64" s="27"/>
      <c r="L64" s="27">
        <v>525</v>
      </c>
      <c r="M64" s="27"/>
      <c r="N64" s="27"/>
      <c r="O64" s="27"/>
      <c r="P64" s="25">
        <v>171.99600000000001</v>
      </c>
      <c r="Q64" s="25">
        <f t="shared" si="4"/>
        <v>90297.900000000009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3"/>
        <v>0</v>
      </c>
      <c r="I65" s="30"/>
      <c r="J65" s="28">
        <v>45701</v>
      </c>
      <c r="K65" s="27"/>
      <c r="L65" s="27">
        <v>375</v>
      </c>
      <c r="M65" s="27"/>
      <c r="N65" s="27"/>
      <c r="O65" s="27"/>
      <c r="P65" s="25">
        <v>171.99600000000001</v>
      </c>
      <c r="Q65" s="25">
        <f t="shared" si="4"/>
        <v>64498.5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3"/>
        <v>0</v>
      </c>
      <c r="I66" s="30"/>
      <c r="J66" s="28">
        <v>45702</v>
      </c>
      <c r="K66" s="27"/>
      <c r="L66" s="27">
        <v>50</v>
      </c>
      <c r="M66" s="27"/>
      <c r="N66" s="27"/>
      <c r="O66" s="27"/>
      <c r="P66" s="25">
        <v>171.99600000000001</v>
      </c>
      <c r="Q66" s="25">
        <f t="shared" si="4"/>
        <v>8599.8000000000011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3"/>
        <v>0</v>
      </c>
      <c r="I67" s="30"/>
      <c r="J67" s="28">
        <v>45705</v>
      </c>
      <c r="K67" s="27"/>
      <c r="L67" s="27">
        <v>300</v>
      </c>
      <c r="M67" s="27"/>
      <c r="N67" s="27"/>
      <c r="O67" s="27"/>
      <c r="P67" s="25">
        <v>171.99600000000001</v>
      </c>
      <c r="Q67" s="25">
        <f t="shared" si="4"/>
        <v>51598.8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si="3"/>
        <v>0</v>
      </c>
      <c r="I68" s="30"/>
      <c r="J68" s="28">
        <v>45706</v>
      </c>
      <c r="K68" s="27"/>
      <c r="L68" s="27">
        <v>400</v>
      </c>
      <c r="M68" s="27"/>
      <c r="N68" s="27"/>
      <c r="O68" s="27"/>
      <c r="P68" s="25">
        <v>171.99600000000001</v>
      </c>
      <c r="Q68" s="25">
        <f t="shared" si="4"/>
        <v>68798.400000000009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3"/>
        <v>0</v>
      </c>
      <c r="I69" s="30"/>
      <c r="J69" s="28">
        <v>45707</v>
      </c>
      <c r="K69" s="27"/>
      <c r="L69" s="27">
        <v>250</v>
      </c>
      <c r="M69" s="27"/>
      <c r="N69" s="27"/>
      <c r="O69" s="27"/>
      <c r="P69" s="25">
        <v>171.99600000000001</v>
      </c>
      <c r="Q69" s="25">
        <f t="shared" si="4"/>
        <v>42999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3"/>
        <v>0</v>
      </c>
      <c r="I70" s="30"/>
      <c r="J70" s="28">
        <v>45708</v>
      </c>
      <c r="K70" s="27"/>
      <c r="L70" s="27">
        <v>375</v>
      </c>
      <c r="M70" s="27"/>
      <c r="N70" s="27"/>
      <c r="O70" s="27"/>
      <c r="P70" s="25">
        <v>171.99600000000001</v>
      </c>
      <c r="Q70" s="25">
        <f t="shared" si="4"/>
        <v>64498.5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3"/>
        <v>0</v>
      </c>
      <c r="I71" s="30"/>
      <c r="J71" s="28">
        <v>45709</v>
      </c>
      <c r="K71" s="27"/>
      <c r="L71" s="27">
        <v>350</v>
      </c>
      <c r="M71" s="27"/>
      <c r="N71" s="27"/>
      <c r="O71" s="27"/>
      <c r="P71" s="25">
        <v>171.99600000000001</v>
      </c>
      <c r="Q71" s="25">
        <f t="shared" si="4"/>
        <v>60198.600000000006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3"/>
        <v>0</v>
      </c>
      <c r="I72" s="30"/>
      <c r="J72" s="28">
        <v>45712</v>
      </c>
      <c r="K72" s="27"/>
      <c r="L72" s="27">
        <v>550</v>
      </c>
      <c r="M72" s="27"/>
      <c r="N72" s="27"/>
      <c r="O72" s="27"/>
      <c r="P72" s="25">
        <v>171.99600000000001</v>
      </c>
      <c r="Q72" s="25">
        <f t="shared" si="4"/>
        <v>94597.8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3"/>
        <v>0</v>
      </c>
      <c r="I73" s="30"/>
      <c r="J73" s="28">
        <v>45713</v>
      </c>
      <c r="K73" s="27"/>
      <c r="L73" s="27">
        <v>700</v>
      </c>
      <c r="M73" s="27"/>
      <c r="N73" s="27"/>
      <c r="O73" s="27"/>
      <c r="P73" s="25">
        <v>171.99600000000001</v>
      </c>
      <c r="Q73" s="25">
        <f t="shared" si="4"/>
        <v>120397.20000000001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3"/>
        <v>0</v>
      </c>
      <c r="I74" s="30"/>
      <c r="J74" s="28">
        <v>45714</v>
      </c>
      <c r="K74" s="27"/>
      <c r="L74" s="27">
        <v>625</v>
      </c>
      <c r="M74" s="27"/>
      <c r="N74" s="27"/>
      <c r="O74" s="27"/>
      <c r="P74" s="25">
        <v>171.99600000000001</v>
      </c>
      <c r="Q74" s="25">
        <f t="shared" si="4"/>
        <v>107497.5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3"/>
        <v>0</v>
      </c>
      <c r="I75" s="30"/>
      <c r="J75" s="28">
        <v>45715</v>
      </c>
      <c r="K75" s="27"/>
      <c r="L75" s="27">
        <v>425</v>
      </c>
      <c r="M75" s="27"/>
      <c r="N75" s="27"/>
      <c r="O75" s="27"/>
      <c r="P75" s="25">
        <v>171.99600000000001</v>
      </c>
      <c r="Q75" s="25">
        <f t="shared" si="4"/>
        <v>73098.3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3"/>
        <v>0</v>
      </c>
      <c r="I76" s="30"/>
      <c r="J76" s="28">
        <v>45716</v>
      </c>
      <c r="K76" s="27"/>
      <c r="L76" s="27">
        <v>600</v>
      </c>
      <c r="M76" s="27"/>
      <c r="N76" s="27"/>
      <c r="O76" s="27"/>
      <c r="P76" s="25">
        <v>171.99600000000001</v>
      </c>
      <c r="Q76" s="25">
        <f t="shared" si="4"/>
        <v>103197.6</v>
      </c>
    </row>
    <row r="77" spans="1:17" ht="16.5" thickBot="1" x14ac:dyDescent="0.3">
      <c r="A77" s="24"/>
      <c r="B77" s="27"/>
      <c r="C77" s="27"/>
      <c r="D77" s="27"/>
      <c r="E77" s="27"/>
      <c r="F77" s="27"/>
      <c r="G77" s="25"/>
      <c r="H77" s="25">
        <f t="shared" si="3"/>
        <v>0</v>
      </c>
      <c r="I77" s="30"/>
      <c r="J77" s="232" t="s">
        <v>135</v>
      </c>
      <c r="K77" s="234"/>
      <c r="L77" s="234"/>
      <c r="M77" s="234"/>
      <c r="N77" s="234"/>
      <c r="O77" s="234"/>
      <c r="P77" s="235"/>
      <c r="Q77" s="235">
        <f t="shared" si="4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3"/>
        <v>0</v>
      </c>
      <c r="I78" s="231"/>
      <c r="J78" s="236">
        <v>45720</v>
      </c>
      <c r="K78" s="237"/>
      <c r="L78" s="237">
        <v>500</v>
      </c>
      <c r="M78" s="237"/>
      <c r="N78" s="237"/>
      <c r="O78" s="237"/>
      <c r="P78" s="238">
        <v>171.99600000000001</v>
      </c>
      <c r="Q78" s="239">
        <f t="shared" si="4"/>
        <v>85998</v>
      </c>
    </row>
    <row r="79" spans="1:17" ht="16.5" thickBot="1" x14ac:dyDescent="0.3">
      <c r="A79" s="24"/>
      <c r="B79" s="27"/>
      <c r="C79" s="27"/>
      <c r="D79" s="27"/>
      <c r="E79" s="27"/>
      <c r="F79" s="27"/>
      <c r="G79" s="25"/>
      <c r="H79" s="25">
        <f t="shared" si="3"/>
        <v>0</v>
      </c>
      <c r="I79" s="231"/>
      <c r="J79" s="242">
        <v>45721</v>
      </c>
      <c r="K79" s="124"/>
      <c r="L79" s="124">
        <v>221</v>
      </c>
      <c r="M79" s="124"/>
      <c r="N79" s="124"/>
      <c r="O79" s="124"/>
      <c r="P79" s="125">
        <v>171.99600000000001</v>
      </c>
      <c r="Q79" s="243">
        <f t="shared" si="4"/>
        <v>38011.116000000002</v>
      </c>
    </row>
    <row r="80" spans="1:17" x14ac:dyDescent="0.25">
      <c r="A80" s="28">
        <v>45726</v>
      </c>
      <c r="B80" s="27"/>
      <c r="C80" s="27">
        <v>10000</v>
      </c>
      <c r="D80" s="27"/>
      <c r="E80" s="27"/>
      <c r="F80" s="27"/>
      <c r="G80" s="25">
        <v>155</v>
      </c>
      <c r="H80" s="25">
        <f t="shared" si="3"/>
        <v>1550000</v>
      </c>
      <c r="I80" s="231"/>
      <c r="J80" s="236">
        <v>45726</v>
      </c>
      <c r="K80" s="237"/>
      <c r="L80" s="237">
        <v>1050</v>
      </c>
      <c r="M80" s="237"/>
      <c r="N80" s="237"/>
      <c r="O80" s="237"/>
      <c r="P80" s="249">
        <v>155</v>
      </c>
      <c r="Q80" s="239">
        <f t="shared" si="4"/>
        <v>162750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3"/>
        <v>0</v>
      </c>
      <c r="I81" s="231"/>
      <c r="J81" s="240">
        <v>45727</v>
      </c>
      <c r="K81" s="27"/>
      <c r="L81" s="27">
        <v>800</v>
      </c>
      <c r="M81" s="27"/>
      <c r="N81" s="27"/>
      <c r="O81" s="27"/>
      <c r="P81" s="25">
        <v>155</v>
      </c>
      <c r="Q81" s="241">
        <f t="shared" si="4"/>
        <v>124000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3"/>
        <v>0</v>
      </c>
      <c r="I82" s="231"/>
      <c r="J82" s="240">
        <v>45729</v>
      </c>
      <c r="K82" s="27"/>
      <c r="L82" s="27">
        <v>750</v>
      </c>
      <c r="M82" s="27"/>
      <c r="N82" s="27"/>
      <c r="O82" s="27"/>
      <c r="P82" s="25">
        <v>155</v>
      </c>
      <c r="Q82" s="241">
        <f t="shared" si="4"/>
        <v>116250</v>
      </c>
    </row>
    <row r="83" spans="1:17" ht="16.5" thickBot="1" x14ac:dyDescent="0.3">
      <c r="A83" s="24"/>
      <c r="B83" s="27"/>
      <c r="C83" s="27"/>
      <c r="D83" s="27"/>
      <c r="E83" s="27"/>
      <c r="F83" s="27"/>
      <c r="G83" s="25"/>
      <c r="H83" s="25">
        <f t="shared" si="3"/>
        <v>0</v>
      </c>
      <c r="I83" s="231"/>
      <c r="J83" s="242">
        <v>45730</v>
      </c>
      <c r="K83" s="124"/>
      <c r="L83" s="124">
        <v>75</v>
      </c>
      <c r="M83" s="124"/>
      <c r="N83" s="124"/>
      <c r="O83" s="124"/>
      <c r="P83" s="125">
        <v>155</v>
      </c>
      <c r="Q83" s="243">
        <f t="shared" si="4"/>
        <v>11625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3"/>
        <v>0</v>
      </c>
      <c r="I84" s="231"/>
      <c r="J84" s="236">
        <v>45733</v>
      </c>
      <c r="K84" s="237"/>
      <c r="L84" s="237">
        <v>1000</v>
      </c>
      <c r="M84" s="237"/>
      <c r="N84" s="237"/>
      <c r="O84" s="237"/>
      <c r="P84" s="238">
        <v>155</v>
      </c>
      <c r="Q84" s="239">
        <f t="shared" si="4"/>
        <v>155000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3"/>
        <v>0</v>
      </c>
      <c r="I85" s="231"/>
      <c r="J85" s="301">
        <v>45734</v>
      </c>
      <c r="K85" s="27"/>
      <c r="L85" s="27">
        <v>425</v>
      </c>
      <c r="M85" s="27"/>
      <c r="N85" s="27"/>
      <c r="O85" s="27"/>
      <c r="P85" s="25">
        <v>155</v>
      </c>
      <c r="Q85" s="241">
        <f t="shared" si="4"/>
        <v>65875</v>
      </c>
    </row>
    <row r="86" spans="1:17" x14ac:dyDescent="0.25">
      <c r="A86" s="24"/>
      <c r="B86" s="27"/>
      <c r="C86" s="27"/>
      <c r="D86" s="27"/>
      <c r="E86" s="27"/>
      <c r="F86" s="27"/>
      <c r="G86" s="25"/>
      <c r="H86" s="25">
        <f t="shared" si="3"/>
        <v>0</v>
      </c>
      <c r="I86" s="231"/>
      <c r="J86" s="240">
        <v>45735</v>
      </c>
      <c r="K86" s="27"/>
      <c r="L86" s="27">
        <v>1400</v>
      </c>
      <c r="M86" s="27"/>
      <c r="N86" s="27"/>
      <c r="O86" s="27"/>
      <c r="P86" s="25">
        <v>155</v>
      </c>
      <c r="Q86" s="241">
        <f t="shared" si="4"/>
        <v>217000</v>
      </c>
    </row>
    <row r="87" spans="1:17" x14ac:dyDescent="0.25">
      <c r="A87" s="24"/>
      <c r="B87" s="27"/>
      <c r="C87" s="27"/>
      <c r="D87" s="27"/>
      <c r="E87" s="27"/>
      <c r="F87" s="27"/>
      <c r="G87" s="25"/>
      <c r="H87" s="25">
        <f t="shared" si="3"/>
        <v>0</v>
      </c>
      <c r="I87" s="231"/>
      <c r="J87" s="240">
        <v>45736</v>
      </c>
      <c r="K87" s="27"/>
      <c r="L87" s="27">
        <v>750</v>
      </c>
      <c r="M87" s="27"/>
      <c r="N87" s="27"/>
      <c r="O87" s="27"/>
      <c r="P87" s="25">
        <v>155</v>
      </c>
      <c r="Q87" s="241">
        <f t="shared" si="4"/>
        <v>116250</v>
      </c>
    </row>
    <row r="88" spans="1:17" x14ac:dyDescent="0.25">
      <c r="A88" s="300" t="s">
        <v>144</v>
      </c>
      <c r="B88" s="167">
        <v>700</v>
      </c>
      <c r="C88" s="27"/>
      <c r="D88" s="27"/>
      <c r="E88" s="27"/>
      <c r="F88" s="27"/>
      <c r="G88" s="25">
        <v>171.99600000000001</v>
      </c>
      <c r="H88" s="25">
        <f t="shared" si="3"/>
        <v>120397.20000000001</v>
      </c>
      <c r="I88" s="231"/>
      <c r="J88" s="240">
        <v>45737</v>
      </c>
      <c r="K88" s="167">
        <v>700</v>
      </c>
      <c r="L88" s="27"/>
      <c r="M88" s="27"/>
      <c r="N88" s="27"/>
      <c r="O88" s="27"/>
      <c r="P88" s="25">
        <v>171.99600000000001</v>
      </c>
      <c r="Q88" s="241">
        <f t="shared" si="4"/>
        <v>120397.20000000001</v>
      </c>
    </row>
    <row r="89" spans="1:17" ht="16.5" thickBot="1" x14ac:dyDescent="0.3">
      <c r="A89" s="24"/>
      <c r="B89" s="27"/>
      <c r="C89" s="27"/>
      <c r="D89" s="27"/>
      <c r="E89" s="27"/>
      <c r="F89" s="27"/>
      <c r="G89" s="25"/>
      <c r="H89" s="25">
        <f t="shared" si="3"/>
        <v>0</v>
      </c>
      <c r="I89" s="231"/>
      <c r="J89" s="242"/>
      <c r="K89" s="124"/>
      <c r="L89" s="124">
        <v>750</v>
      </c>
      <c r="M89" s="124"/>
      <c r="N89" s="124"/>
      <c r="O89" s="124"/>
      <c r="P89" s="125">
        <v>155</v>
      </c>
      <c r="Q89" s="243">
        <f t="shared" si="4"/>
        <v>116250</v>
      </c>
    </row>
    <row r="90" spans="1:17" x14ac:dyDescent="0.25">
      <c r="A90" s="28"/>
      <c r="B90" s="27"/>
      <c r="C90" s="27"/>
      <c r="D90" s="27"/>
      <c r="E90" s="27"/>
      <c r="F90" s="27"/>
      <c r="G90" s="25"/>
      <c r="H90" s="25">
        <f t="shared" si="3"/>
        <v>0</v>
      </c>
      <c r="I90" s="231"/>
      <c r="J90" s="236">
        <v>45740</v>
      </c>
      <c r="K90" s="237"/>
      <c r="L90" s="237">
        <v>50</v>
      </c>
      <c r="M90" s="237"/>
      <c r="N90" s="237"/>
      <c r="O90" s="237"/>
      <c r="P90" s="238">
        <v>155</v>
      </c>
      <c r="Q90" s="239">
        <f t="shared" si="4"/>
        <v>7750</v>
      </c>
    </row>
    <row r="91" spans="1:17" x14ac:dyDescent="0.25">
      <c r="A91" s="24"/>
      <c r="B91" s="27"/>
      <c r="C91" s="27"/>
      <c r="D91" s="27"/>
      <c r="E91" s="27"/>
      <c r="F91" s="27"/>
      <c r="G91" s="25"/>
      <c r="H91" s="25">
        <f t="shared" si="3"/>
        <v>0</v>
      </c>
      <c r="I91" s="231"/>
      <c r="J91" s="240">
        <v>45741</v>
      </c>
      <c r="K91" s="27"/>
      <c r="L91" s="27">
        <v>1050</v>
      </c>
      <c r="M91" s="27"/>
      <c r="N91" s="27"/>
      <c r="O91" s="27"/>
      <c r="P91" s="25">
        <v>155</v>
      </c>
      <c r="Q91" s="241">
        <f t="shared" si="4"/>
        <v>162750</v>
      </c>
    </row>
    <row r="92" spans="1:17" x14ac:dyDescent="0.25">
      <c r="A92" s="28">
        <v>45742</v>
      </c>
      <c r="B92" s="27"/>
      <c r="C92" s="27">
        <v>9900</v>
      </c>
      <c r="D92" s="27"/>
      <c r="E92" s="27"/>
      <c r="F92" s="27"/>
      <c r="G92" s="25">
        <v>155</v>
      </c>
      <c r="H92" s="25">
        <f t="shared" si="3"/>
        <v>1534500</v>
      </c>
      <c r="I92" s="231"/>
      <c r="J92" s="240">
        <v>45742</v>
      </c>
      <c r="K92" s="27"/>
      <c r="L92" s="27">
        <v>750</v>
      </c>
      <c r="M92" s="27"/>
      <c r="N92" s="27"/>
      <c r="O92" s="27"/>
      <c r="P92" s="25">
        <v>155</v>
      </c>
      <c r="Q92" s="241">
        <f t="shared" si="4"/>
        <v>116250</v>
      </c>
    </row>
    <row r="93" spans="1:17" x14ac:dyDescent="0.25">
      <c r="A93" s="24"/>
      <c r="B93" s="27"/>
      <c r="C93" s="27"/>
      <c r="D93" s="27"/>
      <c r="E93" s="27"/>
      <c r="F93" s="27"/>
      <c r="G93" s="25"/>
      <c r="H93" s="25">
        <f t="shared" si="3"/>
        <v>0</v>
      </c>
      <c r="I93" s="231"/>
      <c r="J93" s="240">
        <v>45743</v>
      </c>
      <c r="K93" s="27"/>
      <c r="L93" s="27"/>
      <c r="M93" s="27">
        <v>50</v>
      </c>
      <c r="N93" s="27"/>
      <c r="O93" s="27"/>
      <c r="P93" s="25">
        <v>208</v>
      </c>
      <c r="Q93" s="241">
        <f t="shared" si="4"/>
        <v>10400</v>
      </c>
    </row>
    <row r="94" spans="1:17" x14ac:dyDescent="0.25">
      <c r="A94" s="24"/>
      <c r="B94" s="27"/>
      <c r="C94" s="27"/>
      <c r="D94" s="27"/>
      <c r="E94" s="27"/>
      <c r="F94" s="27"/>
      <c r="G94" s="25"/>
      <c r="H94" s="25">
        <f t="shared" si="3"/>
        <v>0</v>
      </c>
      <c r="I94" s="231"/>
      <c r="J94" s="240">
        <v>45744</v>
      </c>
      <c r="K94" s="27"/>
      <c r="L94" s="27">
        <v>850</v>
      </c>
      <c r="M94" s="27"/>
      <c r="N94" s="27"/>
      <c r="O94" s="27"/>
      <c r="P94" s="25">
        <v>155</v>
      </c>
      <c r="Q94" s="241">
        <f t="shared" si="4"/>
        <v>131750</v>
      </c>
    </row>
    <row r="95" spans="1:17" ht="16.5" thickBot="1" x14ac:dyDescent="0.3">
      <c r="A95" s="24"/>
      <c r="B95" s="27"/>
      <c r="C95" s="27"/>
      <c r="D95" s="27"/>
      <c r="E95" s="27"/>
      <c r="F95" s="27"/>
      <c r="G95" s="25"/>
      <c r="H95" s="25">
        <f t="shared" si="3"/>
        <v>0</v>
      </c>
      <c r="I95" s="321"/>
      <c r="J95" s="242">
        <v>45747</v>
      </c>
      <c r="K95" s="124"/>
      <c r="L95" s="124">
        <v>1000</v>
      </c>
      <c r="M95" s="124"/>
      <c r="N95" s="124"/>
      <c r="O95" s="124"/>
      <c r="P95" s="125">
        <v>155</v>
      </c>
      <c r="Q95" s="243">
        <f t="shared" si="4"/>
        <v>155000</v>
      </c>
    </row>
    <row r="96" spans="1:17" ht="16.5" thickBot="1" x14ac:dyDescent="0.3">
      <c r="A96" s="166"/>
      <c r="B96" s="167"/>
      <c r="C96" s="167"/>
      <c r="D96" s="167"/>
      <c r="E96" s="167"/>
      <c r="F96" s="167"/>
      <c r="G96" s="168"/>
      <c r="H96" s="168">
        <f t="shared" si="3"/>
        <v>0</v>
      </c>
      <c r="I96" s="168"/>
      <c r="J96" s="331" t="s">
        <v>145</v>
      </c>
      <c r="K96" s="333"/>
      <c r="L96" s="333"/>
      <c r="M96" s="333"/>
      <c r="N96" s="333"/>
      <c r="O96" s="333"/>
      <c r="P96" s="327"/>
      <c r="Q96" s="327">
        <f t="shared" si="4"/>
        <v>0</v>
      </c>
    </row>
    <row r="97" spans="1:17" x14ac:dyDescent="0.25">
      <c r="A97" s="24"/>
      <c r="B97" s="27"/>
      <c r="C97" s="27"/>
      <c r="D97" s="27"/>
      <c r="E97" s="27"/>
      <c r="F97" s="27"/>
      <c r="G97" s="25"/>
      <c r="H97" s="25">
        <f t="shared" si="3"/>
        <v>0</v>
      </c>
      <c r="I97" s="231"/>
      <c r="J97" s="236">
        <v>45748</v>
      </c>
      <c r="K97" s="237"/>
      <c r="L97" s="237">
        <v>125</v>
      </c>
      <c r="M97" s="237"/>
      <c r="N97" s="237"/>
      <c r="O97" s="237"/>
      <c r="P97" s="238">
        <v>155</v>
      </c>
      <c r="Q97" s="239">
        <f t="shared" si="4"/>
        <v>19375</v>
      </c>
    </row>
    <row r="98" spans="1:17" x14ac:dyDescent="0.25">
      <c r="A98" s="24"/>
      <c r="B98" s="27"/>
      <c r="C98" s="27"/>
      <c r="D98" s="27"/>
      <c r="E98" s="27"/>
      <c r="F98" s="27"/>
      <c r="G98" s="25"/>
      <c r="H98" s="25">
        <f t="shared" si="3"/>
        <v>0</v>
      </c>
      <c r="I98" s="231"/>
      <c r="J98" s="240">
        <v>45749</v>
      </c>
      <c r="K98" s="27"/>
      <c r="L98" s="27">
        <v>25</v>
      </c>
      <c r="M98" s="27"/>
      <c r="N98" s="27"/>
      <c r="O98" s="27"/>
      <c r="P98" s="25">
        <v>155</v>
      </c>
      <c r="Q98" s="241">
        <f t="shared" si="4"/>
        <v>3875</v>
      </c>
    </row>
    <row r="99" spans="1:17" x14ac:dyDescent="0.25">
      <c r="A99" s="24"/>
      <c r="B99" s="27"/>
      <c r="C99" s="27"/>
      <c r="D99" s="27"/>
      <c r="E99" s="27"/>
      <c r="F99" s="27"/>
      <c r="G99" s="25"/>
      <c r="H99" s="25">
        <f t="shared" si="3"/>
        <v>0</v>
      </c>
      <c r="I99" s="231"/>
      <c r="J99" s="240">
        <v>45750</v>
      </c>
      <c r="K99" s="27"/>
      <c r="L99" s="27">
        <v>875</v>
      </c>
      <c r="M99" s="27"/>
      <c r="N99" s="27"/>
      <c r="O99" s="27"/>
      <c r="P99" s="25">
        <v>155</v>
      </c>
      <c r="Q99" s="241">
        <f t="shared" si="4"/>
        <v>135625</v>
      </c>
    </row>
    <row r="100" spans="1:17" ht="16.5" thickBot="1" x14ac:dyDescent="0.3">
      <c r="A100" s="24"/>
      <c r="B100" s="27"/>
      <c r="C100" s="27"/>
      <c r="D100" s="27"/>
      <c r="E100" s="27"/>
      <c r="F100" s="27"/>
      <c r="G100" s="25"/>
      <c r="H100" s="25">
        <f t="shared" si="3"/>
        <v>0</v>
      </c>
      <c r="I100" s="231"/>
      <c r="J100" s="242">
        <v>45751</v>
      </c>
      <c r="K100" s="124"/>
      <c r="L100" s="124">
        <v>1000</v>
      </c>
      <c r="M100" s="124"/>
      <c r="N100" s="124"/>
      <c r="O100" s="124"/>
      <c r="P100" s="125">
        <v>155</v>
      </c>
      <c r="Q100" s="243">
        <f t="shared" si="4"/>
        <v>155000</v>
      </c>
    </row>
    <row r="101" spans="1:17" x14ac:dyDescent="0.25">
      <c r="A101" s="24"/>
      <c r="B101" s="27"/>
      <c r="C101" s="27"/>
      <c r="D101" s="27"/>
      <c r="E101" s="27"/>
      <c r="F101" s="27"/>
      <c r="G101" s="25"/>
      <c r="H101" s="25">
        <f t="shared" si="3"/>
        <v>0</v>
      </c>
      <c r="I101" s="231"/>
      <c r="J101" s="236">
        <v>45754</v>
      </c>
      <c r="K101" s="237"/>
      <c r="L101" s="237">
        <v>975</v>
      </c>
      <c r="M101" s="237"/>
      <c r="N101" s="237"/>
      <c r="O101" s="237"/>
      <c r="P101" s="238">
        <v>155</v>
      </c>
      <c r="Q101" s="239">
        <f t="shared" si="4"/>
        <v>151125</v>
      </c>
    </row>
    <row r="102" spans="1:17" x14ac:dyDescent="0.25">
      <c r="A102" s="24"/>
      <c r="B102" s="27"/>
      <c r="C102" s="27"/>
      <c r="D102" s="27"/>
      <c r="E102" s="27"/>
      <c r="F102" s="27"/>
      <c r="G102" s="25"/>
      <c r="H102" s="25">
        <f t="shared" si="3"/>
        <v>0</v>
      </c>
      <c r="I102" s="231"/>
      <c r="J102" s="240">
        <v>45755</v>
      </c>
      <c r="K102" s="27"/>
      <c r="L102" s="27">
        <v>1000</v>
      </c>
      <c r="M102" s="27"/>
      <c r="N102" s="27"/>
      <c r="O102" s="27"/>
      <c r="P102" s="25">
        <v>155</v>
      </c>
      <c r="Q102" s="241">
        <f t="shared" si="4"/>
        <v>155000</v>
      </c>
    </row>
    <row r="103" spans="1:17" x14ac:dyDescent="0.25">
      <c r="A103" s="24"/>
      <c r="B103" s="27"/>
      <c r="C103" s="27"/>
      <c r="D103" s="27"/>
      <c r="E103" s="27"/>
      <c r="F103" s="27"/>
      <c r="G103" s="25"/>
      <c r="H103" s="25">
        <f t="shared" si="3"/>
        <v>0</v>
      </c>
      <c r="I103" s="231"/>
      <c r="J103" s="240">
        <v>45757</v>
      </c>
      <c r="K103" s="27"/>
      <c r="L103" s="27">
        <v>1000</v>
      </c>
      <c r="M103" s="27"/>
      <c r="N103" s="27"/>
      <c r="O103" s="27"/>
      <c r="P103" s="25">
        <v>155</v>
      </c>
      <c r="Q103" s="241">
        <f t="shared" si="4"/>
        <v>155000</v>
      </c>
    </row>
    <row r="104" spans="1:17" x14ac:dyDescent="0.25">
      <c r="A104" s="24"/>
      <c r="B104" s="27"/>
      <c r="C104" s="27"/>
      <c r="D104" s="27"/>
      <c r="E104" s="27"/>
      <c r="F104" s="27"/>
      <c r="G104" s="25"/>
      <c r="H104" s="25">
        <f t="shared" si="3"/>
        <v>0</v>
      </c>
      <c r="I104" s="231"/>
      <c r="J104" s="240" t="s">
        <v>150</v>
      </c>
      <c r="K104" s="27"/>
      <c r="L104" s="27">
        <v>2200</v>
      </c>
      <c r="M104" s="27"/>
      <c r="N104" s="27"/>
      <c r="O104" s="27"/>
      <c r="P104" s="25">
        <v>155</v>
      </c>
      <c r="Q104" s="241">
        <f t="shared" si="4"/>
        <v>341000</v>
      </c>
    </row>
    <row r="105" spans="1:17" x14ac:dyDescent="0.25">
      <c r="A105" s="24"/>
      <c r="B105" s="27"/>
      <c r="C105" s="27"/>
      <c r="D105" s="27"/>
      <c r="E105" s="27"/>
      <c r="F105" s="27"/>
      <c r="G105" s="25"/>
      <c r="H105" s="25">
        <f t="shared" si="3"/>
        <v>0</v>
      </c>
      <c r="I105" s="231"/>
      <c r="J105" s="240">
        <v>45762</v>
      </c>
      <c r="K105" s="27"/>
      <c r="L105" s="27">
        <v>1000</v>
      </c>
      <c r="M105" s="27"/>
      <c r="N105" s="27"/>
      <c r="O105" s="27"/>
      <c r="P105" s="25">
        <v>155</v>
      </c>
      <c r="Q105" s="241">
        <f t="shared" si="4"/>
        <v>155000</v>
      </c>
    </row>
    <row r="106" spans="1:17" ht="16.5" thickBot="1" x14ac:dyDescent="0.3">
      <c r="A106" s="24"/>
      <c r="B106" s="27"/>
      <c r="C106" s="27"/>
      <c r="D106" s="27"/>
      <c r="E106" s="27"/>
      <c r="F106" s="27"/>
      <c r="G106" s="25"/>
      <c r="H106" s="25">
        <f t="shared" si="3"/>
        <v>0</v>
      </c>
      <c r="I106" s="231"/>
      <c r="J106" s="242">
        <v>45764</v>
      </c>
      <c r="K106" s="124"/>
      <c r="L106" s="124">
        <v>1000</v>
      </c>
      <c r="M106" s="124"/>
      <c r="N106" s="124"/>
      <c r="O106" s="124"/>
      <c r="P106" s="125">
        <v>155</v>
      </c>
      <c r="Q106" s="243">
        <f t="shared" si="4"/>
        <v>155000</v>
      </c>
    </row>
    <row r="107" spans="1:17" x14ac:dyDescent="0.25">
      <c r="A107" s="28">
        <v>45768</v>
      </c>
      <c r="B107" s="27"/>
      <c r="C107" s="27">
        <v>10000</v>
      </c>
      <c r="D107" s="27"/>
      <c r="E107" s="27"/>
      <c r="F107" s="27"/>
      <c r="G107" s="25">
        <v>152.5</v>
      </c>
      <c r="H107" s="25">
        <f t="shared" si="3"/>
        <v>1525000</v>
      </c>
      <c r="I107" s="231"/>
      <c r="J107" s="236">
        <v>45768</v>
      </c>
      <c r="K107" s="237"/>
      <c r="L107" s="237">
        <v>1825</v>
      </c>
      <c r="M107" s="237"/>
      <c r="N107" s="237"/>
      <c r="O107" s="237"/>
      <c r="P107" s="249">
        <v>152.5</v>
      </c>
      <c r="Q107" s="239">
        <f t="shared" si="4"/>
        <v>278312.5</v>
      </c>
    </row>
    <row r="108" spans="1:17" x14ac:dyDescent="0.25">
      <c r="A108" s="24"/>
      <c r="B108" s="27"/>
      <c r="C108" s="27"/>
      <c r="D108" s="27"/>
      <c r="E108" s="27"/>
      <c r="F108" s="27"/>
      <c r="G108" s="25"/>
      <c r="H108" s="25">
        <f t="shared" si="3"/>
        <v>0</v>
      </c>
      <c r="I108" s="231"/>
      <c r="J108" s="240">
        <v>45772</v>
      </c>
      <c r="K108" s="27"/>
      <c r="L108" s="27">
        <v>750</v>
      </c>
      <c r="M108" s="27"/>
      <c r="N108" s="27"/>
      <c r="O108" s="27"/>
      <c r="P108" s="25">
        <v>152.5</v>
      </c>
      <c r="Q108" s="241">
        <f t="shared" si="4"/>
        <v>114375</v>
      </c>
    </row>
    <row r="109" spans="1:17" x14ac:dyDescent="0.25">
      <c r="A109" s="24"/>
      <c r="B109" s="27"/>
      <c r="C109" s="27"/>
      <c r="D109" s="27"/>
      <c r="E109" s="27"/>
      <c r="F109" s="27"/>
      <c r="G109" s="25"/>
      <c r="H109" s="25">
        <f t="shared" si="3"/>
        <v>0</v>
      </c>
      <c r="I109" s="231"/>
      <c r="J109" s="240">
        <v>45775</v>
      </c>
      <c r="K109" s="27"/>
      <c r="L109" s="27">
        <v>2250</v>
      </c>
      <c r="M109" s="27"/>
      <c r="N109" s="27"/>
      <c r="O109" s="27"/>
      <c r="P109" s="25">
        <v>152.5</v>
      </c>
      <c r="Q109" s="241">
        <f t="shared" si="4"/>
        <v>343125</v>
      </c>
    </row>
    <row r="110" spans="1:17" x14ac:dyDescent="0.25">
      <c r="A110" s="24"/>
      <c r="B110" s="27"/>
      <c r="C110" s="27"/>
      <c r="D110" s="27"/>
      <c r="E110" s="27"/>
      <c r="F110" s="27"/>
      <c r="G110" s="25"/>
      <c r="H110" s="25">
        <f t="shared" si="3"/>
        <v>0</v>
      </c>
      <c r="I110" s="231"/>
      <c r="J110" s="240">
        <v>45776</v>
      </c>
      <c r="K110" s="27"/>
      <c r="L110" s="27">
        <v>750</v>
      </c>
      <c r="M110" s="27"/>
      <c r="N110" s="27"/>
      <c r="O110" s="27"/>
      <c r="P110" s="25">
        <v>152.5</v>
      </c>
      <c r="Q110" s="241">
        <f t="shared" si="4"/>
        <v>114375</v>
      </c>
    </row>
    <row r="111" spans="1:17" ht="16.5" thickBot="1" x14ac:dyDescent="0.3">
      <c r="A111" s="24"/>
      <c r="B111" s="27"/>
      <c r="C111" s="27"/>
      <c r="D111" s="27"/>
      <c r="E111" s="27"/>
      <c r="F111" s="27"/>
      <c r="G111" s="25"/>
      <c r="H111" s="25">
        <f t="shared" si="3"/>
        <v>0</v>
      </c>
      <c r="I111" s="231"/>
      <c r="J111" s="242">
        <v>45777</v>
      </c>
      <c r="K111" s="124"/>
      <c r="L111" s="124">
        <v>750</v>
      </c>
      <c r="M111" s="124"/>
      <c r="N111" s="124"/>
      <c r="O111" s="124"/>
      <c r="P111" s="125">
        <v>152.5</v>
      </c>
      <c r="Q111" s="243">
        <f t="shared" si="4"/>
        <v>114375</v>
      </c>
    </row>
    <row r="112" spans="1:17" ht="16.5" thickBot="1" x14ac:dyDescent="0.3">
      <c r="A112" s="24"/>
      <c r="B112" s="27"/>
      <c r="C112" s="27"/>
      <c r="D112" s="27"/>
      <c r="E112" s="27"/>
      <c r="F112" s="27"/>
      <c r="G112" s="25"/>
      <c r="H112" s="25">
        <f t="shared" si="3"/>
        <v>0</v>
      </c>
      <c r="I112" s="30"/>
      <c r="J112" s="122" t="s">
        <v>156</v>
      </c>
      <c r="K112" s="119"/>
      <c r="L112" s="119">
        <v>1500</v>
      </c>
      <c r="M112" s="119"/>
      <c r="N112" s="119"/>
      <c r="O112" s="119"/>
      <c r="P112" s="125">
        <v>152.5</v>
      </c>
      <c r="Q112" s="120">
        <f t="shared" si="4"/>
        <v>228750</v>
      </c>
    </row>
    <row r="113" spans="1:17" ht="16.5" thickBot="1" x14ac:dyDescent="0.3">
      <c r="A113" s="24"/>
      <c r="B113" s="27"/>
      <c r="C113" s="27"/>
      <c r="D113" s="27"/>
      <c r="E113" s="27"/>
      <c r="F113" s="27"/>
      <c r="G113" s="25"/>
      <c r="H113" s="25">
        <f t="shared" si="3"/>
        <v>0</v>
      </c>
      <c r="I113" s="30"/>
      <c r="J113" s="28" t="s">
        <v>159</v>
      </c>
      <c r="K113" s="27"/>
      <c r="L113" s="27">
        <v>750</v>
      </c>
      <c r="M113" s="27"/>
      <c r="N113" s="27"/>
      <c r="O113" s="27"/>
      <c r="P113" s="125">
        <v>152.5</v>
      </c>
      <c r="Q113" s="25">
        <f t="shared" si="4"/>
        <v>114375</v>
      </c>
    </row>
    <row r="114" spans="1:17" ht="16.5" thickBot="1" x14ac:dyDescent="0.3">
      <c r="A114" s="24"/>
      <c r="B114" s="27"/>
      <c r="C114" s="27"/>
      <c r="D114" s="27"/>
      <c r="E114" s="27"/>
      <c r="F114" s="27"/>
      <c r="G114" s="25"/>
      <c r="H114" s="25">
        <f t="shared" si="3"/>
        <v>0</v>
      </c>
      <c r="I114" s="30"/>
      <c r="J114" s="28" t="s">
        <v>160</v>
      </c>
      <c r="K114" s="27"/>
      <c r="L114" s="27">
        <v>750</v>
      </c>
      <c r="M114" s="27"/>
      <c r="N114" s="27"/>
      <c r="O114" s="27"/>
      <c r="P114" s="125">
        <v>152.5</v>
      </c>
      <c r="Q114" s="25">
        <f t="shared" si="4"/>
        <v>114375</v>
      </c>
    </row>
    <row r="115" spans="1:17" x14ac:dyDescent="0.25">
      <c r="A115" s="24"/>
      <c r="B115" s="27"/>
      <c r="C115" s="27"/>
      <c r="D115" s="27"/>
      <c r="E115" s="27"/>
      <c r="F115" s="27"/>
      <c r="G115" s="25"/>
      <c r="H115" s="25">
        <f t="shared" si="3"/>
        <v>0</v>
      </c>
      <c r="I115" s="30"/>
      <c r="J115" s="28" t="s">
        <v>163</v>
      </c>
      <c r="K115" s="27"/>
      <c r="L115" s="27">
        <v>750</v>
      </c>
      <c r="M115" s="27"/>
      <c r="N115" s="27"/>
      <c r="O115" s="27"/>
      <c r="P115" s="25">
        <v>152.5</v>
      </c>
      <c r="Q115" s="25">
        <f t="shared" si="4"/>
        <v>114375</v>
      </c>
    </row>
    <row r="116" spans="1:17" x14ac:dyDescent="0.25">
      <c r="A116" s="24"/>
      <c r="B116" s="27"/>
      <c r="C116" s="27"/>
      <c r="D116" s="27"/>
      <c r="E116" s="27"/>
      <c r="F116" s="27"/>
      <c r="G116" s="25"/>
      <c r="H116" s="25">
        <f t="shared" si="3"/>
        <v>0</v>
      </c>
      <c r="I116" s="30"/>
      <c r="J116" s="24"/>
      <c r="K116" s="27"/>
      <c r="L116" s="27"/>
      <c r="M116" s="27"/>
      <c r="N116" s="27"/>
      <c r="O116" s="27"/>
      <c r="P116" s="25"/>
      <c r="Q116" s="25">
        <f t="shared" si="4"/>
        <v>0</v>
      </c>
    </row>
    <row r="117" spans="1:17" x14ac:dyDescent="0.25">
      <c r="A117" s="24"/>
      <c r="B117" s="27"/>
      <c r="C117" s="27"/>
      <c r="D117" s="27"/>
      <c r="E117" s="27"/>
      <c r="F117" s="27"/>
      <c r="G117" s="25"/>
      <c r="H117" s="25">
        <f t="shared" si="3"/>
        <v>0</v>
      </c>
      <c r="I117" s="30"/>
      <c r="J117" s="24"/>
      <c r="K117" s="27"/>
      <c r="L117" s="27"/>
      <c r="M117" s="27"/>
      <c r="N117" s="27"/>
      <c r="O117" s="27"/>
      <c r="P117" s="25"/>
      <c r="Q117" s="25">
        <f t="shared" si="4"/>
        <v>0</v>
      </c>
    </row>
    <row r="118" spans="1:17" x14ac:dyDescent="0.25">
      <c r="A118" s="24"/>
      <c r="B118" s="27">
        <f>SUM(B3:B117)</f>
        <v>10620</v>
      </c>
      <c r="C118" s="27">
        <f t="shared" ref="C118:F118" si="5">SUM(C3:C117)</f>
        <v>39096</v>
      </c>
      <c r="D118" s="27">
        <f t="shared" si="5"/>
        <v>50</v>
      </c>
      <c r="E118" s="27">
        <f t="shared" si="5"/>
        <v>0</v>
      </c>
      <c r="F118" s="27">
        <f t="shared" si="5"/>
        <v>0</v>
      </c>
      <c r="G118" s="25"/>
      <c r="H118" s="25"/>
      <c r="I118" s="30"/>
      <c r="J118" s="24"/>
      <c r="K118" s="27">
        <f>SUM(K3:K117)</f>
        <v>10620</v>
      </c>
      <c r="L118" s="27">
        <f t="shared" ref="L118:O118" si="6">SUM(L3:L117)</f>
        <v>39171</v>
      </c>
      <c r="M118" s="27">
        <f t="shared" si="6"/>
        <v>50</v>
      </c>
      <c r="N118" s="27">
        <f t="shared" si="6"/>
        <v>0</v>
      </c>
      <c r="O118" s="27">
        <f t="shared" si="6"/>
        <v>0</v>
      </c>
      <c r="P118" s="25"/>
      <c r="Q118" s="2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pane ySplit="1" topLeftCell="A2" activePane="bottomLeft" state="frozen"/>
      <selection pane="bottomLeft" activeCell="H17" sqref="H17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8" width="13.7109375" style="26" customWidth="1"/>
    <col min="9" max="10" width="11.28515625" style="26" customWidth="1"/>
    <col min="11" max="11" width="10.5703125" style="29" customWidth="1"/>
    <col min="12" max="12" width="14.42578125" style="29" bestFit="1" customWidth="1"/>
    <col min="13" max="14" width="8.85546875" style="26"/>
    <col min="15" max="15" width="14.42578125" style="26" bestFit="1" customWidth="1"/>
    <col min="16" max="16" width="11.5703125" style="26" bestFit="1" customWidth="1"/>
    <col min="17" max="16384" width="8.85546875" style="26"/>
  </cols>
  <sheetData>
    <row r="1" spans="1:23" s="60" customFormat="1" ht="42.75" x14ac:dyDescent="0.25">
      <c r="A1" s="57" t="s">
        <v>17</v>
      </c>
      <c r="B1" s="57" t="s">
        <v>93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23</v>
      </c>
      <c r="I1" s="57" t="s">
        <v>93</v>
      </c>
      <c r="J1" s="57" t="s">
        <v>31</v>
      </c>
      <c r="K1" s="58" t="s">
        <v>18</v>
      </c>
      <c r="L1" s="58" t="s">
        <v>19</v>
      </c>
      <c r="M1" s="59"/>
      <c r="N1" s="59"/>
      <c r="O1" s="57" t="s">
        <v>93</v>
      </c>
      <c r="P1" s="57" t="s">
        <v>31</v>
      </c>
      <c r="Q1" s="57"/>
      <c r="R1" s="57"/>
      <c r="S1" s="57"/>
    </row>
    <row r="2" spans="1:23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4"/>
      <c r="K2" s="25"/>
      <c r="L2" s="25"/>
      <c r="N2" s="31"/>
      <c r="O2" s="27">
        <f>0+B53-I53</f>
        <v>0</v>
      </c>
      <c r="P2" s="27">
        <f>0+C53-J53</f>
        <v>0</v>
      </c>
      <c r="Q2" s="27"/>
      <c r="R2" s="27"/>
      <c r="S2" s="27"/>
      <c r="T2" s="31"/>
      <c r="U2" s="31"/>
      <c r="V2" s="31"/>
      <c r="W2" s="31"/>
    </row>
    <row r="3" spans="1:23" ht="16.5" thickBot="1" x14ac:dyDescent="0.3">
      <c r="A3" s="28">
        <v>45643</v>
      </c>
      <c r="B3" s="27">
        <v>25</v>
      </c>
      <c r="C3" s="27"/>
      <c r="D3" s="25">
        <v>851.495</v>
      </c>
      <c r="E3" s="25">
        <f>B3*D3+C3*D3</f>
        <v>21287.375</v>
      </c>
      <c r="F3" s="30"/>
      <c r="G3" s="156"/>
      <c r="H3" s="157"/>
      <c r="I3" s="158"/>
      <c r="J3" s="158"/>
      <c r="K3" s="159"/>
      <c r="L3" s="159"/>
      <c r="O3" s="25">
        <v>851.495</v>
      </c>
      <c r="P3" s="25">
        <v>27</v>
      </c>
      <c r="Q3" s="25"/>
      <c r="R3" s="25"/>
      <c r="S3" s="25"/>
      <c r="T3" s="29"/>
      <c r="U3" s="29"/>
      <c r="V3" s="29"/>
    </row>
    <row r="4" spans="1:23" ht="16.5" thickBot="1" x14ac:dyDescent="0.3">
      <c r="A4" s="24"/>
      <c r="B4" s="27"/>
      <c r="C4" s="27"/>
      <c r="D4" s="25"/>
      <c r="E4" s="25">
        <f t="shared" ref="E4:E52" si="0">B4*D4+C4*D4</f>
        <v>0</v>
      </c>
      <c r="F4" s="231"/>
      <c r="G4" s="257">
        <v>45726</v>
      </c>
      <c r="H4" s="252" t="s">
        <v>47</v>
      </c>
      <c r="I4" s="253">
        <v>25</v>
      </c>
      <c r="J4" s="253"/>
      <c r="K4" s="254">
        <v>851.5</v>
      </c>
      <c r="L4" s="255">
        <f>I4*K4+J4*K4</f>
        <v>21287.5</v>
      </c>
      <c r="O4" s="25">
        <f>O2*O3</f>
        <v>0</v>
      </c>
      <c r="P4" s="25">
        <f>P2*P3</f>
        <v>0</v>
      </c>
      <c r="Q4" s="25"/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5"/>
      <c r="E5" s="25">
        <f t="shared" si="0"/>
        <v>0</v>
      </c>
      <c r="F5" s="30"/>
      <c r="G5" s="122"/>
      <c r="H5" s="118"/>
      <c r="I5" s="119"/>
      <c r="J5" s="119"/>
      <c r="K5" s="120"/>
      <c r="L5" s="120">
        <f t="shared" ref="L5:L52" si="1">I5*K5+J5*K5</f>
        <v>0</v>
      </c>
    </row>
    <row r="6" spans="1:23" x14ac:dyDescent="0.25">
      <c r="A6" s="24"/>
      <c r="B6" s="27"/>
      <c r="C6" s="27"/>
      <c r="D6" s="25"/>
      <c r="E6" s="25">
        <f t="shared" si="0"/>
        <v>0</v>
      </c>
      <c r="F6" s="30"/>
      <c r="G6" s="28"/>
      <c r="H6" s="24"/>
      <c r="I6" s="27"/>
      <c r="J6" s="27"/>
      <c r="K6" s="25"/>
      <c r="L6" s="25">
        <f t="shared" si="1"/>
        <v>0</v>
      </c>
    </row>
    <row r="7" spans="1:23" x14ac:dyDescent="0.25">
      <c r="A7" s="24"/>
      <c r="B7" s="27"/>
      <c r="C7" s="27"/>
      <c r="D7" s="25"/>
      <c r="E7" s="25">
        <f t="shared" si="0"/>
        <v>0</v>
      </c>
      <c r="F7" s="30"/>
      <c r="G7" s="28"/>
      <c r="H7" s="24"/>
      <c r="I7" s="27"/>
      <c r="J7" s="27"/>
      <c r="K7" s="25"/>
      <c r="L7" s="25">
        <f t="shared" si="1"/>
        <v>0</v>
      </c>
    </row>
    <row r="8" spans="1:23" x14ac:dyDescent="0.25">
      <c r="A8" s="24"/>
      <c r="B8" s="27"/>
      <c r="C8" s="27"/>
      <c r="D8" s="25"/>
      <c r="E8" s="25">
        <f t="shared" si="0"/>
        <v>0</v>
      </c>
      <c r="F8" s="30"/>
      <c r="G8" s="28"/>
      <c r="H8" s="24"/>
      <c r="I8" s="27"/>
      <c r="J8" s="27"/>
      <c r="K8" s="25"/>
      <c r="L8" s="25">
        <f t="shared" si="1"/>
        <v>0</v>
      </c>
    </row>
    <row r="9" spans="1:23" x14ac:dyDescent="0.25">
      <c r="A9" s="24"/>
      <c r="B9" s="27"/>
      <c r="C9" s="27"/>
      <c r="D9" s="25"/>
      <c r="E9" s="25">
        <f t="shared" si="0"/>
        <v>0</v>
      </c>
      <c r="F9" s="160"/>
      <c r="G9" s="156"/>
      <c r="H9" s="157"/>
      <c r="I9" s="158"/>
      <c r="J9" s="158"/>
      <c r="K9" s="159"/>
      <c r="L9" s="25">
        <f t="shared" si="1"/>
        <v>0</v>
      </c>
    </row>
    <row r="10" spans="1:23" x14ac:dyDescent="0.25">
      <c r="A10" s="24"/>
      <c r="B10" s="27"/>
      <c r="C10" s="27"/>
      <c r="D10" s="25"/>
      <c r="E10" s="25">
        <f t="shared" si="0"/>
        <v>0</v>
      </c>
      <c r="F10" s="30"/>
      <c r="G10" s="28"/>
      <c r="H10" s="24"/>
      <c r="I10" s="27"/>
      <c r="J10" s="27"/>
      <c r="K10" s="25"/>
      <c r="L10" s="25">
        <f t="shared" si="1"/>
        <v>0</v>
      </c>
    </row>
    <row r="11" spans="1:23" x14ac:dyDescent="0.25">
      <c r="A11" s="24"/>
      <c r="B11" s="27"/>
      <c r="C11" s="27"/>
      <c r="D11" s="25"/>
      <c r="E11" s="25">
        <f t="shared" si="0"/>
        <v>0</v>
      </c>
      <c r="F11" s="30"/>
      <c r="G11" s="28"/>
      <c r="H11" s="24"/>
      <c r="I11" s="27"/>
      <c r="J11" s="27"/>
      <c r="K11" s="25"/>
      <c r="L11" s="25">
        <f t="shared" si="1"/>
        <v>0</v>
      </c>
    </row>
    <row r="12" spans="1:23" x14ac:dyDescent="0.25">
      <c r="A12" s="24"/>
      <c r="B12" s="27"/>
      <c r="C12" s="27"/>
      <c r="D12" s="25"/>
      <c r="E12" s="25">
        <f t="shared" si="0"/>
        <v>0</v>
      </c>
      <c r="F12" s="30"/>
      <c r="G12" s="28"/>
      <c r="H12" s="24"/>
      <c r="I12" s="27"/>
      <c r="J12" s="27"/>
      <c r="K12" s="25"/>
      <c r="L12" s="25">
        <f t="shared" si="1"/>
        <v>0</v>
      </c>
    </row>
    <row r="13" spans="1:23" x14ac:dyDescent="0.25">
      <c r="A13" s="24"/>
      <c r="B13" s="27"/>
      <c r="C13" s="27"/>
      <c r="D13" s="25"/>
      <c r="E13" s="25">
        <f t="shared" si="0"/>
        <v>0</v>
      </c>
      <c r="F13" s="30"/>
      <c r="G13" s="28"/>
      <c r="H13" s="24"/>
      <c r="I13" s="27"/>
      <c r="J13" s="27"/>
      <c r="K13" s="25"/>
      <c r="L13" s="25">
        <f t="shared" si="1"/>
        <v>0</v>
      </c>
    </row>
    <row r="14" spans="1:23" x14ac:dyDescent="0.25">
      <c r="A14" s="24"/>
      <c r="B14" s="27"/>
      <c r="C14" s="27"/>
      <c r="D14" s="25"/>
      <c r="E14" s="25">
        <f t="shared" si="0"/>
        <v>0</v>
      </c>
      <c r="F14" s="30"/>
      <c r="G14" s="28"/>
      <c r="H14" s="24"/>
      <c r="I14" s="27"/>
      <c r="J14" s="27"/>
      <c r="K14" s="25"/>
      <c r="L14" s="25">
        <f t="shared" si="1"/>
        <v>0</v>
      </c>
    </row>
    <row r="15" spans="1:23" x14ac:dyDescent="0.25">
      <c r="A15" s="24"/>
      <c r="B15" s="27"/>
      <c r="C15" s="27"/>
      <c r="D15" s="25"/>
      <c r="E15" s="25">
        <f t="shared" si="0"/>
        <v>0</v>
      </c>
      <c r="F15" s="30"/>
      <c r="G15" s="28"/>
      <c r="H15" s="24"/>
      <c r="I15" s="27"/>
      <c r="J15" s="27"/>
      <c r="K15" s="25"/>
      <c r="L15" s="25">
        <f t="shared" si="1"/>
        <v>0</v>
      </c>
    </row>
    <row r="16" spans="1:23" x14ac:dyDescent="0.25">
      <c r="A16" s="24"/>
      <c r="B16" s="27"/>
      <c r="C16" s="27"/>
      <c r="D16" s="25"/>
      <c r="E16" s="25">
        <f t="shared" si="0"/>
        <v>0</v>
      </c>
      <c r="F16" s="30"/>
      <c r="G16" s="28"/>
      <c r="H16" s="24"/>
      <c r="I16" s="27"/>
      <c r="J16" s="27"/>
      <c r="K16" s="25"/>
      <c r="L16" s="25">
        <f t="shared" si="1"/>
        <v>0</v>
      </c>
    </row>
    <row r="17" spans="1:12" x14ac:dyDescent="0.25">
      <c r="A17" s="24"/>
      <c r="B17" s="27"/>
      <c r="C17" s="27"/>
      <c r="D17" s="25"/>
      <c r="E17" s="25">
        <f t="shared" si="0"/>
        <v>0</v>
      </c>
      <c r="F17" s="30"/>
      <c r="G17" s="28"/>
      <c r="H17" s="24"/>
      <c r="I17" s="27"/>
      <c r="J17" s="27"/>
      <c r="K17" s="25"/>
      <c r="L17" s="25">
        <f t="shared" si="1"/>
        <v>0</v>
      </c>
    </row>
    <row r="18" spans="1:12" x14ac:dyDescent="0.25">
      <c r="A18" s="24"/>
      <c r="B18" s="27"/>
      <c r="C18" s="27"/>
      <c r="D18" s="25"/>
      <c r="E18" s="25">
        <f t="shared" si="0"/>
        <v>0</v>
      </c>
      <c r="F18" s="30"/>
      <c r="G18" s="28"/>
      <c r="H18" s="24"/>
      <c r="I18" s="27"/>
      <c r="J18" s="27"/>
      <c r="K18" s="25"/>
      <c r="L18" s="25">
        <f t="shared" si="1"/>
        <v>0</v>
      </c>
    </row>
    <row r="19" spans="1:12" x14ac:dyDescent="0.25">
      <c r="A19" s="24"/>
      <c r="B19" s="27"/>
      <c r="C19" s="27"/>
      <c r="D19" s="25"/>
      <c r="E19" s="25">
        <f t="shared" si="0"/>
        <v>0</v>
      </c>
      <c r="F19" s="30"/>
      <c r="G19" s="28"/>
      <c r="H19" s="24"/>
      <c r="I19" s="27"/>
      <c r="J19" s="27"/>
      <c r="K19" s="25"/>
      <c r="L19" s="25">
        <f t="shared" si="1"/>
        <v>0</v>
      </c>
    </row>
    <row r="20" spans="1:12" x14ac:dyDescent="0.25">
      <c r="A20" s="24"/>
      <c r="B20" s="27"/>
      <c r="C20" s="27"/>
      <c r="D20" s="25"/>
      <c r="E20" s="25">
        <f t="shared" si="0"/>
        <v>0</v>
      </c>
      <c r="F20" s="30"/>
      <c r="G20" s="28"/>
      <c r="H20" s="24"/>
      <c r="I20" s="27"/>
      <c r="J20" s="27"/>
      <c r="K20" s="25"/>
      <c r="L20" s="25">
        <f t="shared" si="1"/>
        <v>0</v>
      </c>
    </row>
    <row r="21" spans="1:12" x14ac:dyDescent="0.25">
      <c r="A21" s="24"/>
      <c r="B21" s="27"/>
      <c r="C21" s="27"/>
      <c r="D21" s="25"/>
      <c r="E21" s="25">
        <f t="shared" si="0"/>
        <v>0</v>
      </c>
      <c r="F21" s="30"/>
      <c r="G21" s="28"/>
      <c r="H21" s="24"/>
      <c r="I21" s="27"/>
      <c r="J21" s="27"/>
      <c r="K21" s="25"/>
      <c r="L21" s="25">
        <f t="shared" si="1"/>
        <v>0</v>
      </c>
    </row>
    <row r="22" spans="1:12" x14ac:dyDescent="0.25">
      <c r="A22" s="24"/>
      <c r="B22" s="27"/>
      <c r="C22" s="27"/>
      <c r="D22" s="25"/>
      <c r="E22" s="25">
        <f t="shared" si="0"/>
        <v>0</v>
      </c>
      <c r="F22" s="30"/>
      <c r="G22" s="28"/>
      <c r="H22" s="24"/>
      <c r="I22" s="27"/>
      <c r="J22" s="27"/>
      <c r="K22" s="25"/>
      <c r="L22" s="25">
        <f t="shared" si="1"/>
        <v>0</v>
      </c>
    </row>
    <row r="23" spans="1:12" x14ac:dyDescent="0.25">
      <c r="A23" s="24"/>
      <c r="B23" s="27"/>
      <c r="C23" s="27"/>
      <c r="D23" s="25"/>
      <c r="E23" s="25">
        <f t="shared" si="0"/>
        <v>0</v>
      </c>
      <c r="F23" s="30"/>
      <c r="G23" s="28"/>
      <c r="H23" s="24"/>
      <c r="I23" s="27"/>
      <c r="J23" s="27"/>
      <c r="K23" s="25"/>
      <c r="L23" s="25">
        <f t="shared" si="1"/>
        <v>0</v>
      </c>
    </row>
    <row r="24" spans="1:12" x14ac:dyDescent="0.25">
      <c r="A24" s="24"/>
      <c r="B24" s="27"/>
      <c r="C24" s="27"/>
      <c r="D24" s="25"/>
      <c r="E24" s="25">
        <f t="shared" si="0"/>
        <v>0</v>
      </c>
      <c r="F24" s="30"/>
      <c r="G24" s="28"/>
      <c r="H24" s="24"/>
      <c r="I24" s="27"/>
      <c r="J24" s="27"/>
      <c r="K24" s="25"/>
      <c r="L24" s="25">
        <f t="shared" si="1"/>
        <v>0</v>
      </c>
    </row>
    <row r="25" spans="1:12" x14ac:dyDescent="0.25">
      <c r="A25" s="24"/>
      <c r="B25" s="27"/>
      <c r="C25" s="27"/>
      <c r="D25" s="25"/>
      <c r="E25" s="25">
        <f t="shared" si="0"/>
        <v>0</v>
      </c>
      <c r="F25" s="30"/>
      <c r="G25" s="28"/>
      <c r="H25" s="24"/>
      <c r="I25" s="27"/>
      <c r="J25" s="27"/>
      <c r="K25" s="25"/>
      <c r="L25" s="25">
        <f t="shared" si="1"/>
        <v>0</v>
      </c>
    </row>
    <row r="26" spans="1:12" x14ac:dyDescent="0.25">
      <c r="A26" s="24"/>
      <c r="B26" s="27"/>
      <c r="C26" s="27"/>
      <c r="D26" s="25"/>
      <c r="E26" s="25">
        <f t="shared" si="0"/>
        <v>0</v>
      </c>
      <c r="F26" s="30"/>
      <c r="G26" s="28"/>
      <c r="H26" s="24"/>
      <c r="I26" s="27"/>
      <c r="J26" s="27"/>
      <c r="K26" s="25"/>
      <c r="L26" s="25">
        <f t="shared" si="1"/>
        <v>0</v>
      </c>
    </row>
    <row r="27" spans="1:12" x14ac:dyDescent="0.25">
      <c r="A27" s="24"/>
      <c r="B27" s="27"/>
      <c r="C27" s="27"/>
      <c r="D27" s="25"/>
      <c r="E27" s="25">
        <f t="shared" si="0"/>
        <v>0</v>
      </c>
      <c r="F27" s="30"/>
      <c r="G27" s="28"/>
      <c r="H27" s="24"/>
      <c r="I27" s="27"/>
      <c r="J27" s="27"/>
      <c r="K27" s="25"/>
      <c r="L27" s="25">
        <f t="shared" si="1"/>
        <v>0</v>
      </c>
    </row>
    <row r="28" spans="1:12" x14ac:dyDescent="0.25">
      <c r="A28" s="24"/>
      <c r="B28" s="27"/>
      <c r="C28" s="27"/>
      <c r="D28" s="25"/>
      <c r="E28" s="25">
        <f t="shared" si="0"/>
        <v>0</v>
      </c>
      <c r="F28" s="30"/>
      <c r="G28" s="28"/>
      <c r="H28" s="24"/>
      <c r="I28" s="27"/>
      <c r="J28" s="27"/>
      <c r="K28" s="25"/>
      <c r="L28" s="25">
        <f t="shared" si="1"/>
        <v>0</v>
      </c>
    </row>
    <row r="29" spans="1:12" x14ac:dyDescent="0.25">
      <c r="A29" s="24"/>
      <c r="B29" s="27"/>
      <c r="C29" s="27"/>
      <c r="D29" s="25"/>
      <c r="E29" s="25">
        <f t="shared" si="0"/>
        <v>0</v>
      </c>
      <c r="F29" s="30"/>
      <c r="G29" s="28"/>
      <c r="H29" s="24"/>
      <c r="I29" s="27"/>
      <c r="J29" s="27"/>
      <c r="K29" s="25"/>
      <c r="L29" s="25">
        <f t="shared" si="1"/>
        <v>0</v>
      </c>
    </row>
    <row r="30" spans="1:12" x14ac:dyDescent="0.25">
      <c r="A30" s="24"/>
      <c r="B30" s="27"/>
      <c r="C30" s="27"/>
      <c r="D30" s="25"/>
      <c r="E30" s="25">
        <f t="shared" si="0"/>
        <v>0</v>
      </c>
      <c r="F30" s="30"/>
      <c r="G30" s="28"/>
      <c r="H30" s="24"/>
      <c r="I30" s="27"/>
      <c r="J30" s="27"/>
      <c r="K30" s="25"/>
      <c r="L30" s="25">
        <f t="shared" si="1"/>
        <v>0</v>
      </c>
    </row>
    <row r="31" spans="1:12" x14ac:dyDescent="0.25">
      <c r="A31" s="28"/>
      <c r="B31" s="27"/>
      <c r="C31" s="27"/>
      <c r="D31" s="25"/>
      <c r="E31" s="25">
        <f t="shared" si="0"/>
        <v>0</v>
      </c>
      <c r="F31" s="30"/>
      <c r="G31" s="28"/>
      <c r="H31" s="24"/>
      <c r="I31" s="27"/>
      <c r="J31" s="27"/>
      <c r="K31" s="25"/>
      <c r="L31" s="25">
        <f t="shared" si="1"/>
        <v>0</v>
      </c>
    </row>
    <row r="32" spans="1:12" x14ac:dyDescent="0.25">
      <c r="A32" s="24"/>
      <c r="B32" s="27"/>
      <c r="C32" s="27"/>
      <c r="D32" s="25"/>
      <c r="E32" s="25">
        <f t="shared" si="0"/>
        <v>0</v>
      </c>
      <c r="F32" s="30"/>
      <c r="G32" s="28"/>
      <c r="H32" s="24"/>
      <c r="I32" s="27"/>
      <c r="J32" s="27"/>
      <c r="K32" s="25"/>
      <c r="L32" s="25">
        <f t="shared" si="1"/>
        <v>0</v>
      </c>
    </row>
    <row r="33" spans="1:12" x14ac:dyDescent="0.25">
      <c r="A33" s="24"/>
      <c r="B33" s="27"/>
      <c r="C33" s="27"/>
      <c r="D33" s="25"/>
      <c r="E33" s="25">
        <f t="shared" si="0"/>
        <v>0</v>
      </c>
      <c r="F33" s="30"/>
      <c r="G33" s="28"/>
      <c r="H33" s="24"/>
      <c r="I33" s="27"/>
      <c r="J33" s="27"/>
      <c r="K33" s="25"/>
      <c r="L33" s="25">
        <f t="shared" si="1"/>
        <v>0</v>
      </c>
    </row>
    <row r="34" spans="1:12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4"/>
      <c r="I34" s="27"/>
      <c r="J34" s="27"/>
      <c r="K34" s="25"/>
      <c r="L34" s="25">
        <f t="shared" si="1"/>
        <v>0</v>
      </c>
    </row>
    <row r="35" spans="1:12" x14ac:dyDescent="0.25">
      <c r="A35" s="24"/>
      <c r="B35" s="27"/>
      <c r="C35" s="27"/>
      <c r="D35" s="25"/>
      <c r="E35" s="25">
        <f t="shared" si="0"/>
        <v>0</v>
      </c>
      <c r="F35" s="30"/>
      <c r="G35" s="28"/>
      <c r="H35" s="24"/>
      <c r="I35" s="27"/>
      <c r="J35" s="27"/>
      <c r="K35" s="25"/>
      <c r="L35" s="25">
        <f t="shared" si="1"/>
        <v>0</v>
      </c>
    </row>
    <row r="36" spans="1:12" x14ac:dyDescent="0.25">
      <c r="A36" s="24"/>
      <c r="B36" s="27"/>
      <c r="C36" s="27"/>
      <c r="D36" s="25"/>
      <c r="E36" s="25">
        <f t="shared" si="0"/>
        <v>0</v>
      </c>
      <c r="F36" s="30"/>
      <c r="G36" s="28"/>
      <c r="H36" s="24"/>
      <c r="I36" s="27"/>
      <c r="J36" s="27"/>
      <c r="K36" s="25"/>
      <c r="L36" s="25">
        <f t="shared" si="1"/>
        <v>0</v>
      </c>
    </row>
    <row r="37" spans="1:12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4"/>
      <c r="I37" s="27"/>
      <c r="J37" s="27"/>
      <c r="K37" s="25"/>
      <c r="L37" s="25">
        <f t="shared" si="1"/>
        <v>0</v>
      </c>
    </row>
    <row r="38" spans="1:12" x14ac:dyDescent="0.25">
      <c r="A38" s="24"/>
      <c r="B38" s="27"/>
      <c r="C38" s="27"/>
      <c r="D38" s="25"/>
      <c r="E38" s="25">
        <f t="shared" si="0"/>
        <v>0</v>
      </c>
      <c r="F38" s="30"/>
      <c r="G38" s="28"/>
      <c r="H38" s="24"/>
      <c r="I38" s="27"/>
      <c r="J38" s="27"/>
      <c r="K38" s="25"/>
      <c r="L38" s="25">
        <f t="shared" si="1"/>
        <v>0</v>
      </c>
    </row>
    <row r="39" spans="1:12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4"/>
      <c r="I39" s="27"/>
      <c r="J39" s="27"/>
      <c r="K39" s="25"/>
      <c r="L39" s="25">
        <f t="shared" si="1"/>
        <v>0</v>
      </c>
    </row>
    <row r="40" spans="1:12" x14ac:dyDescent="0.25">
      <c r="A40" s="24"/>
      <c r="B40" s="27"/>
      <c r="C40" s="27"/>
      <c r="D40" s="25"/>
      <c r="E40" s="25">
        <f t="shared" si="0"/>
        <v>0</v>
      </c>
      <c r="F40" s="30"/>
      <c r="G40" s="28"/>
      <c r="H40" s="24"/>
      <c r="I40" s="27"/>
      <c r="J40" s="27"/>
      <c r="K40" s="25"/>
      <c r="L40" s="25">
        <f t="shared" si="1"/>
        <v>0</v>
      </c>
    </row>
    <row r="41" spans="1:12" x14ac:dyDescent="0.25">
      <c r="A41" s="24"/>
      <c r="B41" s="27"/>
      <c r="C41" s="27"/>
      <c r="D41" s="25"/>
      <c r="E41" s="25">
        <f t="shared" si="0"/>
        <v>0</v>
      </c>
      <c r="F41" s="30"/>
      <c r="G41" s="28"/>
      <c r="H41" s="24"/>
      <c r="I41" s="27"/>
      <c r="J41" s="27"/>
      <c r="K41" s="25"/>
      <c r="L41" s="25">
        <f t="shared" si="1"/>
        <v>0</v>
      </c>
    </row>
    <row r="42" spans="1:12" x14ac:dyDescent="0.25">
      <c r="A42" s="24"/>
      <c r="B42" s="27"/>
      <c r="C42" s="27"/>
      <c r="D42" s="25"/>
      <c r="E42" s="25">
        <f t="shared" si="0"/>
        <v>0</v>
      </c>
      <c r="F42" s="30"/>
      <c r="G42" s="28"/>
      <c r="H42" s="24"/>
      <c r="I42" s="27"/>
      <c r="J42" s="27"/>
      <c r="K42" s="25"/>
      <c r="L42" s="25">
        <f t="shared" si="1"/>
        <v>0</v>
      </c>
    </row>
    <row r="43" spans="1:12" x14ac:dyDescent="0.25">
      <c r="A43" s="24"/>
      <c r="B43" s="27"/>
      <c r="C43" s="27"/>
      <c r="D43" s="25"/>
      <c r="E43" s="25">
        <f t="shared" si="0"/>
        <v>0</v>
      </c>
      <c r="F43" s="30"/>
      <c r="G43" s="28"/>
      <c r="H43" s="24"/>
      <c r="I43" s="27"/>
      <c r="J43" s="27"/>
      <c r="K43" s="25"/>
      <c r="L43" s="25">
        <f t="shared" si="1"/>
        <v>0</v>
      </c>
    </row>
    <row r="44" spans="1:12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4"/>
      <c r="I44" s="27"/>
      <c r="J44" s="27"/>
      <c r="K44" s="25"/>
      <c r="L44" s="25">
        <f t="shared" si="1"/>
        <v>0</v>
      </c>
    </row>
    <row r="45" spans="1:12" x14ac:dyDescent="0.25">
      <c r="A45" s="24"/>
      <c r="B45" s="27"/>
      <c r="C45" s="27"/>
      <c r="D45" s="25"/>
      <c r="E45" s="25">
        <f t="shared" si="0"/>
        <v>0</v>
      </c>
      <c r="F45" s="30"/>
      <c r="G45" s="28"/>
      <c r="H45" s="24"/>
      <c r="I45" s="27"/>
      <c r="J45" s="27"/>
      <c r="K45" s="25"/>
      <c r="L45" s="25">
        <f t="shared" si="1"/>
        <v>0</v>
      </c>
    </row>
    <row r="46" spans="1:12" x14ac:dyDescent="0.25">
      <c r="A46" s="24"/>
      <c r="B46" s="27"/>
      <c r="C46" s="27"/>
      <c r="D46" s="25"/>
      <c r="E46" s="25">
        <f t="shared" si="0"/>
        <v>0</v>
      </c>
      <c r="F46" s="30"/>
      <c r="G46" s="28"/>
      <c r="H46" s="24"/>
      <c r="I46" s="27"/>
      <c r="J46" s="27"/>
      <c r="K46" s="25"/>
      <c r="L46" s="25">
        <f t="shared" si="1"/>
        <v>0</v>
      </c>
    </row>
    <row r="47" spans="1:12" x14ac:dyDescent="0.25">
      <c r="A47" s="24"/>
      <c r="B47" s="27"/>
      <c r="C47" s="27"/>
      <c r="D47" s="25"/>
      <c r="E47" s="25">
        <f t="shared" si="0"/>
        <v>0</v>
      </c>
      <c r="F47" s="30"/>
      <c r="G47" s="28"/>
      <c r="H47" s="24"/>
      <c r="I47" s="27"/>
      <c r="J47" s="27"/>
      <c r="K47" s="25"/>
      <c r="L47" s="25">
        <f t="shared" si="1"/>
        <v>0</v>
      </c>
    </row>
    <row r="48" spans="1:12" x14ac:dyDescent="0.25">
      <c r="A48" s="24"/>
      <c r="B48" s="27"/>
      <c r="C48" s="27"/>
      <c r="D48" s="25"/>
      <c r="E48" s="25">
        <f t="shared" si="0"/>
        <v>0</v>
      </c>
      <c r="F48" s="30"/>
      <c r="G48" s="28"/>
      <c r="H48" s="24"/>
      <c r="I48" s="27"/>
      <c r="J48" s="27"/>
      <c r="K48" s="25"/>
      <c r="L48" s="25">
        <f t="shared" si="1"/>
        <v>0</v>
      </c>
    </row>
    <row r="49" spans="1:12" x14ac:dyDescent="0.25">
      <c r="A49" s="24"/>
      <c r="B49" s="27"/>
      <c r="C49" s="27"/>
      <c r="D49" s="25"/>
      <c r="E49" s="25">
        <f t="shared" si="0"/>
        <v>0</v>
      </c>
      <c r="F49" s="30"/>
      <c r="G49" s="24"/>
      <c r="H49" s="24"/>
      <c r="I49" s="27"/>
      <c r="J49" s="27"/>
      <c r="K49" s="25"/>
      <c r="L49" s="25">
        <f t="shared" si="1"/>
        <v>0</v>
      </c>
    </row>
    <row r="50" spans="1:12" x14ac:dyDescent="0.25">
      <c r="A50" s="24"/>
      <c r="B50" s="27"/>
      <c r="C50" s="27"/>
      <c r="D50" s="25"/>
      <c r="E50" s="25">
        <f t="shared" si="0"/>
        <v>0</v>
      </c>
      <c r="F50" s="30"/>
      <c r="G50" s="24"/>
      <c r="H50" s="24"/>
      <c r="I50" s="27"/>
      <c r="J50" s="27"/>
      <c r="K50" s="25"/>
      <c r="L50" s="25">
        <f t="shared" si="1"/>
        <v>0</v>
      </c>
    </row>
    <row r="51" spans="1:12" x14ac:dyDescent="0.25">
      <c r="A51" s="24"/>
      <c r="B51" s="27"/>
      <c r="C51" s="27"/>
      <c r="D51" s="25"/>
      <c r="E51" s="25">
        <f t="shared" si="0"/>
        <v>0</v>
      </c>
      <c r="F51" s="30"/>
      <c r="G51" s="24"/>
      <c r="H51" s="24"/>
      <c r="I51" s="27"/>
      <c r="J51" s="27"/>
      <c r="K51" s="25"/>
      <c r="L51" s="25">
        <f t="shared" si="1"/>
        <v>0</v>
      </c>
    </row>
    <row r="52" spans="1:12" x14ac:dyDescent="0.25">
      <c r="A52" s="24"/>
      <c r="B52" s="27"/>
      <c r="C52" s="27"/>
      <c r="D52" s="25"/>
      <c r="E52" s="25">
        <f t="shared" si="0"/>
        <v>0</v>
      </c>
      <c r="F52" s="30"/>
      <c r="G52" s="24"/>
      <c r="H52" s="24"/>
      <c r="I52" s="27"/>
      <c r="J52" s="27"/>
      <c r="K52" s="25"/>
      <c r="L52" s="25">
        <f t="shared" si="1"/>
        <v>0</v>
      </c>
    </row>
    <row r="53" spans="1:12" s="132" customFormat="1" x14ac:dyDescent="0.25">
      <c r="A53" s="128"/>
      <c r="B53" s="129">
        <f>SUM(B3:B52)</f>
        <v>25</v>
      </c>
      <c r="C53" s="129">
        <f>SUM(C3:C52)</f>
        <v>0</v>
      </c>
      <c r="D53" s="130"/>
      <c r="E53" s="130"/>
      <c r="F53" s="131"/>
      <c r="G53" s="128"/>
      <c r="H53" s="128"/>
      <c r="I53" s="129">
        <f>SUM(I3:I52)</f>
        <v>25</v>
      </c>
      <c r="J53" s="129">
        <f>SUM(J3:J52)</f>
        <v>0</v>
      </c>
      <c r="K53" s="130"/>
      <c r="L53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4"/>
  <sheetViews>
    <sheetView zoomScale="90" zoomScaleNormal="90" workbookViewId="0">
      <pane ySplit="1" topLeftCell="A81" activePane="bottomLeft" state="frozen"/>
      <selection pane="bottomLeft" activeCell="Q111" sqref="Q111"/>
    </sheetView>
  </sheetViews>
  <sheetFormatPr defaultColWidth="8.85546875" defaultRowHeight="15.75" x14ac:dyDescent="0.25"/>
  <cols>
    <col min="1" max="2" width="11.140625" style="26" customWidth="1"/>
    <col min="3" max="3" width="11.28515625" style="26" customWidth="1"/>
    <col min="4" max="4" width="11.42578125" style="26" customWidth="1"/>
    <col min="5" max="10" width="12" style="26" customWidth="1"/>
    <col min="11" max="11" width="10.5703125" style="29" customWidth="1"/>
    <col min="12" max="12" width="14.42578125" style="29" bestFit="1" customWidth="1"/>
    <col min="13" max="13" width="4.140625" style="29" customWidth="1"/>
    <col min="14" max="14" width="10.42578125" style="26" customWidth="1"/>
    <col min="15" max="15" width="10.42578125" style="31" customWidth="1"/>
    <col min="16" max="16" width="9.5703125" style="26" customWidth="1"/>
    <col min="17" max="17" width="10.5703125" style="26" customWidth="1"/>
    <col min="18" max="23" width="11.7109375" style="26" customWidth="1"/>
    <col min="24" max="24" width="10.5703125" style="29" customWidth="1"/>
    <col min="25" max="25" width="14.42578125" style="29" bestFit="1" customWidth="1"/>
    <col min="26" max="26" width="8.85546875" style="26"/>
    <col min="27" max="27" width="11.7109375" style="26" customWidth="1"/>
    <col min="28" max="28" width="11.85546875" style="26" customWidth="1"/>
    <col min="29" max="29" width="12.28515625" style="26" customWidth="1"/>
    <col min="30" max="30" width="12.7109375" style="26" bestFit="1" customWidth="1"/>
    <col min="31" max="31" width="10.42578125" style="26" customWidth="1"/>
    <col min="32" max="34" width="11.5703125" style="26" bestFit="1" customWidth="1"/>
    <col min="35" max="35" width="11.28515625" style="26" customWidth="1"/>
    <col min="36" max="16384" width="8.85546875" style="26"/>
  </cols>
  <sheetData>
    <row r="1" spans="1:36" s="60" customFormat="1" ht="57" x14ac:dyDescent="0.25">
      <c r="A1" s="57" t="s">
        <v>17</v>
      </c>
      <c r="B1" s="57" t="s">
        <v>78</v>
      </c>
      <c r="C1" s="57" t="s">
        <v>65</v>
      </c>
      <c r="D1" s="57" t="s">
        <v>66</v>
      </c>
      <c r="E1" s="57" t="s">
        <v>38</v>
      </c>
      <c r="F1" s="57" t="s">
        <v>39</v>
      </c>
      <c r="G1" s="57" t="s">
        <v>40</v>
      </c>
      <c r="H1" s="57" t="s">
        <v>77</v>
      </c>
      <c r="I1" s="57" t="s">
        <v>129</v>
      </c>
      <c r="J1" s="57" t="s">
        <v>130</v>
      </c>
      <c r="K1" s="58" t="s">
        <v>18</v>
      </c>
      <c r="L1" s="58" t="s">
        <v>19</v>
      </c>
      <c r="M1" s="58"/>
      <c r="N1" s="57" t="s">
        <v>22</v>
      </c>
      <c r="O1" s="149" t="s">
        <v>78</v>
      </c>
      <c r="P1" s="57" t="s">
        <v>65</v>
      </c>
      <c r="Q1" s="57" t="s">
        <v>66</v>
      </c>
      <c r="R1" s="57" t="s">
        <v>38</v>
      </c>
      <c r="S1" s="57" t="s">
        <v>39</v>
      </c>
      <c r="T1" s="57" t="s">
        <v>40</v>
      </c>
      <c r="U1" s="57" t="s">
        <v>77</v>
      </c>
      <c r="V1" s="57" t="s">
        <v>129</v>
      </c>
      <c r="W1" s="57" t="s">
        <v>130</v>
      </c>
      <c r="X1" s="58" t="s">
        <v>18</v>
      </c>
      <c r="Y1" s="58" t="s">
        <v>19</v>
      </c>
      <c r="Z1" s="59"/>
      <c r="AA1" s="57" t="s">
        <v>78</v>
      </c>
      <c r="AB1" s="57" t="s">
        <v>65</v>
      </c>
      <c r="AC1" s="57" t="s">
        <v>66</v>
      </c>
      <c r="AD1" s="57" t="s">
        <v>38</v>
      </c>
      <c r="AE1" s="57" t="s">
        <v>39</v>
      </c>
      <c r="AF1" s="57" t="s">
        <v>40</v>
      </c>
      <c r="AG1" s="57" t="s">
        <v>77</v>
      </c>
      <c r="AH1" s="57" t="s">
        <v>129</v>
      </c>
      <c r="AI1" s="57" t="s">
        <v>130</v>
      </c>
    </row>
    <row r="2" spans="1:36" x14ac:dyDescent="0.25">
      <c r="A2" s="23" t="s">
        <v>20</v>
      </c>
      <c r="B2" s="23"/>
      <c r="C2" s="24"/>
      <c r="D2" s="24"/>
      <c r="E2" s="24"/>
      <c r="F2" s="24"/>
      <c r="G2" s="24"/>
      <c r="H2" s="24"/>
      <c r="I2" s="24"/>
      <c r="J2" s="24"/>
      <c r="K2" s="25"/>
      <c r="L2" s="25"/>
      <c r="M2" s="30"/>
      <c r="N2" s="23" t="s">
        <v>20</v>
      </c>
      <c r="O2" s="27"/>
      <c r="P2" s="24"/>
      <c r="Q2" s="24"/>
      <c r="R2" s="24"/>
      <c r="S2" s="24"/>
      <c r="T2" s="24"/>
      <c r="U2" s="24"/>
      <c r="V2" s="24"/>
      <c r="W2" s="24"/>
      <c r="X2" s="25"/>
      <c r="Y2" s="25"/>
      <c r="AA2" s="27">
        <f t="shared" ref="AA2:AF2" si="0">0+B114-O114</f>
        <v>100</v>
      </c>
      <c r="AB2" s="117">
        <f t="shared" si="0"/>
        <v>0</v>
      </c>
      <c r="AC2" s="117">
        <f t="shared" si="0"/>
        <v>0</v>
      </c>
      <c r="AD2" s="117">
        <f t="shared" si="0"/>
        <v>0</v>
      </c>
      <c r="AE2" s="117">
        <f t="shared" si="0"/>
        <v>0</v>
      </c>
      <c r="AF2" s="117">
        <f t="shared" si="0"/>
        <v>2</v>
      </c>
      <c r="AG2" s="27">
        <f>H114-U114</f>
        <v>2</v>
      </c>
      <c r="AH2" s="27">
        <f>0+I114-V114</f>
        <v>6</v>
      </c>
      <c r="AI2" s="27">
        <f>0+J114-W114</f>
        <v>1</v>
      </c>
      <c r="AJ2" s="31"/>
    </row>
    <row r="3" spans="1:36" x14ac:dyDescent="0.25">
      <c r="A3" s="28">
        <v>45524</v>
      </c>
      <c r="B3" s="27"/>
      <c r="C3" s="27">
        <v>125</v>
      </c>
      <c r="D3" s="27"/>
      <c r="E3" s="27"/>
      <c r="F3" s="27"/>
      <c r="G3" s="27"/>
      <c r="H3" s="27"/>
      <c r="I3" s="27"/>
      <c r="J3" s="27"/>
      <c r="K3" s="25">
        <v>312</v>
      </c>
      <c r="L3" s="25">
        <f>B3*K3+C3*K3+D3*K3+E3*K3+F3*K3+G3*K3+H3*K3+I3*K3+J3*K3</f>
        <v>39000</v>
      </c>
      <c r="M3" s="30"/>
      <c r="N3" s="28"/>
      <c r="O3" s="27"/>
      <c r="P3" s="27">
        <v>0.12</v>
      </c>
      <c r="Q3" s="27"/>
      <c r="R3" s="27"/>
      <c r="S3" s="27"/>
      <c r="T3" s="27"/>
      <c r="U3" s="27"/>
      <c r="V3" s="27"/>
      <c r="W3" s="27"/>
      <c r="X3" s="25">
        <v>312</v>
      </c>
      <c r="Y3" s="25">
        <f>O3*X3+P3*X3+Q3*X3+R3*X3+S3*X3+T3*X3+U3*X3+V3*X3+W3*X3</f>
        <v>37.44</v>
      </c>
      <c r="AA3" s="25">
        <v>384</v>
      </c>
      <c r="AB3" s="25">
        <v>312</v>
      </c>
      <c r="AC3" s="25">
        <v>470.4</v>
      </c>
      <c r="AD3" s="25">
        <v>1465.2</v>
      </c>
      <c r="AE3" s="25">
        <v>1200</v>
      </c>
      <c r="AF3" s="25">
        <v>2070</v>
      </c>
      <c r="AG3" s="25">
        <v>1758</v>
      </c>
      <c r="AH3" s="25">
        <v>2142</v>
      </c>
      <c r="AI3" s="25">
        <v>1585.2</v>
      </c>
    </row>
    <row r="4" spans="1:36" x14ac:dyDescent="0.25">
      <c r="A4" s="24"/>
      <c r="B4" s="27"/>
      <c r="C4" s="27"/>
      <c r="D4" s="27">
        <v>125</v>
      </c>
      <c r="E4" s="27"/>
      <c r="F4" s="27"/>
      <c r="G4" s="27"/>
      <c r="H4" s="27"/>
      <c r="I4" s="27"/>
      <c r="J4" s="27"/>
      <c r="K4" s="25">
        <v>470.4</v>
      </c>
      <c r="L4" s="25">
        <f t="shared" ref="L4:L67" si="1">B4*K4+C4*K4+D4*K4+E4*K4+F4*K4+G4*K4+H4*K4+I4*K4+J4*K4</f>
        <v>58800</v>
      </c>
      <c r="M4" s="30"/>
      <c r="N4" s="24"/>
      <c r="O4" s="27"/>
      <c r="P4" s="27"/>
      <c r="Q4" s="27">
        <v>0.12</v>
      </c>
      <c r="R4" s="27"/>
      <c r="S4" s="27"/>
      <c r="T4" s="27"/>
      <c r="U4" s="27"/>
      <c r="V4" s="27"/>
      <c r="W4" s="27"/>
      <c r="X4" s="25">
        <v>470.4</v>
      </c>
      <c r="Y4" s="25">
        <f t="shared" ref="Y4:Y67" si="2">O4*X4+P4*X4+Q4*X4+R4*X4+S4*X4+T4*X4+U4*X4+V4*X4+W4*X4</f>
        <v>56.447999999999993</v>
      </c>
      <c r="AA4" s="25">
        <f>AA2*AA3</f>
        <v>38400</v>
      </c>
      <c r="AB4" s="25">
        <f>AB2*AB3</f>
        <v>0</v>
      </c>
      <c r="AC4" s="25">
        <f t="shared" ref="AC4:AI4" si="3">AC2*AC3</f>
        <v>0</v>
      </c>
      <c r="AD4" s="25">
        <f t="shared" si="3"/>
        <v>0</v>
      </c>
      <c r="AE4" s="25">
        <f t="shared" si="3"/>
        <v>0</v>
      </c>
      <c r="AF4" s="25">
        <f t="shared" si="3"/>
        <v>4140</v>
      </c>
      <c r="AG4" s="25">
        <f t="shared" si="3"/>
        <v>3516</v>
      </c>
      <c r="AH4" s="25">
        <f t="shared" si="3"/>
        <v>12852</v>
      </c>
      <c r="AI4" s="25">
        <f t="shared" si="3"/>
        <v>1585.2</v>
      </c>
    </row>
    <row r="5" spans="1:36" x14ac:dyDescent="0.25">
      <c r="A5" s="24"/>
      <c r="B5" s="27"/>
      <c r="C5" s="27"/>
      <c r="D5" s="27"/>
      <c r="E5" s="27">
        <v>3</v>
      </c>
      <c r="F5" s="27"/>
      <c r="G5" s="27"/>
      <c r="H5" s="27"/>
      <c r="I5" s="27"/>
      <c r="J5" s="27"/>
      <c r="K5" s="25">
        <v>1200</v>
      </c>
      <c r="L5" s="25">
        <f t="shared" si="1"/>
        <v>3600</v>
      </c>
      <c r="M5" s="30"/>
      <c r="N5" s="28">
        <v>45535</v>
      </c>
      <c r="O5" s="27"/>
      <c r="P5" s="27">
        <v>0.06</v>
      </c>
      <c r="Q5" s="27"/>
      <c r="R5" s="27"/>
      <c r="S5" s="27"/>
      <c r="T5" s="27"/>
      <c r="U5" s="27"/>
      <c r="V5" s="27"/>
      <c r="W5" s="27"/>
      <c r="X5" s="25">
        <v>312</v>
      </c>
      <c r="Y5" s="25">
        <f t="shared" si="2"/>
        <v>18.72</v>
      </c>
    </row>
    <row r="6" spans="1:36" x14ac:dyDescent="0.25">
      <c r="A6" s="24"/>
      <c r="B6" s="27"/>
      <c r="C6" s="27"/>
      <c r="D6" s="27"/>
      <c r="E6" s="27"/>
      <c r="F6" s="27">
        <v>3</v>
      </c>
      <c r="G6" s="27"/>
      <c r="H6" s="27"/>
      <c r="I6" s="27"/>
      <c r="J6" s="27"/>
      <c r="K6" s="25">
        <v>1200</v>
      </c>
      <c r="L6" s="25">
        <f t="shared" si="1"/>
        <v>3600</v>
      </c>
      <c r="M6" s="30"/>
      <c r="N6" s="24"/>
      <c r="O6" s="27"/>
      <c r="P6" s="27"/>
      <c r="Q6" s="27">
        <v>0.06</v>
      </c>
      <c r="R6" s="27"/>
      <c r="S6" s="27"/>
      <c r="T6" s="27"/>
      <c r="U6" s="27"/>
      <c r="V6" s="27"/>
      <c r="W6" s="27"/>
      <c r="X6" s="25">
        <v>470.4</v>
      </c>
      <c r="Y6" s="25">
        <f t="shared" si="2"/>
        <v>28.223999999999997</v>
      </c>
    </row>
    <row r="7" spans="1:36" x14ac:dyDescent="0.25">
      <c r="A7" s="24"/>
      <c r="B7" s="27"/>
      <c r="C7" s="27"/>
      <c r="D7" s="27"/>
      <c r="E7" s="27"/>
      <c r="F7" s="27"/>
      <c r="G7" s="27">
        <v>3</v>
      </c>
      <c r="H7" s="27"/>
      <c r="I7" s="27"/>
      <c r="J7" s="27"/>
      <c r="K7" s="25">
        <v>1596</v>
      </c>
      <c r="L7" s="25">
        <f t="shared" si="1"/>
        <v>4788</v>
      </c>
      <c r="M7" s="30"/>
      <c r="N7" s="28">
        <v>45545</v>
      </c>
      <c r="O7" s="27"/>
      <c r="P7" s="27">
        <v>0.6</v>
      </c>
      <c r="Q7" s="27"/>
      <c r="R7" s="27"/>
      <c r="S7" s="27"/>
      <c r="T7" s="27"/>
      <c r="U7" s="27"/>
      <c r="V7" s="27"/>
      <c r="W7" s="27"/>
      <c r="X7" s="25">
        <v>312</v>
      </c>
      <c r="Y7" s="25">
        <f t="shared" si="2"/>
        <v>187.2</v>
      </c>
    </row>
    <row r="8" spans="1:36" x14ac:dyDescent="0.25">
      <c r="A8" s="24"/>
      <c r="B8" s="27"/>
      <c r="C8" s="27"/>
      <c r="D8" s="27"/>
      <c r="E8" s="27"/>
      <c r="F8" s="27"/>
      <c r="G8" s="27"/>
      <c r="H8" s="27"/>
      <c r="I8" s="27"/>
      <c r="J8" s="27"/>
      <c r="K8" s="25"/>
      <c r="L8" s="25">
        <f t="shared" si="1"/>
        <v>0</v>
      </c>
      <c r="M8" s="30"/>
      <c r="N8" s="24"/>
      <c r="O8" s="27"/>
      <c r="P8" s="27"/>
      <c r="Q8" s="27">
        <v>0.6</v>
      </c>
      <c r="R8" s="27"/>
      <c r="S8" s="27"/>
      <c r="T8" s="27"/>
      <c r="U8" s="27"/>
      <c r="V8" s="27"/>
      <c r="W8" s="27"/>
      <c r="X8" s="25">
        <v>470.4</v>
      </c>
      <c r="Y8" s="25">
        <f t="shared" si="2"/>
        <v>282.23999999999995</v>
      </c>
    </row>
    <row r="9" spans="1:36" x14ac:dyDescent="0.25">
      <c r="A9" s="24"/>
      <c r="B9" s="27"/>
      <c r="C9" s="27"/>
      <c r="D9" s="27"/>
      <c r="E9" s="27"/>
      <c r="F9" s="27"/>
      <c r="G9" s="27"/>
      <c r="H9" s="27"/>
      <c r="I9" s="27"/>
      <c r="J9" s="27"/>
      <c r="K9" s="25"/>
      <c r="L9" s="25">
        <f t="shared" si="1"/>
        <v>0</v>
      </c>
      <c r="M9" s="30"/>
      <c r="N9" s="28">
        <v>45551</v>
      </c>
      <c r="O9" s="27"/>
      <c r="P9" s="27">
        <v>0.5</v>
      </c>
      <c r="Q9" s="27"/>
      <c r="R9" s="27"/>
      <c r="S9" s="27"/>
      <c r="T9" s="27"/>
      <c r="U9" s="27"/>
      <c r="V9" s="27"/>
      <c r="W9" s="27"/>
      <c r="X9" s="25">
        <v>312</v>
      </c>
      <c r="Y9" s="25">
        <f t="shared" si="2"/>
        <v>156</v>
      </c>
    </row>
    <row r="10" spans="1:36" x14ac:dyDescent="0.25">
      <c r="A10" s="24"/>
      <c r="B10" s="27"/>
      <c r="C10" s="27"/>
      <c r="D10" s="27"/>
      <c r="E10" s="27"/>
      <c r="F10" s="27"/>
      <c r="G10" s="27"/>
      <c r="H10" s="27"/>
      <c r="I10" s="27"/>
      <c r="J10" s="27"/>
      <c r="K10" s="25"/>
      <c r="L10" s="25">
        <f t="shared" si="1"/>
        <v>0</v>
      </c>
      <c r="M10" s="30"/>
      <c r="N10" s="24"/>
      <c r="O10" s="27"/>
      <c r="P10" s="27"/>
      <c r="Q10" s="27">
        <v>0.5</v>
      </c>
      <c r="R10" s="27"/>
      <c r="S10" s="27"/>
      <c r="T10" s="27"/>
      <c r="U10" s="27"/>
      <c r="V10" s="27"/>
      <c r="W10" s="27"/>
      <c r="X10" s="25">
        <v>470.4</v>
      </c>
      <c r="Y10" s="25">
        <f t="shared" si="2"/>
        <v>235.2</v>
      </c>
    </row>
    <row r="11" spans="1:36" x14ac:dyDescent="0.25">
      <c r="A11" s="24"/>
      <c r="B11" s="27"/>
      <c r="C11" s="27"/>
      <c r="D11" s="27"/>
      <c r="E11" s="27"/>
      <c r="F11" s="27"/>
      <c r="G11" s="27"/>
      <c r="H11" s="27"/>
      <c r="I11" s="27"/>
      <c r="J11" s="27"/>
      <c r="K11" s="25"/>
      <c r="L11" s="25">
        <f t="shared" si="1"/>
        <v>0</v>
      </c>
      <c r="M11" s="30"/>
      <c r="N11" s="28">
        <v>45558</v>
      </c>
      <c r="O11" s="27"/>
      <c r="P11" s="27"/>
      <c r="Q11" s="27"/>
      <c r="R11" s="143"/>
      <c r="S11" s="27"/>
      <c r="T11" s="27"/>
      <c r="U11" s="27"/>
      <c r="V11" s="27"/>
      <c r="W11" s="27"/>
      <c r="X11" s="25">
        <v>1200</v>
      </c>
      <c r="Y11" s="25">
        <f t="shared" si="2"/>
        <v>0</v>
      </c>
      <c r="Z11" s="26">
        <v>4.4999999999999998E-2</v>
      </c>
    </row>
    <row r="12" spans="1:36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7"/>
      <c r="K12" s="25"/>
      <c r="L12" s="25">
        <f t="shared" si="1"/>
        <v>0</v>
      </c>
      <c r="M12" s="30"/>
      <c r="N12" s="24"/>
      <c r="O12" s="27"/>
      <c r="P12" s="27">
        <v>0.5</v>
      </c>
      <c r="Q12" s="27"/>
      <c r="R12" s="27"/>
      <c r="S12" s="27"/>
      <c r="T12" s="27"/>
      <c r="U12" s="27"/>
      <c r="V12" s="27"/>
      <c r="W12" s="27"/>
      <c r="X12" s="25">
        <v>312</v>
      </c>
      <c r="Y12" s="25">
        <f t="shared" si="2"/>
        <v>156</v>
      </c>
    </row>
    <row r="13" spans="1:36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7"/>
      <c r="K13" s="25"/>
      <c r="L13" s="25">
        <f t="shared" si="1"/>
        <v>0</v>
      </c>
      <c r="M13" s="30"/>
      <c r="N13" s="28">
        <v>45560</v>
      </c>
      <c r="O13" s="27"/>
      <c r="P13" s="27"/>
      <c r="Q13" s="27"/>
      <c r="R13" s="27"/>
      <c r="S13" s="27">
        <v>0.06</v>
      </c>
      <c r="T13" s="27"/>
      <c r="U13" s="27"/>
      <c r="V13" s="27"/>
      <c r="W13" s="27"/>
      <c r="X13" s="25">
        <v>1200</v>
      </c>
      <c r="Y13" s="25">
        <f t="shared" si="2"/>
        <v>72</v>
      </c>
    </row>
    <row r="14" spans="1:36" x14ac:dyDescent="0.25">
      <c r="A14" s="24"/>
      <c r="B14" s="27"/>
      <c r="C14" s="27"/>
      <c r="D14" s="27"/>
      <c r="E14" s="27"/>
      <c r="F14" s="27"/>
      <c r="G14" s="27"/>
      <c r="H14" s="27"/>
      <c r="I14" s="27"/>
      <c r="J14" s="27"/>
      <c r="K14" s="25"/>
      <c r="L14" s="25">
        <f t="shared" si="1"/>
        <v>0</v>
      </c>
      <c r="M14" s="30"/>
      <c r="N14" s="24"/>
      <c r="O14" s="27"/>
      <c r="P14" s="27">
        <v>1</v>
      </c>
      <c r="Q14" s="27"/>
      <c r="R14" s="27"/>
      <c r="S14" s="27"/>
      <c r="T14" s="27"/>
      <c r="U14" s="27"/>
      <c r="V14" s="27"/>
      <c r="W14" s="27"/>
      <c r="X14" s="25">
        <v>312</v>
      </c>
      <c r="Y14" s="25">
        <f t="shared" si="2"/>
        <v>312</v>
      </c>
    </row>
    <row r="15" spans="1:36" x14ac:dyDescent="0.25">
      <c r="A15" s="24"/>
      <c r="B15" s="27"/>
      <c r="C15" s="27"/>
      <c r="D15" s="27"/>
      <c r="E15" s="27"/>
      <c r="F15" s="27"/>
      <c r="G15" s="27"/>
      <c r="H15" s="27"/>
      <c r="I15" s="27"/>
      <c r="J15" s="27"/>
      <c r="K15" s="25"/>
      <c r="L15" s="25">
        <f t="shared" si="1"/>
        <v>0</v>
      </c>
      <c r="M15" s="30"/>
      <c r="N15" s="24"/>
      <c r="O15" s="27"/>
      <c r="P15" s="27"/>
      <c r="Q15" s="27">
        <v>1</v>
      </c>
      <c r="R15" s="27"/>
      <c r="S15" s="27"/>
      <c r="T15" s="27"/>
      <c r="U15" s="27"/>
      <c r="V15" s="27"/>
      <c r="W15" s="27"/>
      <c r="X15" s="25">
        <v>470.4</v>
      </c>
      <c r="Y15" s="25">
        <f t="shared" si="2"/>
        <v>470.4</v>
      </c>
    </row>
    <row r="16" spans="1:36" ht="16.5" thickBot="1" x14ac:dyDescent="0.3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25">
        <f t="shared" si="1"/>
        <v>0</v>
      </c>
      <c r="M16" s="126"/>
      <c r="N16" s="123"/>
      <c r="O16" s="124"/>
      <c r="P16" s="124"/>
      <c r="Q16" s="124"/>
      <c r="R16" s="124">
        <v>0.06</v>
      </c>
      <c r="S16" s="124"/>
      <c r="T16" s="124"/>
      <c r="U16" s="124"/>
      <c r="V16" s="124"/>
      <c r="W16" s="124"/>
      <c r="X16" s="125">
        <v>1200</v>
      </c>
      <c r="Y16" s="25">
        <f t="shared" si="2"/>
        <v>72</v>
      </c>
    </row>
    <row r="17" spans="1:25" x14ac:dyDescent="0.25">
      <c r="A17" s="118"/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25">
        <f t="shared" si="1"/>
        <v>0</v>
      </c>
      <c r="M17" s="121"/>
      <c r="N17" s="122">
        <v>45567</v>
      </c>
      <c r="O17" s="119"/>
      <c r="P17" s="119"/>
      <c r="Q17" s="119"/>
      <c r="R17" s="119"/>
      <c r="S17" s="119">
        <v>0.09</v>
      </c>
      <c r="T17" s="119"/>
      <c r="U17" s="119"/>
      <c r="V17" s="119"/>
      <c r="W17" s="119"/>
      <c r="X17" s="120">
        <v>1200</v>
      </c>
      <c r="Y17" s="25">
        <f t="shared" si="2"/>
        <v>108</v>
      </c>
    </row>
    <row r="18" spans="1:25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7"/>
      <c r="K18" s="25"/>
      <c r="L18" s="25">
        <f t="shared" si="1"/>
        <v>0</v>
      </c>
      <c r="M18" s="30"/>
      <c r="N18" s="28">
        <v>45568</v>
      </c>
      <c r="O18" s="27"/>
      <c r="P18" s="27"/>
      <c r="Q18" s="27"/>
      <c r="R18" s="27"/>
      <c r="S18" s="27">
        <v>0.15</v>
      </c>
      <c r="T18" s="27"/>
      <c r="U18" s="27"/>
      <c r="V18" s="27"/>
      <c r="W18" s="27"/>
      <c r="X18" s="25">
        <v>1200</v>
      </c>
      <c r="Y18" s="25">
        <f t="shared" si="2"/>
        <v>180</v>
      </c>
    </row>
    <row r="19" spans="1:25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7"/>
      <c r="K19" s="25"/>
      <c r="L19" s="25">
        <f t="shared" si="1"/>
        <v>0</v>
      </c>
      <c r="M19" s="30"/>
      <c r="N19" s="24"/>
      <c r="O19" s="27"/>
      <c r="P19" s="27"/>
      <c r="Q19" s="27">
        <v>9</v>
      </c>
      <c r="R19" s="27"/>
      <c r="S19" s="27"/>
      <c r="T19" s="27"/>
      <c r="U19" s="27"/>
      <c r="V19" s="27"/>
      <c r="W19" s="27"/>
      <c r="X19" s="25">
        <v>470</v>
      </c>
      <c r="Y19" s="25">
        <f t="shared" si="2"/>
        <v>4230</v>
      </c>
    </row>
    <row r="20" spans="1:25" x14ac:dyDescent="0.25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5"/>
      <c r="L20" s="25">
        <f t="shared" si="1"/>
        <v>0</v>
      </c>
      <c r="M20" s="30"/>
      <c r="N20" s="28">
        <v>45603</v>
      </c>
      <c r="O20" s="27"/>
      <c r="P20" s="27"/>
      <c r="Q20" s="27"/>
      <c r="R20" s="27"/>
      <c r="S20" s="27"/>
      <c r="T20" s="27">
        <v>0.47</v>
      </c>
      <c r="U20" s="27"/>
      <c r="V20" s="27"/>
      <c r="W20" s="27"/>
      <c r="X20" s="25">
        <v>1596</v>
      </c>
      <c r="Y20" s="25">
        <f t="shared" si="2"/>
        <v>750.12</v>
      </c>
    </row>
    <row r="21" spans="1:25" x14ac:dyDescent="0.25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5"/>
      <c r="L21" s="25">
        <f t="shared" si="1"/>
        <v>0</v>
      </c>
      <c r="M21" s="30"/>
      <c r="N21" s="28">
        <v>45576</v>
      </c>
      <c r="O21" s="27"/>
      <c r="P21" s="27"/>
      <c r="Q21" s="27"/>
      <c r="R21" s="27"/>
      <c r="S21" s="27"/>
      <c r="T21" s="27">
        <v>0.53</v>
      </c>
      <c r="U21" s="27"/>
      <c r="V21" s="27"/>
      <c r="W21" s="27"/>
      <c r="X21" s="25">
        <v>1596</v>
      </c>
      <c r="Y21" s="25">
        <f t="shared" si="2"/>
        <v>845.88</v>
      </c>
    </row>
    <row r="22" spans="1:25" x14ac:dyDescent="0.25">
      <c r="A22" s="24"/>
      <c r="B22" s="27"/>
      <c r="C22" s="27"/>
      <c r="D22" s="27"/>
      <c r="E22" s="27"/>
      <c r="F22" s="27"/>
      <c r="G22" s="27"/>
      <c r="H22" s="27"/>
      <c r="I22" s="27"/>
      <c r="J22" s="27"/>
      <c r="K22" s="25"/>
      <c r="L22" s="25">
        <f t="shared" si="1"/>
        <v>0</v>
      </c>
      <c r="M22" s="30"/>
      <c r="N22" s="24"/>
      <c r="O22" s="27"/>
      <c r="P22" s="27"/>
      <c r="Q22" s="27"/>
      <c r="R22" s="27">
        <v>0.9</v>
      </c>
      <c r="S22" s="27"/>
      <c r="T22" s="27"/>
      <c r="U22" s="27"/>
      <c r="V22" s="27"/>
      <c r="W22" s="27"/>
      <c r="X22" s="25">
        <v>1200</v>
      </c>
      <c r="Y22" s="25">
        <f t="shared" si="2"/>
        <v>1080</v>
      </c>
    </row>
    <row r="23" spans="1:25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7"/>
      <c r="K23" s="25"/>
      <c r="L23" s="25">
        <f t="shared" si="1"/>
        <v>0</v>
      </c>
      <c r="M23" s="30"/>
      <c r="N23" s="24"/>
      <c r="O23" s="27"/>
      <c r="P23" s="27"/>
      <c r="Q23" s="27"/>
      <c r="R23" s="27"/>
      <c r="S23" s="27">
        <v>0.7</v>
      </c>
      <c r="T23" s="27"/>
      <c r="U23" s="27"/>
      <c r="V23" s="27"/>
      <c r="W23" s="27"/>
      <c r="X23" s="25">
        <v>1200</v>
      </c>
      <c r="Y23" s="25">
        <f t="shared" si="2"/>
        <v>840</v>
      </c>
    </row>
    <row r="24" spans="1:25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7"/>
      <c r="K24" s="25"/>
      <c r="L24" s="25">
        <f t="shared" si="1"/>
        <v>0</v>
      </c>
      <c r="M24" s="30"/>
      <c r="N24" s="24"/>
      <c r="O24" s="27"/>
      <c r="P24" s="27"/>
      <c r="Q24" s="27">
        <v>38.72</v>
      </c>
      <c r="R24" s="27"/>
      <c r="S24" s="27"/>
      <c r="T24" s="27"/>
      <c r="U24" s="27"/>
      <c r="V24" s="27"/>
      <c r="W24" s="27"/>
      <c r="X24" s="25">
        <v>470.4</v>
      </c>
      <c r="Y24" s="25">
        <f t="shared" si="2"/>
        <v>18213.887999999999</v>
      </c>
    </row>
    <row r="25" spans="1:25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7"/>
      <c r="K25" s="25"/>
      <c r="L25" s="25">
        <f t="shared" si="1"/>
        <v>0</v>
      </c>
      <c r="M25" s="30"/>
      <c r="N25" s="28">
        <v>45583</v>
      </c>
      <c r="O25" s="27"/>
      <c r="P25" s="27"/>
      <c r="Q25" s="27"/>
      <c r="R25" s="27">
        <v>0</v>
      </c>
      <c r="S25" s="27">
        <v>0</v>
      </c>
      <c r="T25" s="27"/>
      <c r="U25" s="27"/>
      <c r="V25" s="27"/>
      <c r="W25" s="27"/>
      <c r="X25" s="25">
        <v>1200</v>
      </c>
      <c r="Y25" s="25">
        <f t="shared" si="2"/>
        <v>0</v>
      </c>
    </row>
    <row r="26" spans="1:25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7"/>
      <c r="K26" s="25"/>
      <c r="L26" s="25">
        <f t="shared" si="1"/>
        <v>0</v>
      </c>
      <c r="M26" s="30"/>
      <c r="N26" s="24"/>
      <c r="O26" s="27"/>
      <c r="P26" s="27">
        <v>17</v>
      </c>
      <c r="Q26" s="27"/>
      <c r="R26" s="27"/>
      <c r="S26" s="27"/>
      <c r="T26" s="27"/>
      <c r="U26" s="27"/>
      <c r="V26" s="27"/>
      <c r="W26" s="27"/>
      <c r="X26" s="25">
        <v>312</v>
      </c>
      <c r="Y26" s="25">
        <f t="shared" si="2"/>
        <v>5304</v>
      </c>
    </row>
    <row r="27" spans="1:25" x14ac:dyDescent="0.25">
      <c r="A27" s="24"/>
      <c r="B27" s="27"/>
      <c r="C27" s="27"/>
      <c r="D27" s="27"/>
      <c r="E27" s="27"/>
      <c r="F27" s="27"/>
      <c r="G27" s="27"/>
      <c r="H27" s="27"/>
      <c r="I27" s="27"/>
      <c r="J27" s="27"/>
      <c r="K27" s="25"/>
      <c r="L27" s="25">
        <f t="shared" si="1"/>
        <v>0</v>
      </c>
      <c r="M27" s="30"/>
      <c r="N27" s="24"/>
      <c r="O27" s="27"/>
      <c r="P27" s="27"/>
      <c r="Q27" s="27">
        <v>17</v>
      </c>
      <c r="R27" s="27"/>
      <c r="S27" s="27"/>
      <c r="T27" s="27"/>
      <c r="U27" s="27"/>
      <c r="V27" s="27"/>
      <c r="W27" s="27"/>
      <c r="X27" s="25">
        <v>470.4</v>
      </c>
      <c r="Y27" s="25">
        <f t="shared" si="2"/>
        <v>7996.7999999999993</v>
      </c>
    </row>
    <row r="28" spans="1:25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7"/>
      <c r="K28" s="25"/>
      <c r="L28" s="25">
        <f t="shared" si="1"/>
        <v>0</v>
      </c>
      <c r="M28" s="30"/>
      <c r="N28" s="28">
        <v>45584</v>
      </c>
      <c r="O28" s="27"/>
      <c r="P28" s="27">
        <v>1</v>
      </c>
      <c r="Q28" s="27"/>
      <c r="R28" s="27"/>
      <c r="S28" s="27"/>
      <c r="T28" s="27"/>
      <c r="U28" s="27"/>
      <c r="V28" s="27"/>
      <c r="W28" s="27"/>
      <c r="X28" s="25">
        <v>312</v>
      </c>
      <c r="Y28" s="25">
        <f t="shared" si="2"/>
        <v>312</v>
      </c>
    </row>
    <row r="29" spans="1:25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7"/>
      <c r="K29" s="25"/>
      <c r="L29" s="25">
        <f t="shared" si="1"/>
        <v>0</v>
      </c>
      <c r="M29" s="30"/>
      <c r="N29" s="28"/>
      <c r="O29" s="27"/>
      <c r="P29" s="27"/>
      <c r="Q29" s="27"/>
      <c r="R29" s="27">
        <v>0</v>
      </c>
      <c r="S29" s="27"/>
      <c r="T29" s="27"/>
      <c r="U29" s="27"/>
      <c r="V29" s="27"/>
      <c r="W29" s="27"/>
      <c r="X29" s="25">
        <v>1200</v>
      </c>
      <c r="Y29" s="25">
        <f t="shared" si="2"/>
        <v>0</v>
      </c>
    </row>
    <row r="30" spans="1:25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7"/>
      <c r="K30" s="25"/>
      <c r="L30" s="25">
        <f t="shared" si="1"/>
        <v>0</v>
      </c>
      <c r="M30" s="30"/>
      <c r="N30" s="28">
        <v>45586</v>
      </c>
      <c r="O30" s="27"/>
      <c r="P30" s="27"/>
      <c r="Q30" s="27"/>
      <c r="R30" s="27">
        <v>0</v>
      </c>
      <c r="S30" s="27"/>
      <c r="T30" s="27"/>
      <c r="U30" s="27"/>
      <c r="V30" s="27"/>
      <c r="W30" s="27"/>
      <c r="X30" s="25">
        <v>1200</v>
      </c>
      <c r="Y30" s="25">
        <f t="shared" si="2"/>
        <v>0</v>
      </c>
    </row>
    <row r="31" spans="1:25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7"/>
      <c r="K31" s="25"/>
      <c r="L31" s="25">
        <f t="shared" si="1"/>
        <v>0</v>
      </c>
      <c r="M31" s="30"/>
      <c r="N31" s="28">
        <v>45587</v>
      </c>
      <c r="O31" s="27"/>
      <c r="P31" s="27"/>
      <c r="Q31" s="27"/>
      <c r="R31" s="141">
        <v>0.04</v>
      </c>
      <c r="S31" s="27"/>
      <c r="T31" s="27"/>
      <c r="U31" s="27"/>
      <c r="V31" s="27"/>
      <c r="W31" s="27"/>
      <c r="X31" s="25">
        <v>1200</v>
      </c>
      <c r="Y31" s="25">
        <f t="shared" si="2"/>
        <v>48</v>
      </c>
    </row>
    <row r="32" spans="1:25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7"/>
      <c r="K32" s="25"/>
      <c r="L32" s="25">
        <f t="shared" si="1"/>
        <v>0</v>
      </c>
      <c r="M32" s="30"/>
      <c r="N32" s="28">
        <v>45589</v>
      </c>
      <c r="O32" s="27"/>
      <c r="P32" s="27"/>
      <c r="Q32" s="27"/>
      <c r="R32" s="27">
        <v>0</v>
      </c>
      <c r="S32" s="27">
        <v>0</v>
      </c>
      <c r="T32" s="27"/>
      <c r="U32" s="27"/>
      <c r="V32" s="27"/>
      <c r="W32" s="27"/>
      <c r="X32" s="25">
        <v>1200</v>
      </c>
      <c r="Y32" s="25">
        <f t="shared" si="2"/>
        <v>0</v>
      </c>
    </row>
    <row r="33" spans="1:25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7"/>
      <c r="K33" s="25"/>
      <c r="L33" s="25">
        <f t="shared" si="1"/>
        <v>0</v>
      </c>
      <c r="M33" s="30"/>
      <c r="N33" s="28">
        <v>45594</v>
      </c>
      <c r="O33" s="27"/>
      <c r="P33" s="141">
        <v>29.22</v>
      </c>
      <c r="Q33" s="27"/>
      <c r="R33" s="27"/>
      <c r="S33" s="27"/>
      <c r="T33" s="27"/>
      <c r="U33" s="27"/>
      <c r="V33" s="27"/>
      <c r="W33" s="27"/>
      <c r="X33" s="25">
        <v>312</v>
      </c>
      <c r="Y33" s="25">
        <f t="shared" si="2"/>
        <v>9116.64</v>
      </c>
    </row>
    <row r="34" spans="1:25" x14ac:dyDescent="0.25">
      <c r="A34" s="28">
        <v>45602</v>
      </c>
      <c r="B34" s="27">
        <v>25</v>
      </c>
      <c r="C34" s="27"/>
      <c r="D34" s="27"/>
      <c r="E34" s="27"/>
      <c r="F34" s="27"/>
      <c r="G34" s="27"/>
      <c r="H34" s="27"/>
      <c r="I34" s="27"/>
      <c r="J34" s="27"/>
      <c r="K34" s="25">
        <v>350.4</v>
      </c>
      <c r="L34" s="25">
        <f t="shared" si="1"/>
        <v>8760</v>
      </c>
      <c r="M34" s="30"/>
      <c r="N34" s="28"/>
      <c r="O34" s="27"/>
      <c r="P34" s="27"/>
      <c r="Q34" s="27">
        <v>8</v>
      </c>
      <c r="R34" s="27"/>
      <c r="S34" s="27"/>
      <c r="T34" s="27"/>
      <c r="U34" s="27"/>
      <c r="V34" s="27"/>
      <c r="W34" s="27"/>
      <c r="X34" s="25">
        <v>470.4</v>
      </c>
      <c r="Y34" s="25">
        <f t="shared" si="2"/>
        <v>3763.2</v>
      </c>
    </row>
    <row r="35" spans="1:25" x14ac:dyDescent="0.25">
      <c r="A35" s="24"/>
      <c r="B35" s="27"/>
      <c r="C35" s="27"/>
      <c r="D35" s="27"/>
      <c r="E35" s="27"/>
      <c r="F35" s="27"/>
      <c r="G35" s="27"/>
      <c r="H35" s="27">
        <v>3</v>
      </c>
      <c r="I35" s="27"/>
      <c r="J35" s="27"/>
      <c r="K35" s="25">
        <v>1758</v>
      </c>
      <c r="L35" s="25">
        <f t="shared" si="1"/>
        <v>5274</v>
      </c>
      <c r="M35" s="30"/>
      <c r="N35" s="28">
        <v>45602</v>
      </c>
      <c r="O35" s="27">
        <v>25</v>
      </c>
      <c r="P35" s="27"/>
      <c r="Q35" s="27"/>
      <c r="R35" s="27"/>
      <c r="S35" s="27"/>
      <c r="T35" s="27"/>
      <c r="U35" s="27"/>
      <c r="V35" s="27"/>
      <c r="W35" s="27"/>
      <c r="X35" s="25">
        <v>350.4</v>
      </c>
      <c r="Y35" s="25">
        <f t="shared" si="2"/>
        <v>8760</v>
      </c>
    </row>
    <row r="36" spans="1:25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7"/>
      <c r="K36" s="25"/>
      <c r="L36" s="25">
        <f t="shared" si="1"/>
        <v>0</v>
      </c>
      <c r="M36" s="30"/>
      <c r="N36" s="28"/>
      <c r="O36" s="27"/>
      <c r="P36" s="27"/>
      <c r="Q36" s="27"/>
      <c r="R36" s="27"/>
      <c r="S36" s="27"/>
      <c r="T36" s="27"/>
      <c r="U36" s="27">
        <v>1</v>
      </c>
      <c r="V36" s="27"/>
      <c r="W36" s="27"/>
      <c r="X36" s="25">
        <v>1758</v>
      </c>
      <c r="Y36" s="25">
        <f t="shared" si="2"/>
        <v>1758</v>
      </c>
    </row>
    <row r="37" spans="1:25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7"/>
      <c r="K37" s="25"/>
      <c r="L37" s="25">
        <f t="shared" si="1"/>
        <v>0</v>
      </c>
      <c r="M37" s="30"/>
      <c r="N37" s="28">
        <v>45618</v>
      </c>
      <c r="O37" s="27"/>
      <c r="P37" s="27"/>
      <c r="Q37" s="27"/>
      <c r="R37" s="27">
        <v>1</v>
      </c>
      <c r="S37" s="27"/>
      <c r="T37" s="27"/>
      <c r="U37" s="27"/>
      <c r="V37" s="27"/>
      <c r="W37" s="27"/>
      <c r="X37" s="25">
        <v>1200</v>
      </c>
      <c r="Y37" s="25">
        <f t="shared" si="2"/>
        <v>1200</v>
      </c>
    </row>
    <row r="38" spans="1:25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7"/>
      <c r="K38" s="25"/>
      <c r="L38" s="25">
        <f t="shared" si="1"/>
        <v>0</v>
      </c>
      <c r="M38" s="30"/>
      <c r="N38" s="28">
        <v>45631</v>
      </c>
      <c r="O38" s="27"/>
      <c r="P38" s="27"/>
      <c r="Q38" s="27"/>
      <c r="R38" s="27"/>
      <c r="S38" s="27">
        <v>1</v>
      </c>
      <c r="T38" s="27"/>
      <c r="U38" s="27"/>
      <c r="V38" s="27"/>
      <c r="W38" s="27"/>
      <c r="X38" s="25">
        <v>1200</v>
      </c>
      <c r="Y38" s="25">
        <f t="shared" si="2"/>
        <v>1200</v>
      </c>
    </row>
    <row r="39" spans="1:25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7"/>
      <c r="K39" s="25"/>
      <c r="L39" s="25">
        <f t="shared" si="1"/>
        <v>0</v>
      </c>
      <c r="M39" s="30"/>
      <c r="N39" s="28">
        <v>45638</v>
      </c>
      <c r="O39" s="27"/>
      <c r="P39" s="27"/>
      <c r="Q39" s="27"/>
      <c r="R39" s="27"/>
      <c r="S39" s="27"/>
      <c r="T39" s="27">
        <v>1</v>
      </c>
      <c r="U39" s="27"/>
      <c r="V39" s="27"/>
      <c r="W39" s="27"/>
      <c r="X39" s="25">
        <v>1596</v>
      </c>
      <c r="Y39" s="25">
        <f t="shared" si="2"/>
        <v>1596</v>
      </c>
    </row>
    <row r="40" spans="1:25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7"/>
      <c r="K40" s="25"/>
      <c r="L40" s="25">
        <f t="shared" si="1"/>
        <v>0</v>
      </c>
      <c r="M40" s="30"/>
      <c r="N40" s="28">
        <v>45645</v>
      </c>
      <c r="O40" s="27"/>
      <c r="P40" s="27"/>
      <c r="Q40" s="27"/>
      <c r="R40" s="27">
        <v>1</v>
      </c>
      <c r="S40" s="27"/>
      <c r="T40" s="27"/>
      <c r="U40" s="27"/>
      <c r="V40" s="27"/>
      <c r="W40" s="27"/>
      <c r="X40" s="25">
        <v>1200</v>
      </c>
      <c r="Y40" s="25">
        <f t="shared" si="2"/>
        <v>1200</v>
      </c>
    </row>
    <row r="41" spans="1:25" x14ac:dyDescent="0.25">
      <c r="A41" s="166" t="s">
        <v>108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8"/>
      <c r="L41" s="25">
        <f t="shared" si="1"/>
        <v>0</v>
      </c>
      <c r="M41" s="168"/>
      <c r="N41" s="169"/>
      <c r="O41" s="167"/>
      <c r="P41" s="167"/>
      <c r="Q41" s="167"/>
      <c r="R41" s="167"/>
      <c r="S41" s="167"/>
      <c r="T41" s="167"/>
      <c r="U41" s="167"/>
      <c r="V41" s="167"/>
      <c r="W41" s="167"/>
      <c r="X41" s="168"/>
      <c r="Y41" s="25">
        <f t="shared" si="2"/>
        <v>0</v>
      </c>
    </row>
    <row r="42" spans="1:25" x14ac:dyDescent="0.25">
      <c r="A42" s="28">
        <v>45666</v>
      </c>
      <c r="B42" s="27"/>
      <c r="C42" s="27"/>
      <c r="D42" s="27"/>
      <c r="E42" s="27"/>
      <c r="F42" s="27"/>
      <c r="G42" s="27">
        <v>2</v>
      </c>
      <c r="H42" s="27"/>
      <c r="I42" s="27"/>
      <c r="J42" s="27"/>
      <c r="K42" s="25">
        <v>1596</v>
      </c>
      <c r="L42" s="25">
        <f t="shared" si="1"/>
        <v>3192</v>
      </c>
      <c r="M42" s="30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5"/>
      <c r="Y42" s="25">
        <f t="shared" si="2"/>
        <v>0</v>
      </c>
    </row>
    <row r="43" spans="1:25" x14ac:dyDescent="0.25">
      <c r="A43" s="24"/>
      <c r="B43" s="27"/>
      <c r="C43" s="27"/>
      <c r="D43" s="27"/>
      <c r="E43" s="27">
        <v>2</v>
      </c>
      <c r="F43" s="27"/>
      <c r="G43" s="27"/>
      <c r="H43" s="27"/>
      <c r="I43" s="27"/>
      <c r="J43" s="27"/>
      <c r="K43" s="25">
        <v>1200</v>
      </c>
      <c r="L43" s="25">
        <f t="shared" si="1"/>
        <v>2400</v>
      </c>
      <c r="M43" s="30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5"/>
      <c r="Y43" s="25">
        <f t="shared" si="2"/>
        <v>0</v>
      </c>
    </row>
    <row r="44" spans="1:25" x14ac:dyDescent="0.25">
      <c r="A44" s="24"/>
      <c r="B44" s="27"/>
      <c r="C44" s="27"/>
      <c r="D44" s="27"/>
      <c r="E44" s="27"/>
      <c r="F44" s="27"/>
      <c r="G44" s="27"/>
      <c r="H44" s="27">
        <v>2</v>
      </c>
      <c r="I44" s="27"/>
      <c r="J44" s="27"/>
      <c r="K44" s="25">
        <v>1758</v>
      </c>
      <c r="L44" s="25">
        <f t="shared" si="1"/>
        <v>3516</v>
      </c>
      <c r="M44" s="30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5"/>
      <c r="Y44" s="25">
        <f t="shared" si="2"/>
        <v>0</v>
      </c>
    </row>
    <row r="45" spans="1:25" x14ac:dyDescent="0.25">
      <c r="A45" s="24"/>
      <c r="B45" s="27"/>
      <c r="C45" s="27"/>
      <c r="D45" s="27"/>
      <c r="E45" s="27"/>
      <c r="F45" s="27">
        <v>2</v>
      </c>
      <c r="G45" s="27"/>
      <c r="H45" s="27"/>
      <c r="I45" s="27"/>
      <c r="J45" s="27"/>
      <c r="K45" s="25">
        <v>1200</v>
      </c>
      <c r="L45" s="25">
        <f t="shared" si="1"/>
        <v>2400</v>
      </c>
      <c r="M45" s="30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5"/>
      <c r="Y45" s="25">
        <f t="shared" si="2"/>
        <v>0</v>
      </c>
    </row>
    <row r="46" spans="1:25" x14ac:dyDescent="0.25">
      <c r="A46" s="24"/>
      <c r="B46" s="27"/>
      <c r="C46" s="27"/>
      <c r="D46" s="27"/>
      <c r="E46" s="27"/>
      <c r="F46" s="27"/>
      <c r="G46" s="27"/>
      <c r="H46" s="27"/>
      <c r="I46" s="27"/>
      <c r="J46" s="27"/>
      <c r="K46" s="25"/>
      <c r="L46" s="25">
        <f t="shared" si="1"/>
        <v>0</v>
      </c>
      <c r="M46" s="30"/>
      <c r="N46" s="28">
        <v>45667</v>
      </c>
      <c r="O46" s="27"/>
      <c r="P46" s="27"/>
      <c r="Q46" s="27"/>
      <c r="R46" s="27"/>
      <c r="S46" s="27"/>
      <c r="T46" s="27">
        <v>1</v>
      </c>
      <c r="U46" s="27"/>
      <c r="V46" s="27"/>
      <c r="W46" s="27"/>
      <c r="X46" s="25">
        <v>1596</v>
      </c>
      <c r="Y46" s="25">
        <f t="shared" si="2"/>
        <v>1596</v>
      </c>
    </row>
    <row r="47" spans="1:25" x14ac:dyDescent="0.25">
      <c r="A47" s="24"/>
      <c r="B47" s="27">
        <v>100</v>
      </c>
      <c r="C47" s="27"/>
      <c r="D47" s="27"/>
      <c r="E47" s="27"/>
      <c r="F47" s="27"/>
      <c r="G47" s="27"/>
      <c r="H47" s="27"/>
      <c r="I47" s="27"/>
      <c r="J47" s="27"/>
      <c r="K47" s="25">
        <v>350.4</v>
      </c>
      <c r="L47" s="25">
        <f t="shared" si="1"/>
        <v>35040</v>
      </c>
      <c r="M47" s="30"/>
      <c r="N47" s="28">
        <v>45677</v>
      </c>
      <c r="O47" s="27">
        <v>25</v>
      </c>
      <c r="P47" s="27"/>
      <c r="Q47" s="27"/>
      <c r="R47" s="27"/>
      <c r="S47" s="27"/>
      <c r="T47" s="27"/>
      <c r="U47" s="27"/>
      <c r="V47" s="27"/>
      <c r="W47" s="27"/>
      <c r="X47" s="25">
        <v>350.4</v>
      </c>
      <c r="Y47" s="25">
        <f t="shared" si="2"/>
        <v>8760</v>
      </c>
    </row>
    <row r="48" spans="1:25" x14ac:dyDescent="0.25">
      <c r="A48" s="24"/>
      <c r="B48" s="27"/>
      <c r="C48" s="27"/>
      <c r="D48" s="27"/>
      <c r="E48" s="27"/>
      <c r="F48" s="27"/>
      <c r="G48" s="27"/>
      <c r="H48" s="27"/>
      <c r="I48" s="27"/>
      <c r="J48" s="27"/>
      <c r="K48" s="25"/>
      <c r="L48" s="25">
        <f t="shared" si="1"/>
        <v>0</v>
      </c>
      <c r="M48" s="30"/>
      <c r="N48" s="28">
        <v>45681</v>
      </c>
      <c r="O48" s="27"/>
      <c r="P48" s="27"/>
      <c r="Q48" s="27"/>
      <c r="R48" s="27">
        <v>1</v>
      </c>
      <c r="S48" s="27"/>
      <c r="T48" s="27"/>
      <c r="U48" s="27"/>
      <c r="V48" s="27"/>
      <c r="W48" s="27"/>
      <c r="X48" s="25">
        <v>1200</v>
      </c>
      <c r="Y48" s="25">
        <f t="shared" si="2"/>
        <v>1200</v>
      </c>
    </row>
    <row r="49" spans="1:25" x14ac:dyDescent="0.25">
      <c r="A49" s="24"/>
      <c r="B49" s="27"/>
      <c r="C49" s="27"/>
      <c r="D49" s="27"/>
      <c r="E49" s="27"/>
      <c r="F49" s="27"/>
      <c r="G49" s="27"/>
      <c r="H49" s="27"/>
      <c r="I49" s="27"/>
      <c r="J49" s="27"/>
      <c r="K49" s="25"/>
      <c r="L49" s="25">
        <f t="shared" si="1"/>
        <v>0</v>
      </c>
      <c r="M49" s="30"/>
      <c r="N49" s="28">
        <v>45686</v>
      </c>
      <c r="O49" s="27"/>
      <c r="P49" s="27"/>
      <c r="Q49" s="27"/>
      <c r="R49" s="27"/>
      <c r="S49" s="27">
        <v>1</v>
      </c>
      <c r="T49" s="27"/>
      <c r="U49" s="27"/>
      <c r="V49" s="27"/>
      <c r="W49" s="27"/>
      <c r="X49" s="25">
        <v>1200</v>
      </c>
      <c r="Y49" s="25">
        <f t="shared" si="2"/>
        <v>1200</v>
      </c>
    </row>
    <row r="50" spans="1:25" x14ac:dyDescent="0.25">
      <c r="A50" s="24"/>
      <c r="B50" s="27"/>
      <c r="C50" s="27"/>
      <c r="D50" s="27"/>
      <c r="E50" s="27"/>
      <c r="F50" s="27"/>
      <c r="G50" s="27"/>
      <c r="H50" s="27"/>
      <c r="I50" s="27"/>
      <c r="J50" s="27"/>
      <c r="K50" s="25"/>
      <c r="L50" s="25">
        <f t="shared" si="1"/>
        <v>0</v>
      </c>
      <c r="M50" s="30"/>
      <c r="N50" s="28">
        <v>45688</v>
      </c>
      <c r="O50" s="27">
        <v>25</v>
      </c>
      <c r="P50" s="27"/>
      <c r="Q50" s="27"/>
      <c r="R50" s="27"/>
      <c r="S50" s="27"/>
      <c r="T50" s="27"/>
      <c r="U50" s="27"/>
      <c r="V50" s="27"/>
      <c r="W50" s="27"/>
      <c r="X50" s="25">
        <v>350.4</v>
      </c>
      <c r="Y50" s="25">
        <f t="shared" si="2"/>
        <v>8760</v>
      </c>
    </row>
    <row r="51" spans="1:25" x14ac:dyDescent="0.25">
      <c r="A51" s="24"/>
      <c r="B51" s="27"/>
      <c r="C51" s="27"/>
      <c r="D51" s="27"/>
      <c r="E51" s="27"/>
      <c r="F51" s="27"/>
      <c r="G51" s="27"/>
      <c r="H51" s="27"/>
      <c r="I51" s="27"/>
      <c r="J51" s="27"/>
      <c r="K51" s="25"/>
      <c r="L51" s="25">
        <f t="shared" si="1"/>
        <v>0</v>
      </c>
      <c r="M51" s="30"/>
      <c r="N51" s="169">
        <v>45692</v>
      </c>
      <c r="O51" s="141"/>
      <c r="P51" s="141"/>
      <c r="Q51" s="141"/>
      <c r="R51" s="141">
        <v>1</v>
      </c>
      <c r="S51" s="141"/>
      <c r="T51" s="141"/>
      <c r="U51" s="141"/>
      <c r="V51" s="141"/>
      <c r="W51" s="141"/>
      <c r="X51" s="148">
        <v>1200</v>
      </c>
      <c r="Y51" s="148">
        <f t="shared" si="2"/>
        <v>1200</v>
      </c>
    </row>
    <row r="52" spans="1:25" x14ac:dyDescent="0.25">
      <c r="A52" s="24"/>
      <c r="B52" s="27"/>
      <c r="C52" s="27"/>
      <c r="D52" s="27"/>
      <c r="E52" s="27"/>
      <c r="F52" s="27"/>
      <c r="G52" s="27"/>
      <c r="H52" s="27"/>
      <c r="I52" s="27"/>
      <c r="J52" s="27"/>
      <c r="K52" s="25"/>
      <c r="L52" s="25">
        <f t="shared" si="1"/>
        <v>0</v>
      </c>
      <c r="M52" s="30"/>
      <c r="N52" s="28">
        <v>45693</v>
      </c>
      <c r="O52" s="27">
        <v>25</v>
      </c>
      <c r="P52" s="27"/>
      <c r="Q52" s="27"/>
      <c r="R52" s="27"/>
      <c r="S52" s="27"/>
      <c r="T52" s="27"/>
      <c r="U52" s="27"/>
      <c r="V52" s="27"/>
      <c r="W52" s="27"/>
      <c r="X52" s="25">
        <v>350.4</v>
      </c>
      <c r="Y52" s="25">
        <f t="shared" si="2"/>
        <v>8760</v>
      </c>
    </row>
    <row r="53" spans="1:25" x14ac:dyDescent="0.25">
      <c r="A53" s="24"/>
      <c r="B53" s="27"/>
      <c r="C53" s="27"/>
      <c r="D53" s="27"/>
      <c r="E53" s="27"/>
      <c r="F53" s="27"/>
      <c r="G53" s="27"/>
      <c r="H53" s="27"/>
      <c r="I53" s="27"/>
      <c r="J53" s="27"/>
      <c r="K53" s="25"/>
      <c r="L53" s="25">
        <f t="shared" si="1"/>
        <v>0</v>
      </c>
      <c r="M53" s="30"/>
      <c r="N53" s="28">
        <v>45700</v>
      </c>
      <c r="O53" s="27"/>
      <c r="P53" s="27"/>
      <c r="Q53" s="27"/>
      <c r="R53" s="27"/>
      <c r="S53" s="27"/>
      <c r="T53" s="27">
        <v>1</v>
      </c>
      <c r="U53" s="27"/>
      <c r="V53" s="27"/>
      <c r="W53" s="27"/>
      <c r="X53" s="25">
        <v>1596</v>
      </c>
      <c r="Y53" s="25">
        <f t="shared" si="2"/>
        <v>1596</v>
      </c>
    </row>
    <row r="54" spans="1:25" x14ac:dyDescent="0.25">
      <c r="A54" s="24"/>
      <c r="B54" s="27"/>
      <c r="C54" s="27"/>
      <c r="D54" s="27"/>
      <c r="E54" s="27"/>
      <c r="F54" s="27"/>
      <c r="G54" s="27"/>
      <c r="H54" s="27"/>
      <c r="I54" s="27"/>
      <c r="J54" s="27"/>
      <c r="K54" s="25"/>
      <c r="L54" s="25">
        <f t="shared" si="1"/>
        <v>0</v>
      </c>
      <c r="M54" s="30"/>
      <c r="N54" s="28">
        <v>45701</v>
      </c>
      <c r="O54" s="27">
        <v>25</v>
      </c>
      <c r="P54" s="27"/>
      <c r="Q54" s="27"/>
      <c r="R54" s="27"/>
      <c r="S54" s="27"/>
      <c r="T54" s="27"/>
      <c r="U54" s="27"/>
      <c r="V54" s="27"/>
      <c r="W54" s="27"/>
      <c r="X54" s="25">
        <v>350.4</v>
      </c>
      <c r="Y54" s="25">
        <f t="shared" si="2"/>
        <v>8760</v>
      </c>
    </row>
    <row r="55" spans="1:25" x14ac:dyDescent="0.25">
      <c r="A55" s="24"/>
      <c r="B55" s="27"/>
      <c r="C55" s="27"/>
      <c r="D55" s="27"/>
      <c r="E55" s="27"/>
      <c r="F55" s="27"/>
      <c r="G55" s="27"/>
      <c r="H55" s="27"/>
      <c r="I55" s="27"/>
      <c r="J55" s="27"/>
      <c r="K55" s="25"/>
      <c r="L55" s="25">
        <f t="shared" si="1"/>
        <v>0</v>
      </c>
      <c r="M55" s="30"/>
      <c r="N55" s="28">
        <v>45705</v>
      </c>
      <c r="O55" s="27"/>
      <c r="P55" s="27"/>
      <c r="Q55" s="27"/>
      <c r="R55" s="27"/>
      <c r="S55" s="27">
        <v>1</v>
      </c>
      <c r="T55" s="27"/>
      <c r="U55" s="27"/>
      <c r="V55" s="27"/>
      <c r="W55" s="27"/>
      <c r="X55" s="25">
        <v>1200</v>
      </c>
      <c r="Y55" s="25">
        <f t="shared" si="2"/>
        <v>1200</v>
      </c>
    </row>
    <row r="56" spans="1:25" x14ac:dyDescent="0.25">
      <c r="A56" s="24"/>
      <c r="B56" s="27"/>
      <c r="C56" s="27"/>
      <c r="D56" s="27"/>
      <c r="E56" s="27"/>
      <c r="F56" s="27"/>
      <c r="G56" s="27"/>
      <c r="H56" s="27"/>
      <c r="I56" s="27"/>
      <c r="J56" s="27"/>
      <c r="K56" s="25"/>
      <c r="L56" s="25">
        <f t="shared" si="1"/>
        <v>0</v>
      </c>
      <c r="M56" s="30"/>
      <c r="N56" s="28">
        <v>45708</v>
      </c>
      <c r="O56" s="27"/>
      <c r="P56" s="27"/>
      <c r="Q56" s="27"/>
      <c r="R56" s="27"/>
      <c r="S56" s="27"/>
      <c r="T56" s="27"/>
      <c r="U56" s="27">
        <v>1</v>
      </c>
      <c r="V56" s="27"/>
      <c r="W56" s="27"/>
      <c r="X56" s="25">
        <v>1758</v>
      </c>
      <c r="Y56" s="25">
        <f t="shared" si="2"/>
        <v>1758</v>
      </c>
    </row>
    <row r="57" spans="1:25" x14ac:dyDescent="0.25">
      <c r="A57" s="24"/>
      <c r="B57" s="27"/>
      <c r="C57" s="27"/>
      <c r="D57" s="27"/>
      <c r="E57" s="27"/>
      <c r="F57" s="27"/>
      <c r="G57" s="27"/>
      <c r="H57" s="27"/>
      <c r="I57" s="27"/>
      <c r="J57" s="27"/>
      <c r="K57" s="25"/>
      <c r="L57" s="25">
        <f t="shared" si="1"/>
        <v>0</v>
      </c>
      <c r="M57" s="30"/>
      <c r="N57" s="28"/>
      <c r="O57" s="27"/>
      <c r="P57" s="27"/>
      <c r="Q57" s="27">
        <v>25</v>
      </c>
      <c r="R57" s="27"/>
      <c r="S57" s="27"/>
      <c r="T57" s="27"/>
      <c r="U57" s="27"/>
      <c r="V57" s="27"/>
      <c r="W57" s="27"/>
      <c r="X57" s="25">
        <v>470.4</v>
      </c>
      <c r="Y57" s="25">
        <f t="shared" si="2"/>
        <v>11760</v>
      </c>
    </row>
    <row r="58" spans="1:25" x14ac:dyDescent="0.25">
      <c r="A58" s="24"/>
      <c r="B58" s="27"/>
      <c r="C58" s="27"/>
      <c r="D58" s="27"/>
      <c r="E58" s="27"/>
      <c r="F58" s="27"/>
      <c r="G58" s="27"/>
      <c r="H58" s="27"/>
      <c r="I58" s="27"/>
      <c r="J58" s="27"/>
      <c r="K58" s="25"/>
      <c r="L58" s="25">
        <f t="shared" si="1"/>
        <v>0</v>
      </c>
      <c r="M58" s="30"/>
      <c r="N58" s="28">
        <v>45715</v>
      </c>
      <c r="O58" s="27"/>
      <c r="P58" s="27"/>
      <c r="Q58" s="27"/>
      <c r="R58" s="27"/>
      <c r="S58" s="27"/>
      <c r="T58" s="27">
        <v>1</v>
      </c>
      <c r="U58" s="27"/>
      <c r="V58" s="27"/>
      <c r="W58" s="27"/>
      <c r="X58" s="25">
        <v>1596</v>
      </c>
      <c r="Y58" s="25">
        <f t="shared" si="2"/>
        <v>1596</v>
      </c>
    </row>
    <row r="59" spans="1:25" x14ac:dyDescent="0.25">
      <c r="A59" s="196">
        <v>45716</v>
      </c>
      <c r="B59" s="27"/>
      <c r="C59" s="27"/>
      <c r="D59" s="27"/>
      <c r="E59" s="27"/>
      <c r="F59" s="27"/>
      <c r="G59" s="27">
        <v>6</v>
      </c>
      <c r="H59" s="27"/>
      <c r="I59" s="27"/>
      <c r="J59" s="27"/>
      <c r="K59" s="25">
        <v>2070</v>
      </c>
      <c r="L59" s="25">
        <f t="shared" si="1"/>
        <v>12420</v>
      </c>
      <c r="M59" s="30"/>
      <c r="N59" s="28">
        <v>45716</v>
      </c>
      <c r="O59" s="27"/>
      <c r="P59" s="27">
        <v>25</v>
      </c>
      <c r="Q59" s="27"/>
      <c r="R59" s="27"/>
      <c r="S59" s="27"/>
      <c r="T59" s="27"/>
      <c r="U59" s="27"/>
      <c r="V59" s="27"/>
      <c r="W59" s="27"/>
      <c r="X59" s="25">
        <v>312</v>
      </c>
      <c r="Y59" s="25">
        <f t="shared" si="2"/>
        <v>7800</v>
      </c>
    </row>
    <row r="60" spans="1:25" x14ac:dyDescent="0.25">
      <c r="A60" s="24"/>
      <c r="B60" s="27"/>
      <c r="C60" s="27"/>
      <c r="D60" s="27"/>
      <c r="E60" s="27"/>
      <c r="F60" s="27"/>
      <c r="G60" s="27"/>
      <c r="H60" s="27"/>
      <c r="I60" s="27">
        <v>6</v>
      </c>
      <c r="J60" s="27"/>
      <c r="K60" s="25">
        <v>2142</v>
      </c>
      <c r="L60" s="25">
        <f t="shared" si="1"/>
        <v>12852</v>
      </c>
      <c r="M60" s="30"/>
      <c r="N60" s="28"/>
      <c r="O60" s="27"/>
      <c r="P60" s="27"/>
      <c r="Q60" s="27">
        <v>25</v>
      </c>
      <c r="R60" s="27"/>
      <c r="S60" s="27"/>
      <c r="T60" s="27"/>
      <c r="U60" s="27"/>
      <c r="V60" s="27"/>
      <c r="W60" s="27"/>
      <c r="X60" s="25">
        <v>470.4</v>
      </c>
      <c r="Y60" s="25">
        <f t="shared" si="2"/>
        <v>11760</v>
      </c>
    </row>
    <row r="61" spans="1:25" x14ac:dyDescent="0.25">
      <c r="A61" s="24"/>
      <c r="B61" s="27">
        <v>100</v>
      </c>
      <c r="C61" s="27"/>
      <c r="D61" s="27"/>
      <c r="E61" s="27"/>
      <c r="F61" s="27"/>
      <c r="G61" s="27"/>
      <c r="H61" s="27"/>
      <c r="I61" s="27"/>
      <c r="J61" s="27"/>
      <c r="K61" s="25">
        <v>384</v>
      </c>
      <c r="L61" s="25">
        <f t="shared" si="1"/>
        <v>38400</v>
      </c>
      <c r="M61" s="30"/>
      <c r="N61" s="28"/>
      <c r="O61" s="27">
        <v>25</v>
      </c>
      <c r="P61" s="27"/>
      <c r="Q61" s="27"/>
      <c r="R61" s="27"/>
      <c r="S61" s="27"/>
      <c r="T61" s="27"/>
      <c r="U61" s="27"/>
      <c r="V61" s="27"/>
      <c r="W61" s="27"/>
      <c r="X61" s="25">
        <v>384</v>
      </c>
      <c r="Y61" s="25">
        <f t="shared" si="2"/>
        <v>9600</v>
      </c>
    </row>
    <row r="62" spans="1:25" x14ac:dyDescent="0.25">
      <c r="A62" s="24"/>
      <c r="B62" s="27"/>
      <c r="C62" s="27"/>
      <c r="D62" s="27"/>
      <c r="E62" s="27"/>
      <c r="F62" s="27"/>
      <c r="G62" s="27"/>
      <c r="H62" s="27"/>
      <c r="I62" s="27"/>
      <c r="J62" s="27">
        <v>6</v>
      </c>
      <c r="K62" s="25">
        <v>1585.2</v>
      </c>
      <c r="L62" s="25">
        <f t="shared" si="1"/>
        <v>9511.2000000000007</v>
      </c>
      <c r="M62" s="30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5"/>
      <c r="Y62" s="25">
        <f t="shared" si="2"/>
        <v>0</v>
      </c>
    </row>
    <row r="63" spans="1:25" x14ac:dyDescent="0.25">
      <c r="A63" s="24"/>
      <c r="B63" s="27"/>
      <c r="C63" s="27"/>
      <c r="D63" s="27"/>
      <c r="E63" s="27">
        <v>6</v>
      </c>
      <c r="F63" s="27"/>
      <c r="G63" s="27"/>
      <c r="H63" s="27"/>
      <c r="I63" s="27"/>
      <c r="J63" s="27"/>
      <c r="K63" s="25">
        <v>1465.2</v>
      </c>
      <c r="L63" s="25">
        <f t="shared" si="1"/>
        <v>8791.2000000000007</v>
      </c>
      <c r="M63" s="30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5"/>
      <c r="Y63" s="25">
        <f t="shared" si="2"/>
        <v>0</v>
      </c>
    </row>
    <row r="64" spans="1:25" ht="16.5" thickBot="1" x14ac:dyDescent="0.3">
      <c r="A64" s="166"/>
      <c r="B64" s="167"/>
      <c r="C64" s="167"/>
      <c r="D64" s="167"/>
      <c r="E64" s="167"/>
      <c r="F64" s="167"/>
      <c r="G64" s="167"/>
      <c r="H64" s="167"/>
      <c r="I64" s="167"/>
      <c r="J64" s="167"/>
      <c r="K64" s="168"/>
      <c r="L64" s="168">
        <f t="shared" si="1"/>
        <v>0</v>
      </c>
      <c r="M64" s="168"/>
      <c r="N64" s="232" t="s">
        <v>135</v>
      </c>
      <c r="O64" s="234"/>
      <c r="P64" s="234"/>
      <c r="Q64" s="234"/>
      <c r="R64" s="234"/>
      <c r="S64" s="234"/>
      <c r="T64" s="234"/>
      <c r="U64" s="234"/>
      <c r="V64" s="234"/>
      <c r="W64" s="234"/>
      <c r="X64" s="235"/>
      <c r="Y64" s="235">
        <f t="shared" si="2"/>
        <v>0</v>
      </c>
    </row>
    <row r="65" spans="1:25" x14ac:dyDescent="0.25">
      <c r="A65" s="24"/>
      <c r="B65" s="27"/>
      <c r="C65" s="27"/>
      <c r="D65" s="27"/>
      <c r="E65" s="27"/>
      <c r="F65" s="27"/>
      <c r="G65" s="27"/>
      <c r="H65" s="27"/>
      <c r="I65" s="27"/>
      <c r="J65" s="27"/>
      <c r="K65" s="25"/>
      <c r="L65" s="25">
        <f t="shared" si="1"/>
        <v>0</v>
      </c>
      <c r="M65" s="231"/>
      <c r="N65" s="236">
        <v>45719</v>
      </c>
      <c r="O65" s="237"/>
      <c r="P65" s="237"/>
      <c r="Q65" s="237"/>
      <c r="R65" s="237">
        <v>1</v>
      </c>
      <c r="S65" s="237"/>
      <c r="T65" s="237"/>
      <c r="U65" s="237"/>
      <c r="V65" s="237"/>
      <c r="W65" s="237"/>
      <c r="X65" s="238">
        <v>1465.2</v>
      </c>
      <c r="Y65" s="239">
        <f t="shared" si="2"/>
        <v>1465.2</v>
      </c>
    </row>
    <row r="66" spans="1:25" x14ac:dyDescent="0.25">
      <c r="A66" s="24"/>
      <c r="B66" s="27"/>
      <c r="C66" s="27"/>
      <c r="D66" s="27"/>
      <c r="E66" s="27"/>
      <c r="F66" s="27"/>
      <c r="G66" s="27"/>
      <c r="H66" s="27"/>
      <c r="I66" s="27"/>
      <c r="J66" s="27"/>
      <c r="K66" s="25"/>
      <c r="L66" s="25">
        <f t="shared" si="1"/>
        <v>0</v>
      </c>
      <c r="M66" s="231"/>
      <c r="N66" s="240">
        <v>45721</v>
      </c>
      <c r="O66" s="27">
        <v>25</v>
      </c>
      <c r="P66" s="27"/>
      <c r="Q66" s="27"/>
      <c r="R66" s="27"/>
      <c r="S66" s="27"/>
      <c r="T66" s="27"/>
      <c r="U66" s="27"/>
      <c r="V66" s="27"/>
      <c r="W66" s="27"/>
      <c r="X66" s="25">
        <v>384</v>
      </c>
      <c r="Y66" s="241">
        <f t="shared" si="2"/>
        <v>9600</v>
      </c>
    </row>
    <row r="67" spans="1:25" ht="16.5" thickBot="1" x14ac:dyDescent="0.3">
      <c r="A67" s="24"/>
      <c r="B67" s="27"/>
      <c r="C67" s="27"/>
      <c r="D67" s="27"/>
      <c r="E67" s="27"/>
      <c r="F67" s="27"/>
      <c r="G67" s="27"/>
      <c r="H67" s="27"/>
      <c r="I67" s="27"/>
      <c r="J67" s="27"/>
      <c r="K67" s="25"/>
      <c r="L67" s="25">
        <f t="shared" si="1"/>
        <v>0</v>
      </c>
      <c r="M67" s="231"/>
      <c r="N67" s="242">
        <v>45723</v>
      </c>
      <c r="O67" s="124">
        <v>25</v>
      </c>
      <c r="P67" s="124"/>
      <c r="Q67" s="124"/>
      <c r="R67" s="124"/>
      <c r="S67" s="124"/>
      <c r="T67" s="124"/>
      <c r="U67" s="124"/>
      <c r="V67" s="124"/>
      <c r="W67" s="124"/>
      <c r="X67" s="125">
        <v>384</v>
      </c>
      <c r="Y67" s="243">
        <f t="shared" si="2"/>
        <v>9600</v>
      </c>
    </row>
    <row r="68" spans="1:25" x14ac:dyDescent="0.25">
      <c r="A68" s="24"/>
      <c r="B68" s="27"/>
      <c r="C68" s="27"/>
      <c r="D68" s="27"/>
      <c r="E68" s="27"/>
      <c r="F68" s="27"/>
      <c r="G68" s="27"/>
      <c r="H68" s="27"/>
      <c r="I68" s="27"/>
      <c r="J68" s="27"/>
      <c r="K68" s="25"/>
      <c r="L68" s="25">
        <f t="shared" ref="L68:L112" si="4">B68*K68+C68*K68+D68*K68+E68*K68+F68*K68+G68*K68+H68*K68+I68*K68+J68*K68</f>
        <v>0</v>
      </c>
      <c r="M68" s="231"/>
      <c r="N68" s="236">
        <v>45726</v>
      </c>
      <c r="O68" s="237"/>
      <c r="P68" s="237">
        <v>25</v>
      </c>
      <c r="Q68" s="237"/>
      <c r="R68" s="237"/>
      <c r="S68" s="237"/>
      <c r="T68" s="237"/>
      <c r="U68" s="237"/>
      <c r="V68" s="237"/>
      <c r="W68" s="237"/>
      <c r="X68" s="238">
        <v>312</v>
      </c>
      <c r="Y68" s="239">
        <f t="shared" ref="Y68:Y113" si="5">O68*X68+P68*X68+Q68*X68+R68*X68+S68*X68+T68*X68+U68*X68+V68*X68+W68*X68</f>
        <v>7800</v>
      </c>
    </row>
    <row r="69" spans="1:25" x14ac:dyDescent="0.25">
      <c r="A69" s="24"/>
      <c r="B69" s="27"/>
      <c r="C69" s="27"/>
      <c r="D69" s="27"/>
      <c r="E69" s="27"/>
      <c r="F69" s="27"/>
      <c r="G69" s="27"/>
      <c r="H69" s="27"/>
      <c r="I69" s="27"/>
      <c r="J69" s="27"/>
      <c r="K69" s="25"/>
      <c r="L69" s="25">
        <f t="shared" si="4"/>
        <v>0</v>
      </c>
      <c r="M69" s="231"/>
      <c r="N69" s="240">
        <v>45727</v>
      </c>
      <c r="O69" s="27"/>
      <c r="P69" s="27"/>
      <c r="Q69" s="27"/>
      <c r="R69" s="27"/>
      <c r="S69" s="27"/>
      <c r="T69" s="27">
        <v>1</v>
      </c>
      <c r="U69" s="27"/>
      <c r="V69" s="27"/>
      <c r="W69" s="27"/>
      <c r="X69" s="25">
        <v>2070</v>
      </c>
      <c r="Y69" s="241">
        <f t="shared" si="5"/>
        <v>2070</v>
      </c>
    </row>
    <row r="70" spans="1:25" x14ac:dyDescent="0.25">
      <c r="A70" s="24"/>
      <c r="B70" s="27"/>
      <c r="C70" s="27"/>
      <c r="D70" s="27"/>
      <c r="E70" s="27"/>
      <c r="F70" s="27"/>
      <c r="G70" s="27"/>
      <c r="H70" s="27"/>
      <c r="I70" s="27"/>
      <c r="J70" s="27"/>
      <c r="K70" s="25"/>
      <c r="L70" s="25">
        <f t="shared" si="4"/>
        <v>0</v>
      </c>
      <c r="M70" s="231"/>
      <c r="N70" s="240"/>
      <c r="O70" s="27"/>
      <c r="P70" s="27"/>
      <c r="Q70" s="27"/>
      <c r="R70" s="27"/>
      <c r="S70" s="27">
        <v>1</v>
      </c>
      <c r="T70" s="27"/>
      <c r="U70" s="27"/>
      <c r="V70" s="27"/>
      <c r="W70" s="27"/>
      <c r="X70" s="25">
        <v>1200</v>
      </c>
      <c r="Y70" s="241">
        <f t="shared" si="5"/>
        <v>1200</v>
      </c>
    </row>
    <row r="71" spans="1:25" x14ac:dyDescent="0.25">
      <c r="A71" s="24"/>
      <c r="B71" s="27"/>
      <c r="C71" s="27"/>
      <c r="D71" s="27"/>
      <c r="E71" s="27"/>
      <c r="F71" s="27"/>
      <c r="G71" s="27"/>
      <c r="H71" s="27"/>
      <c r="I71" s="27"/>
      <c r="J71" s="27"/>
      <c r="K71" s="25"/>
      <c r="L71" s="25">
        <f t="shared" si="4"/>
        <v>0</v>
      </c>
      <c r="M71" s="231"/>
      <c r="N71" s="240"/>
      <c r="O71" s="27"/>
      <c r="P71" s="27"/>
      <c r="Q71" s="27"/>
      <c r="R71" s="27">
        <v>1</v>
      </c>
      <c r="S71" s="27"/>
      <c r="T71" s="27"/>
      <c r="U71" s="27"/>
      <c r="V71" s="27"/>
      <c r="W71" s="27"/>
      <c r="X71" s="25">
        <v>1465.2</v>
      </c>
      <c r="Y71" s="241">
        <f t="shared" si="5"/>
        <v>1465.2</v>
      </c>
    </row>
    <row r="72" spans="1:25" ht="16.5" thickBot="1" x14ac:dyDescent="0.3">
      <c r="A72" s="24"/>
      <c r="B72" s="27"/>
      <c r="C72" s="27"/>
      <c r="D72" s="27"/>
      <c r="E72" s="27"/>
      <c r="F72" s="27"/>
      <c r="G72" s="27"/>
      <c r="H72" s="27"/>
      <c r="I72" s="27"/>
      <c r="J72" s="27"/>
      <c r="K72" s="25"/>
      <c r="L72" s="25">
        <f t="shared" si="4"/>
        <v>0</v>
      </c>
      <c r="M72" s="231"/>
      <c r="N72" s="242">
        <v>45730</v>
      </c>
      <c r="O72" s="124">
        <v>25</v>
      </c>
      <c r="P72" s="124"/>
      <c r="Q72" s="124"/>
      <c r="R72" s="124"/>
      <c r="S72" s="124"/>
      <c r="T72" s="124"/>
      <c r="U72" s="124"/>
      <c r="V72" s="124"/>
      <c r="W72" s="124"/>
      <c r="X72" s="125">
        <v>384</v>
      </c>
      <c r="Y72" s="243">
        <f t="shared" si="5"/>
        <v>9600</v>
      </c>
    </row>
    <row r="73" spans="1:25" x14ac:dyDescent="0.25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5"/>
      <c r="L73" s="25">
        <f t="shared" si="4"/>
        <v>0</v>
      </c>
      <c r="M73" s="231"/>
      <c r="N73" s="236">
        <v>45733</v>
      </c>
      <c r="O73" s="237"/>
      <c r="P73" s="237">
        <v>25</v>
      </c>
      <c r="Q73" s="237"/>
      <c r="R73" s="237"/>
      <c r="S73" s="237"/>
      <c r="T73" s="237"/>
      <c r="U73" s="237"/>
      <c r="V73" s="237"/>
      <c r="W73" s="237"/>
      <c r="X73" s="238">
        <v>312</v>
      </c>
      <c r="Y73" s="239">
        <f t="shared" si="5"/>
        <v>7800</v>
      </c>
    </row>
    <row r="74" spans="1:25" x14ac:dyDescent="0.25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5"/>
      <c r="L74" s="25">
        <f t="shared" si="4"/>
        <v>0</v>
      </c>
      <c r="M74" s="231"/>
      <c r="N74" s="240">
        <v>45735</v>
      </c>
      <c r="O74" s="27"/>
      <c r="P74" s="27"/>
      <c r="Q74" s="27"/>
      <c r="R74" s="27"/>
      <c r="S74" s="27"/>
      <c r="T74" s="27"/>
      <c r="U74" s="27"/>
      <c r="V74" s="27"/>
      <c r="W74" s="27">
        <v>1</v>
      </c>
      <c r="X74" s="25">
        <v>1585.2</v>
      </c>
      <c r="Y74" s="241">
        <f t="shared" si="5"/>
        <v>1585.2</v>
      </c>
    </row>
    <row r="75" spans="1:25" x14ac:dyDescent="0.25">
      <c r="A75" s="24"/>
      <c r="B75" s="27"/>
      <c r="C75" s="27"/>
      <c r="D75" s="27"/>
      <c r="E75" s="27"/>
      <c r="F75" s="27"/>
      <c r="G75" s="27"/>
      <c r="H75" s="27"/>
      <c r="I75" s="27"/>
      <c r="J75" s="27"/>
      <c r="K75" s="25"/>
      <c r="L75" s="25">
        <f t="shared" si="4"/>
        <v>0</v>
      </c>
      <c r="M75" s="231"/>
      <c r="N75" s="240"/>
      <c r="O75" s="27"/>
      <c r="P75" s="27"/>
      <c r="Q75" s="27"/>
      <c r="R75" s="27">
        <v>1</v>
      </c>
      <c r="S75" s="27"/>
      <c r="T75" s="27"/>
      <c r="U75" s="27"/>
      <c r="V75" s="27"/>
      <c r="W75" s="27"/>
      <c r="X75" s="25">
        <v>1465.2</v>
      </c>
      <c r="Y75" s="241">
        <f t="shared" si="5"/>
        <v>1465.2</v>
      </c>
    </row>
    <row r="76" spans="1:25" x14ac:dyDescent="0.25">
      <c r="A76" s="24"/>
      <c r="B76" s="27"/>
      <c r="C76" s="27"/>
      <c r="D76" s="27"/>
      <c r="E76" s="27"/>
      <c r="F76" s="27"/>
      <c r="G76" s="27"/>
      <c r="H76" s="27"/>
      <c r="I76" s="27"/>
      <c r="J76" s="27"/>
      <c r="K76" s="25"/>
      <c r="L76" s="25">
        <f t="shared" si="4"/>
        <v>0</v>
      </c>
      <c r="M76" s="231"/>
      <c r="N76" s="240"/>
      <c r="O76" s="27"/>
      <c r="P76" s="27"/>
      <c r="Q76" s="27"/>
      <c r="R76" s="27"/>
      <c r="S76" s="27"/>
      <c r="T76" s="27">
        <v>1</v>
      </c>
      <c r="U76" s="27"/>
      <c r="V76" s="27"/>
      <c r="W76" s="27"/>
      <c r="X76" s="25">
        <v>2070</v>
      </c>
      <c r="Y76" s="241">
        <f t="shared" si="5"/>
        <v>2070</v>
      </c>
    </row>
    <row r="77" spans="1:25" ht="16.5" thickBot="1" x14ac:dyDescent="0.3">
      <c r="A77" s="28">
        <v>45737</v>
      </c>
      <c r="B77" s="27">
        <v>400</v>
      </c>
      <c r="C77" s="27"/>
      <c r="D77" s="27"/>
      <c r="E77" s="27"/>
      <c r="F77" s="27"/>
      <c r="G77" s="27"/>
      <c r="H77" s="27"/>
      <c r="I77" s="27"/>
      <c r="J77" s="27"/>
      <c r="K77" s="25">
        <v>384</v>
      </c>
      <c r="L77" s="25">
        <f t="shared" si="4"/>
        <v>153600</v>
      </c>
      <c r="M77" s="231"/>
      <c r="N77" s="242"/>
      <c r="O77" s="124"/>
      <c r="P77" s="124"/>
      <c r="Q77" s="124"/>
      <c r="R77" s="124"/>
      <c r="S77" s="124"/>
      <c r="T77" s="124"/>
      <c r="U77" s="124"/>
      <c r="V77" s="124"/>
      <c r="W77" s="124"/>
      <c r="X77" s="125"/>
      <c r="Y77" s="243">
        <f t="shared" si="5"/>
        <v>0</v>
      </c>
    </row>
    <row r="78" spans="1:25" x14ac:dyDescent="0.25">
      <c r="A78" s="24"/>
      <c r="B78" s="27"/>
      <c r="C78" s="27"/>
      <c r="D78" s="27"/>
      <c r="E78" s="27"/>
      <c r="F78" s="27"/>
      <c r="G78" s="27"/>
      <c r="H78" s="27"/>
      <c r="I78" s="27"/>
      <c r="J78" s="27"/>
      <c r="K78" s="25"/>
      <c r="L78" s="25">
        <f t="shared" si="4"/>
        <v>0</v>
      </c>
      <c r="M78" s="231"/>
      <c r="N78" s="236">
        <v>45740</v>
      </c>
      <c r="O78" s="237">
        <v>25</v>
      </c>
      <c r="P78" s="237"/>
      <c r="Q78" s="237"/>
      <c r="R78" s="237"/>
      <c r="S78" s="237"/>
      <c r="T78" s="237"/>
      <c r="U78" s="237"/>
      <c r="V78" s="237"/>
      <c r="W78" s="237"/>
      <c r="X78" s="238">
        <v>384</v>
      </c>
      <c r="Y78" s="239">
        <f t="shared" si="5"/>
        <v>9600</v>
      </c>
    </row>
    <row r="79" spans="1:25" x14ac:dyDescent="0.25">
      <c r="A79" s="24"/>
      <c r="B79" s="27"/>
      <c r="C79" s="27"/>
      <c r="D79" s="27"/>
      <c r="E79" s="27"/>
      <c r="F79" s="27"/>
      <c r="G79" s="27"/>
      <c r="H79" s="27"/>
      <c r="I79" s="27"/>
      <c r="J79" s="27"/>
      <c r="K79" s="25"/>
      <c r="L79" s="25">
        <f t="shared" si="4"/>
        <v>0</v>
      </c>
      <c r="M79" s="231"/>
      <c r="N79" s="240">
        <v>45742</v>
      </c>
      <c r="O79" s="27">
        <v>25</v>
      </c>
      <c r="P79" s="27"/>
      <c r="Q79" s="27"/>
      <c r="R79" s="27"/>
      <c r="S79" s="27"/>
      <c r="T79" s="27"/>
      <c r="U79" s="27"/>
      <c r="V79" s="27"/>
      <c r="W79" s="27"/>
      <c r="X79" s="25">
        <v>384</v>
      </c>
      <c r="Y79" s="241">
        <f t="shared" si="5"/>
        <v>9600</v>
      </c>
    </row>
    <row r="80" spans="1:25" x14ac:dyDescent="0.25">
      <c r="A80" s="24"/>
      <c r="B80" s="27"/>
      <c r="C80" s="27"/>
      <c r="D80" s="27"/>
      <c r="E80" s="27"/>
      <c r="F80" s="27"/>
      <c r="G80" s="27"/>
      <c r="H80" s="27"/>
      <c r="I80" s="27"/>
      <c r="J80" s="27"/>
      <c r="K80" s="25"/>
      <c r="L80" s="25">
        <f t="shared" si="4"/>
        <v>0</v>
      </c>
      <c r="M80" s="231"/>
      <c r="N80" s="240">
        <v>45743</v>
      </c>
      <c r="O80" s="27">
        <v>25</v>
      </c>
      <c r="P80" s="27"/>
      <c r="Q80" s="27"/>
      <c r="R80" s="27"/>
      <c r="S80" s="27"/>
      <c r="T80" s="27"/>
      <c r="U80" s="27"/>
      <c r="V80" s="27"/>
      <c r="W80" s="27"/>
      <c r="X80" s="25">
        <v>384</v>
      </c>
      <c r="Y80" s="241">
        <f t="shared" si="5"/>
        <v>9600</v>
      </c>
    </row>
    <row r="81" spans="1:25" x14ac:dyDescent="0.25">
      <c r="A81" s="24"/>
      <c r="B81" s="27"/>
      <c r="C81" s="27"/>
      <c r="D81" s="27"/>
      <c r="E81" s="27"/>
      <c r="F81" s="27"/>
      <c r="G81" s="27"/>
      <c r="H81" s="27"/>
      <c r="I81" s="27"/>
      <c r="J81" s="27"/>
      <c r="K81" s="25"/>
      <c r="L81" s="25">
        <f t="shared" si="4"/>
        <v>0</v>
      </c>
      <c r="M81" s="231"/>
      <c r="N81" s="240">
        <v>45744</v>
      </c>
      <c r="O81" s="27">
        <v>50</v>
      </c>
      <c r="P81" s="27"/>
      <c r="Q81" s="27"/>
      <c r="R81" s="27"/>
      <c r="S81" s="27"/>
      <c r="T81" s="27"/>
      <c r="U81" s="27"/>
      <c r="V81" s="27"/>
      <c r="W81" s="27"/>
      <c r="X81" s="25">
        <v>384</v>
      </c>
      <c r="Y81" s="241">
        <f t="shared" si="5"/>
        <v>19200</v>
      </c>
    </row>
    <row r="82" spans="1:25" x14ac:dyDescent="0.25">
      <c r="A82" s="24"/>
      <c r="B82" s="27"/>
      <c r="C82" s="27"/>
      <c r="D82" s="27"/>
      <c r="E82" s="27"/>
      <c r="F82" s="27"/>
      <c r="G82" s="27"/>
      <c r="H82" s="27"/>
      <c r="I82" s="27"/>
      <c r="J82" s="27"/>
      <c r="K82" s="25"/>
      <c r="L82" s="25">
        <f t="shared" si="4"/>
        <v>0</v>
      </c>
      <c r="M82" s="231"/>
      <c r="N82" s="240"/>
      <c r="O82" s="27"/>
      <c r="P82" s="27"/>
      <c r="Q82" s="27"/>
      <c r="R82" s="27"/>
      <c r="S82" s="27"/>
      <c r="T82" s="27"/>
      <c r="U82" s="27"/>
      <c r="V82" s="27"/>
      <c r="W82" s="27">
        <v>1</v>
      </c>
      <c r="X82" s="25">
        <v>1585.2</v>
      </c>
      <c r="Y82" s="241">
        <f t="shared" si="5"/>
        <v>1585.2</v>
      </c>
    </row>
    <row r="83" spans="1:25" ht="16.5" thickBot="1" x14ac:dyDescent="0.3">
      <c r="A83" s="24"/>
      <c r="B83" s="27"/>
      <c r="C83" s="27"/>
      <c r="D83" s="27"/>
      <c r="E83" s="27"/>
      <c r="F83" s="27"/>
      <c r="G83" s="27"/>
      <c r="H83" s="27"/>
      <c r="I83" s="27"/>
      <c r="J83" s="27"/>
      <c r="K83" s="25"/>
      <c r="L83" s="25">
        <f t="shared" si="4"/>
        <v>0</v>
      </c>
      <c r="M83" s="231"/>
      <c r="N83" s="242"/>
      <c r="O83" s="124"/>
      <c r="P83" s="124"/>
      <c r="Q83" s="124"/>
      <c r="R83" s="124">
        <v>1</v>
      </c>
      <c r="S83" s="124"/>
      <c r="T83" s="124"/>
      <c r="U83" s="124"/>
      <c r="V83" s="124"/>
      <c r="W83" s="124"/>
      <c r="X83" s="125">
        <v>1465.2</v>
      </c>
      <c r="Y83" s="243">
        <f t="shared" si="5"/>
        <v>1465.2</v>
      </c>
    </row>
    <row r="84" spans="1:25" ht="16.5" thickBot="1" x14ac:dyDescent="0.3">
      <c r="A84" s="166"/>
      <c r="B84" s="167"/>
      <c r="C84" s="167"/>
      <c r="D84" s="167"/>
      <c r="E84" s="167"/>
      <c r="F84" s="167"/>
      <c r="G84" s="167"/>
      <c r="H84" s="167"/>
      <c r="I84" s="167"/>
      <c r="J84" s="167"/>
      <c r="K84" s="168"/>
      <c r="L84" s="168">
        <f t="shared" si="4"/>
        <v>0</v>
      </c>
      <c r="M84" s="168"/>
      <c r="N84" s="331" t="s">
        <v>145</v>
      </c>
      <c r="O84" s="333"/>
      <c r="P84" s="333"/>
      <c r="Q84" s="333"/>
      <c r="R84" s="333"/>
      <c r="S84" s="333"/>
      <c r="T84" s="333"/>
      <c r="U84" s="333"/>
      <c r="V84" s="333"/>
      <c r="W84" s="333"/>
      <c r="X84" s="327"/>
      <c r="Y84" s="327">
        <f t="shared" si="5"/>
        <v>0</v>
      </c>
    </row>
    <row r="85" spans="1:25" x14ac:dyDescent="0.25">
      <c r="A85" s="24"/>
      <c r="B85" s="27"/>
      <c r="C85" s="27"/>
      <c r="D85" s="27"/>
      <c r="E85" s="27"/>
      <c r="F85" s="27"/>
      <c r="G85" s="27"/>
      <c r="H85" s="27"/>
      <c r="I85" s="27"/>
      <c r="J85" s="27"/>
      <c r="K85" s="25"/>
      <c r="L85" s="25">
        <f t="shared" si="4"/>
        <v>0</v>
      </c>
      <c r="M85" s="231"/>
      <c r="N85" s="236">
        <v>45750</v>
      </c>
      <c r="O85" s="237">
        <v>25</v>
      </c>
      <c r="P85" s="237"/>
      <c r="Q85" s="237"/>
      <c r="R85" s="237"/>
      <c r="S85" s="237"/>
      <c r="T85" s="237"/>
      <c r="U85" s="237"/>
      <c r="V85" s="237"/>
      <c r="W85" s="237"/>
      <c r="X85" s="238">
        <v>384</v>
      </c>
      <c r="Y85" s="239">
        <f t="shared" si="5"/>
        <v>9600</v>
      </c>
    </row>
    <row r="86" spans="1:25" x14ac:dyDescent="0.25">
      <c r="A86" s="24"/>
      <c r="B86" s="27"/>
      <c r="C86" s="27"/>
      <c r="D86" s="27"/>
      <c r="E86" s="27"/>
      <c r="F86" s="27"/>
      <c r="G86" s="27"/>
      <c r="H86" s="27"/>
      <c r="I86" s="27"/>
      <c r="J86" s="27"/>
      <c r="K86" s="25"/>
      <c r="L86" s="25">
        <f t="shared" si="4"/>
        <v>0</v>
      </c>
      <c r="M86" s="231"/>
      <c r="N86" s="240">
        <v>45751</v>
      </c>
      <c r="O86" s="27"/>
      <c r="P86" s="27"/>
      <c r="Q86" s="27"/>
      <c r="R86" s="27"/>
      <c r="S86" s="27"/>
      <c r="T86" s="27">
        <v>1</v>
      </c>
      <c r="U86" s="27"/>
      <c r="V86" s="27"/>
      <c r="W86" s="27"/>
      <c r="X86" s="25">
        <v>2070</v>
      </c>
      <c r="Y86" s="241">
        <f t="shared" si="5"/>
        <v>2070</v>
      </c>
    </row>
    <row r="87" spans="1:25" ht="16.5" thickBot="1" x14ac:dyDescent="0.3">
      <c r="A87" s="24"/>
      <c r="B87" s="27"/>
      <c r="C87" s="27"/>
      <c r="D87" s="27"/>
      <c r="E87" s="27"/>
      <c r="F87" s="27"/>
      <c r="G87" s="27"/>
      <c r="H87" s="27"/>
      <c r="I87" s="27"/>
      <c r="J87" s="27"/>
      <c r="K87" s="25"/>
      <c r="L87" s="25">
        <f t="shared" si="4"/>
        <v>0</v>
      </c>
      <c r="M87" s="231"/>
      <c r="N87" s="242"/>
      <c r="O87" s="124"/>
      <c r="P87" s="124"/>
      <c r="Q87" s="124"/>
      <c r="R87" s="124">
        <v>1</v>
      </c>
      <c r="S87" s="124"/>
      <c r="T87" s="124"/>
      <c r="U87" s="124"/>
      <c r="V87" s="124"/>
      <c r="W87" s="124"/>
      <c r="X87" s="125">
        <v>1465.2</v>
      </c>
      <c r="Y87" s="243">
        <f t="shared" si="5"/>
        <v>1465.2</v>
      </c>
    </row>
    <row r="88" spans="1:25" x14ac:dyDescent="0.25">
      <c r="A88" s="24"/>
      <c r="B88" s="27"/>
      <c r="C88" s="27"/>
      <c r="D88" s="27"/>
      <c r="E88" s="27"/>
      <c r="F88" s="27"/>
      <c r="G88" s="27"/>
      <c r="H88" s="27"/>
      <c r="I88" s="27"/>
      <c r="J88" s="27"/>
      <c r="K88" s="25"/>
      <c r="L88" s="25">
        <f t="shared" si="4"/>
        <v>0</v>
      </c>
      <c r="M88" s="231"/>
      <c r="N88" s="236">
        <v>45755</v>
      </c>
      <c r="O88" s="237"/>
      <c r="P88" s="237"/>
      <c r="Q88" s="237"/>
      <c r="R88" s="237"/>
      <c r="S88" s="237"/>
      <c r="T88" s="237"/>
      <c r="U88" s="237"/>
      <c r="V88" s="237"/>
      <c r="W88" s="237">
        <v>1</v>
      </c>
      <c r="X88" s="238">
        <v>1585.2</v>
      </c>
      <c r="Y88" s="239">
        <f t="shared" si="5"/>
        <v>1585.2</v>
      </c>
    </row>
    <row r="89" spans="1:25" x14ac:dyDescent="0.25">
      <c r="A89" s="24"/>
      <c r="B89" s="27"/>
      <c r="C89" s="27"/>
      <c r="D89" s="27"/>
      <c r="E89" s="27"/>
      <c r="F89" s="27"/>
      <c r="G89" s="27"/>
      <c r="H89" s="27"/>
      <c r="I89" s="27"/>
      <c r="J89" s="27"/>
      <c r="K89" s="25"/>
      <c r="L89" s="25">
        <f t="shared" si="4"/>
        <v>0</v>
      </c>
      <c r="M89" s="231"/>
      <c r="N89" s="240">
        <v>45757</v>
      </c>
      <c r="O89" s="27">
        <v>25</v>
      </c>
      <c r="P89" s="27"/>
      <c r="Q89" s="27"/>
      <c r="R89" s="27"/>
      <c r="S89" s="27"/>
      <c r="T89" s="27"/>
      <c r="U89" s="27"/>
      <c r="V89" s="27"/>
      <c r="W89" s="27"/>
      <c r="X89" s="25">
        <v>384</v>
      </c>
      <c r="Y89" s="241">
        <f t="shared" si="5"/>
        <v>9600</v>
      </c>
    </row>
    <row r="90" spans="1:25" x14ac:dyDescent="0.25">
      <c r="A90" s="24"/>
      <c r="B90" s="27"/>
      <c r="C90" s="27"/>
      <c r="D90" s="27"/>
      <c r="E90" s="27"/>
      <c r="F90" s="27"/>
      <c r="G90" s="27"/>
      <c r="H90" s="27"/>
      <c r="I90" s="27"/>
      <c r="J90" s="27"/>
      <c r="K90" s="25"/>
      <c r="L90" s="25">
        <f t="shared" si="4"/>
        <v>0</v>
      </c>
      <c r="M90" s="231"/>
      <c r="N90" s="240" t="s">
        <v>150</v>
      </c>
      <c r="O90" s="27"/>
      <c r="P90" s="27"/>
      <c r="Q90" s="27"/>
      <c r="R90" s="27"/>
      <c r="S90" s="27"/>
      <c r="T90" s="27"/>
      <c r="U90" s="27"/>
      <c r="V90" s="27"/>
      <c r="W90" s="27">
        <v>1</v>
      </c>
      <c r="X90" s="25">
        <v>1585.2</v>
      </c>
      <c r="Y90" s="241">
        <f t="shared" si="5"/>
        <v>1585.2</v>
      </c>
    </row>
    <row r="91" spans="1:25" x14ac:dyDescent="0.25">
      <c r="A91" s="24"/>
      <c r="B91" s="27"/>
      <c r="C91" s="27"/>
      <c r="D91" s="27"/>
      <c r="E91" s="27"/>
      <c r="F91" s="27"/>
      <c r="G91" s="27"/>
      <c r="H91" s="27"/>
      <c r="I91" s="27"/>
      <c r="J91" s="27"/>
      <c r="K91" s="25"/>
      <c r="L91" s="25">
        <f t="shared" si="4"/>
        <v>0</v>
      </c>
      <c r="M91" s="231"/>
      <c r="N91" s="240">
        <v>45762</v>
      </c>
      <c r="O91" s="27"/>
      <c r="P91" s="27"/>
      <c r="Q91" s="27"/>
      <c r="R91" s="27">
        <v>1</v>
      </c>
      <c r="S91" s="27"/>
      <c r="T91" s="27"/>
      <c r="U91" s="27"/>
      <c r="V91" s="27"/>
      <c r="W91" s="27"/>
      <c r="X91" s="25">
        <v>1465.2</v>
      </c>
      <c r="Y91" s="241">
        <f t="shared" si="5"/>
        <v>1465.2</v>
      </c>
    </row>
    <row r="92" spans="1:25" ht="16.5" thickBot="1" x14ac:dyDescent="0.3">
      <c r="A92" s="24"/>
      <c r="B92" s="27"/>
      <c r="C92" s="27"/>
      <c r="D92" s="27"/>
      <c r="E92" s="27"/>
      <c r="F92" s="27"/>
      <c r="G92" s="27"/>
      <c r="H92" s="27"/>
      <c r="I92" s="27"/>
      <c r="J92" s="27"/>
      <c r="K92" s="25"/>
      <c r="L92" s="25">
        <f t="shared" si="4"/>
        <v>0</v>
      </c>
      <c r="M92" s="231"/>
      <c r="N92" s="242">
        <v>45763</v>
      </c>
      <c r="O92" s="124">
        <v>25</v>
      </c>
      <c r="P92" s="124"/>
      <c r="Q92" s="124"/>
      <c r="R92" s="124"/>
      <c r="S92" s="124"/>
      <c r="T92" s="124"/>
      <c r="U92" s="124"/>
      <c r="V92" s="124"/>
      <c r="W92" s="124"/>
      <c r="X92" s="125">
        <v>384</v>
      </c>
      <c r="Y92" s="243">
        <f t="shared" si="5"/>
        <v>9600</v>
      </c>
    </row>
    <row r="93" spans="1:25" x14ac:dyDescent="0.25">
      <c r="A93" s="24"/>
      <c r="B93" s="27"/>
      <c r="C93" s="27"/>
      <c r="D93" s="27"/>
      <c r="E93" s="27"/>
      <c r="F93" s="27"/>
      <c r="G93" s="27"/>
      <c r="H93" s="27"/>
      <c r="I93" s="27"/>
      <c r="J93" s="27"/>
      <c r="K93" s="25"/>
      <c r="L93" s="25">
        <f t="shared" si="4"/>
        <v>0</v>
      </c>
      <c r="M93" s="231"/>
      <c r="N93" s="236">
        <v>45768</v>
      </c>
      <c r="O93" s="237">
        <v>25</v>
      </c>
      <c r="P93" s="237"/>
      <c r="Q93" s="237"/>
      <c r="R93" s="237"/>
      <c r="S93" s="237"/>
      <c r="T93" s="237"/>
      <c r="U93" s="237"/>
      <c r="V93" s="237"/>
      <c r="W93" s="237"/>
      <c r="X93" s="238">
        <v>384</v>
      </c>
      <c r="Y93" s="239">
        <f t="shared" si="5"/>
        <v>9600</v>
      </c>
    </row>
    <row r="94" spans="1:25" x14ac:dyDescent="0.25">
      <c r="A94" s="24"/>
      <c r="B94" s="27"/>
      <c r="C94" s="27"/>
      <c r="D94" s="27"/>
      <c r="E94" s="27"/>
      <c r="F94" s="27"/>
      <c r="G94" s="27"/>
      <c r="H94" s="27"/>
      <c r="I94" s="27"/>
      <c r="J94" s="27"/>
      <c r="K94" s="25"/>
      <c r="L94" s="25">
        <f t="shared" si="4"/>
        <v>0</v>
      </c>
      <c r="M94" s="231"/>
      <c r="N94" s="240">
        <v>45772</v>
      </c>
      <c r="O94" s="27">
        <v>25</v>
      </c>
      <c r="P94" s="27"/>
      <c r="Q94" s="27"/>
      <c r="R94" s="27"/>
      <c r="S94" s="27"/>
      <c r="T94" s="27"/>
      <c r="U94" s="27"/>
      <c r="V94" s="27"/>
      <c r="W94" s="27"/>
      <c r="X94" s="25">
        <v>384</v>
      </c>
      <c r="Y94" s="241">
        <f t="shared" si="5"/>
        <v>9600</v>
      </c>
    </row>
    <row r="95" spans="1:25" x14ac:dyDescent="0.25">
      <c r="A95" s="24"/>
      <c r="B95" s="27"/>
      <c r="C95" s="27"/>
      <c r="D95" s="27"/>
      <c r="E95" s="27"/>
      <c r="F95" s="27"/>
      <c r="G95" s="27"/>
      <c r="H95" s="27"/>
      <c r="I95" s="27"/>
      <c r="J95" s="27"/>
      <c r="K95" s="25"/>
      <c r="L95" s="25">
        <f t="shared" si="4"/>
        <v>0</v>
      </c>
      <c r="M95" s="231"/>
      <c r="N95" s="240">
        <v>45775</v>
      </c>
      <c r="O95" s="27"/>
      <c r="P95" s="27"/>
      <c r="Q95" s="27"/>
      <c r="R95" s="27"/>
      <c r="S95" s="27"/>
      <c r="T95" s="27">
        <v>1</v>
      </c>
      <c r="U95" s="27"/>
      <c r="V95" s="27"/>
      <c r="W95" s="27"/>
      <c r="X95" s="25">
        <v>2070</v>
      </c>
      <c r="Y95" s="241">
        <f t="shared" si="5"/>
        <v>2070</v>
      </c>
    </row>
    <row r="96" spans="1:25" x14ac:dyDescent="0.25">
      <c r="A96" s="24"/>
      <c r="B96" s="27"/>
      <c r="C96" s="27"/>
      <c r="D96" s="27"/>
      <c r="E96" s="27"/>
      <c r="F96" s="27"/>
      <c r="G96" s="27"/>
      <c r="H96" s="27"/>
      <c r="I96" s="27"/>
      <c r="J96" s="27"/>
      <c r="K96" s="25"/>
      <c r="L96" s="25">
        <f t="shared" si="4"/>
        <v>0</v>
      </c>
      <c r="M96" s="231"/>
      <c r="N96" s="240"/>
      <c r="O96" s="27">
        <v>25</v>
      </c>
      <c r="P96" s="27"/>
      <c r="Q96" s="27"/>
      <c r="R96" s="27"/>
      <c r="S96" s="27"/>
      <c r="T96" s="27"/>
      <c r="U96" s="27"/>
      <c r="V96" s="27"/>
      <c r="W96" s="27"/>
      <c r="X96" s="25">
        <v>384</v>
      </c>
      <c r="Y96" s="241">
        <f t="shared" si="5"/>
        <v>9600</v>
      </c>
    </row>
    <row r="97" spans="1:25" x14ac:dyDescent="0.25">
      <c r="A97" s="24"/>
      <c r="B97" s="27"/>
      <c r="C97" s="27"/>
      <c r="D97" s="27"/>
      <c r="E97" s="27"/>
      <c r="F97" s="27"/>
      <c r="G97" s="27"/>
      <c r="H97" s="27"/>
      <c r="I97" s="27"/>
      <c r="J97" s="27"/>
      <c r="K97" s="25"/>
      <c r="L97" s="25">
        <f t="shared" si="4"/>
        <v>0</v>
      </c>
      <c r="M97" s="231"/>
      <c r="N97" s="240">
        <v>45777</v>
      </c>
      <c r="O97" s="27"/>
      <c r="P97" s="27"/>
      <c r="Q97" s="27"/>
      <c r="R97" s="27"/>
      <c r="S97" s="27"/>
      <c r="T97" s="27"/>
      <c r="U97" s="27">
        <v>1</v>
      </c>
      <c r="V97" s="27"/>
      <c r="W97" s="27"/>
      <c r="X97" s="25">
        <v>1758</v>
      </c>
      <c r="Y97" s="241">
        <f t="shared" si="5"/>
        <v>1758</v>
      </c>
    </row>
    <row r="98" spans="1:25" x14ac:dyDescent="0.25">
      <c r="A98" s="24"/>
      <c r="B98" s="27"/>
      <c r="C98" s="27"/>
      <c r="D98" s="27"/>
      <c r="E98" s="27"/>
      <c r="F98" s="27"/>
      <c r="G98" s="27"/>
      <c r="H98" s="27"/>
      <c r="I98" s="27"/>
      <c r="J98" s="27"/>
      <c r="K98" s="25"/>
      <c r="L98" s="25">
        <f t="shared" si="4"/>
        <v>0</v>
      </c>
      <c r="M98" s="231"/>
      <c r="N98" s="240"/>
      <c r="O98" s="27">
        <v>25</v>
      </c>
      <c r="P98" s="27"/>
      <c r="Q98" s="27"/>
      <c r="R98" s="27"/>
      <c r="S98" s="27"/>
      <c r="T98" s="27"/>
      <c r="U98" s="27"/>
      <c r="V98" s="27"/>
      <c r="W98" s="27"/>
      <c r="X98" s="25">
        <v>384</v>
      </c>
      <c r="Y98" s="241">
        <f t="shared" si="5"/>
        <v>9600</v>
      </c>
    </row>
    <row r="99" spans="1:25" ht="16.5" thickBot="1" x14ac:dyDescent="0.3">
      <c r="A99" s="24"/>
      <c r="B99" s="27"/>
      <c r="C99" s="27"/>
      <c r="D99" s="27"/>
      <c r="E99" s="27"/>
      <c r="F99" s="27"/>
      <c r="G99" s="27"/>
      <c r="H99" s="27"/>
      <c r="I99" s="27"/>
      <c r="J99" s="27"/>
      <c r="K99" s="25"/>
      <c r="L99" s="25">
        <f t="shared" si="4"/>
        <v>0</v>
      </c>
      <c r="M99" s="231"/>
      <c r="N99" s="242"/>
      <c r="O99" s="124"/>
      <c r="P99" s="124"/>
      <c r="Q99" s="124"/>
      <c r="R99" s="124"/>
      <c r="S99" s="124"/>
      <c r="T99" s="124"/>
      <c r="U99" s="124"/>
      <c r="V99" s="124"/>
      <c r="W99" s="124">
        <v>1</v>
      </c>
      <c r="X99" s="125">
        <v>1585.2</v>
      </c>
      <c r="Y99" s="243">
        <f t="shared" si="5"/>
        <v>1585.2</v>
      </c>
    </row>
    <row r="100" spans="1:25" x14ac:dyDescent="0.25">
      <c r="A100" s="24"/>
      <c r="B100" s="27"/>
      <c r="C100" s="27"/>
      <c r="D100" s="27"/>
      <c r="E100" s="27"/>
      <c r="F100" s="27"/>
      <c r="G100" s="27"/>
      <c r="H100" s="27"/>
      <c r="I100" s="27"/>
      <c r="J100" s="27"/>
      <c r="K100" s="25"/>
      <c r="L100" s="25">
        <f t="shared" si="4"/>
        <v>0</v>
      </c>
      <c r="M100" s="30"/>
      <c r="N100" s="122"/>
      <c r="O100" s="119"/>
      <c r="P100" s="119"/>
      <c r="Q100" s="119"/>
      <c r="R100" s="119"/>
      <c r="S100" s="119"/>
      <c r="T100" s="119"/>
      <c r="U100" s="119"/>
      <c r="V100" s="119"/>
      <c r="W100" s="119"/>
      <c r="X100" s="120"/>
      <c r="Y100" s="120">
        <f t="shared" si="5"/>
        <v>0</v>
      </c>
    </row>
    <row r="101" spans="1:25" x14ac:dyDescent="0.25">
      <c r="A101" s="24"/>
      <c r="B101" s="27"/>
      <c r="C101" s="27"/>
      <c r="D101" s="27"/>
      <c r="E101" s="27"/>
      <c r="F101" s="27"/>
      <c r="G101" s="27"/>
      <c r="H101" s="27"/>
      <c r="I101" s="27"/>
      <c r="J101" s="27"/>
      <c r="K101" s="25"/>
      <c r="L101" s="25">
        <f t="shared" si="4"/>
        <v>0</v>
      </c>
      <c r="M101" s="30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5"/>
      <c r="Y101" s="25">
        <f t="shared" si="5"/>
        <v>0</v>
      </c>
    </row>
    <row r="102" spans="1:25" x14ac:dyDescent="0.25">
      <c r="A102" s="24"/>
      <c r="B102" s="27"/>
      <c r="C102" s="27"/>
      <c r="D102" s="27"/>
      <c r="E102" s="27"/>
      <c r="F102" s="27"/>
      <c r="G102" s="27"/>
      <c r="H102" s="27"/>
      <c r="I102" s="27"/>
      <c r="J102" s="27"/>
      <c r="K102" s="25"/>
      <c r="L102" s="25">
        <f t="shared" si="4"/>
        <v>0</v>
      </c>
      <c r="M102" s="30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5"/>
      <c r="Y102" s="25">
        <f t="shared" si="5"/>
        <v>0</v>
      </c>
    </row>
    <row r="103" spans="1:25" x14ac:dyDescent="0.25">
      <c r="A103" s="24"/>
      <c r="B103" s="27"/>
      <c r="C103" s="27"/>
      <c r="D103" s="27"/>
      <c r="E103" s="27"/>
      <c r="F103" s="27"/>
      <c r="G103" s="27"/>
      <c r="H103" s="27"/>
      <c r="I103" s="27"/>
      <c r="J103" s="27"/>
      <c r="K103" s="25"/>
      <c r="L103" s="25">
        <f t="shared" si="4"/>
        <v>0</v>
      </c>
      <c r="M103" s="30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5"/>
      <c r="Y103" s="25">
        <f t="shared" si="5"/>
        <v>0</v>
      </c>
    </row>
    <row r="104" spans="1:25" x14ac:dyDescent="0.25">
      <c r="A104" s="24"/>
      <c r="B104" s="27"/>
      <c r="C104" s="27"/>
      <c r="D104" s="27"/>
      <c r="E104" s="27"/>
      <c r="F104" s="27"/>
      <c r="G104" s="27"/>
      <c r="H104" s="27"/>
      <c r="I104" s="27"/>
      <c r="J104" s="27"/>
      <c r="K104" s="25"/>
      <c r="L104" s="25">
        <f t="shared" si="4"/>
        <v>0</v>
      </c>
      <c r="M104" s="30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5"/>
      <c r="Y104" s="25">
        <f t="shared" si="5"/>
        <v>0</v>
      </c>
    </row>
    <row r="105" spans="1:25" x14ac:dyDescent="0.25">
      <c r="A105" s="24"/>
      <c r="B105" s="27"/>
      <c r="C105" s="27"/>
      <c r="D105" s="27"/>
      <c r="E105" s="27"/>
      <c r="F105" s="27"/>
      <c r="G105" s="27"/>
      <c r="H105" s="27"/>
      <c r="I105" s="27"/>
      <c r="J105" s="27"/>
      <c r="K105" s="25"/>
      <c r="L105" s="25">
        <f t="shared" si="4"/>
        <v>0</v>
      </c>
      <c r="M105" s="30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5"/>
      <c r="Y105" s="25">
        <f t="shared" si="5"/>
        <v>0</v>
      </c>
    </row>
    <row r="106" spans="1:25" x14ac:dyDescent="0.25">
      <c r="A106" s="24"/>
      <c r="B106" s="27"/>
      <c r="C106" s="27"/>
      <c r="D106" s="27"/>
      <c r="E106" s="27"/>
      <c r="F106" s="27"/>
      <c r="G106" s="27"/>
      <c r="H106" s="27"/>
      <c r="I106" s="27"/>
      <c r="J106" s="27"/>
      <c r="K106" s="25"/>
      <c r="L106" s="25">
        <f t="shared" si="4"/>
        <v>0</v>
      </c>
      <c r="M106" s="30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5"/>
      <c r="Y106" s="25">
        <f t="shared" si="5"/>
        <v>0</v>
      </c>
    </row>
    <row r="107" spans="1:25" x14ac:dyDescent="0.25">
      <c r="A107" s="24"/>
      <c r="B107" s="27"/>
      <c r="C107" s="27"/>
      <c r="D107" s="27"/>
      <c r="E107" s="27"/>
      <c r="F107" s="27"/>
      <c r="G107" s="27"/>
      <c r="H107" s="27"/>
      <c r="I107" s="27"/>
      <c r="J107" s="27"/>
      <c r="K107" s="25"/>
      <c r="L107" s="25">
        <f t="shared" si="4"/>
        <v>0</v>
      </c>
      <c r="M107" s="30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5"/>
      <c r="Y107" s="25">
        <f t="shared" si="5"/>
        <v>0</v>
      </c>
    </row>
    <row r="108" spans="1:25" x14ac:dyDescent="0.25">
      <c r="A108" s="24"/>
      <c r="B108" s="27"/>
      <c r="C108" s="27"/>
      <c r="D108" s="27"/>
      <c r="E108" s="27"/>
      <c r="F108" s="27"/>
      <c r="G108" s="27"/>
      <c r="H108" s="27"/>
      <c r="I108" s="27"/>
      <c r="J108" s="27"/>
      <c r="K108" s="25"/>
      <c r="L108" s="25">
        <f t="shared" si="4"/>
        <v>0</v>
      </c>
      <c r="M108" s="30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5"/>
      <c r="Y108" s="25">
        <f t="shared" si="5"/>
        <v>0</v>
      </c>
    </row>
    <row r="109" spans="1:25" x14ac:dyDescent="0.25">
      <c r="A109" s="24"/>
      <c r="B109" s="27"/>
      <c r="C109" s="27"/>
      <c r="D109" s="27"/>
      <c r="E109" s="27"/>
      <c r="F109" s="27"/>
      <c r="G109" s="27"/>
      <c r="H109" s="27"/>
      <c r="I109" s="27"/>
      <c r="J109" s="27"/>
      <c r="K109" s="25"/>
      <c r="L109" s="25">
        <f t="shared" si="4"/>
        <v>0</v>
      </c>
      <c r="M109" s="30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5"/>
      <c r="Y109" s="25">
        <f t="shared" si="5"/>
        <v>0</v>
      </c>
    </row>
    <row r="110" spans="1:25" x14ac:dyDescent="0.25">
      <c r="A110" s="24"/>
      <c r="B110" s="27"/>
      <c r="C110" s="27"/>
      <c r="D110" s="27"/>
      <c r="E110" s="27"/>
      <c r="F110" s="27"/>
      <c r="G110" s="27"/>
      <c r="H110" s="27"/>
      <c r="I110" s="27"/>
      <c r="J110" s="27"/>
      <c r="K110" s="25"/>
      <c r="L110" s="25">
        <f t="shared" si="4"/>
        <v>0</v>
      </c>
      <c r="M110" s="30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5"/>
      <c r="Y110" s="25">
        <f t="shared" si="5"/>
        <v>0</v>
      </c>
    </row>
    <row r="111" spans="1:25" x14ac:dyDescent="0.25">
      <c r="A111" s="24"/>
      <c r="B111" s="27"/>
      <c r="C111" s="27"/>
      <c r="D111" s="27"/>
      <c r="E111" s="27"/>
      <c r="F111" s="27"/>
      <c r="G111" s="27"/>
      <c r="H111" s="27"/>
      <c r="I111" s="27"/>
      <c r="J111" s="27"/>
      <c r="K111" s="25"/>
      <c r="L111" s="25">
        <f t="shared" si="4"/>
        <v>0</v>
      </c>
      <c r="M111" s="30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5"/>
      <c r="Y111" s="25">
        <f t="shared" si="5"/>
        <v>0</v>
      </c>
    </row>
    <row r="112" spans="1:25" x14ac:dyDescent="0.25">
      <c r="A112" s="24"/>
      <c r="B112" s="27"/>
      <c r="C112" s="27"/>
      <c r="D112" s="27"/>
      <c r="E112" s="27"/>
      <c r="F112" s="27"/>
      <c r="G112" s="27"/>
      <c r="H112" s="27"/>
      <c r="I112" s="27"/>
      <c r="J112" s="27"/>
      <c r="K112" s="25"/>
      <c r="L112" s="25">
        <f t="shared" si="4"/>
        <v>0</v>
      </c>
      <c r="M112" s="30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5"/>
      <c r="Y112" s="25">
        <f t="shared" si="5"/>
        <v>0</v>
      </c>
    </row>
    <row r="113" spans="1:25" x14ac:dyDescent="0.25">
      <c r="A113" s="24"/>
      <c r="B113" s="27"/>
      <c r="C113" s="27"/>
      <c r="D113" s="27"/>
      <c r="E113" s="27"/>
      <c r="F113" s="27"/>
      <c r="G113" s="27"/>
      <c r="H113" s="27"/>
      <c r="I113" s="27"/>
      <c r="J113" s="27"/>
      <c r="K113" s="25"/>
      <c r="L113" s="25">
        <f>B113*K113+C113*K113+D113*K113+E113*K113+F113*K113+G113*K113+H113*K113</f>
        <v>0</v>
      </c>
      <c r="M113" s="30"/>
      <c r="N113" s="24"/>
      <c r="O113" s="27"/>
      <c r="P113" s="27"/>
      <c r="Q113" s="27"/>
      <c r="R113" s="27"/>
      <c r="S113" s="27"/>
      <c r="T113" s="27"/>
      <c r="U113" s="27"/>
      <c r="V113" s="27"/>
      <c r="W113" s="27"/>
      <c r="X113" s="25"/>
      <c r="Y113" s="25">
        <f t="shared" si="5"/>
        <v>0</v>
      </c>
    </row>
    <row r="114" spans="1:25" x14ac:dyDescent="0.25">
      <c r="A114" s="24"/>
      <c r="B114" s="27">
        <f>SUM(B3:B113)</f>
        <v>625</v>
      </c>
      <c r="C114" s="27">
        <f>SUM(C3:C113)</f>
        <v>125</v>
      </c>
      <c r="D114" s="27">
        <f>SUM(D3:D113)</f>
        <v>125</v>
      </c>
      <c r="E114" s="27">
        <f>SUM(E3:E113)</f>
        <v>11</v>
      </c>
      <c r="F114" s="27">
        <f t="shared" ref="F114:K114" si="6">SUM(F3:F113)</f>
        <v>5</v>
      </c>
      <c r="G114" s="27">
        <f t="shared" si="6"/>
        <v>11</v>
      </c>
      <c r="H114" s="27">
        <f t="shared" si="6"/>
        <v>5</v>
      </c>
      <c r="I114" s="27">
        <f t="shared" si="6"/>
        <v>6</v>
      </c>
      <c r="J114" s="27">
        <f t="shared" si="6"/>
        <v>6</v>
      </c>
      <c r="K114" s="27">
        <f t="shared" si="6"/>
        <v>21021.599999999999</v>
      </c>
      <c r="L114" s="25">
        <f>SUM(L3:L113)</f>
        <v>405944.4</v>
      </c>
      <c r="M114" s="30"/>
      <c r="N114" s="24"/>
      <c r="O114" s="27">
        <f>SUM(O3:O113)</f>
        <v>525</v>
      </c>
      <c r="P114" s="27">
        <f>SUM(P3:P113)</f>
        <v>125</v>
      </c>
      <c r="Q114" s="27">
        <f t="shared" ref="Q114:W114" si="7">SUM(Q3:Q113)</f>
        <v>125</v>
      </c>
      <c r="R114" s="27">
        <f t="shared" si="7"/>
        <v>11</v>
      </c>
      <c r="S114" s="27">
        <f t="shared" si="7"/>
        <v>5</v>
      </c>
      <c r="T114" s="27">
        <f t="shared" si="7"/>
        <v>9</v>
      </c>
      <c r="U114" s="27">
        <f t="shared" si="7"/>
        <v>3</v>
      </c>
      <c r="V114" s="27">
        <f t="shared" si="7"/>
        <v>0</v>
      </c>
      <c r="W114" s="27">
        <f t="shared" si="7"/>
        <v>5</v>
      </c>
      <c r="X114" s="25"/>
      <c r="Y114" s="2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"/>
  <sheetViews>
    <sheetView workbookViewId="0">
      <pane ySplit="1" topLeftCell="A2" activePane="bottomLeft" state="frozen"/>
      <selection pane="bottomLeft" activeCell="M6" sqref="M6"/>
    </sheetView>
  </sheetViews>
  <sheetFormatPr defaultColWidth="8.85546875" defaultRowHeight="15.75" x14ac:dyDescent="0.25"/>
  <cols>
    <col min="1" max="1" width="11.140625" style="26" customWidth="1"/>
    <col min="2" max="2" width="15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6.28515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6.140625" style="26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148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148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148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 t="s">
        <v>108</v>
      </c>
      <c r="B2" s="24"/>
      <c r="C2" s="24"/>
      <c r="D2" s="24"/>
      <c r="E2" s="24"/>
      <c r="F2" s="24"/>
      <c r="G2" s="24"/>
      <c r="H2" s="25"/>
      <c r="I2" s="25"/>
      <c r="J2" s="30"/>
      <c r="K2" s="275" t="s">
        <v>108</v>
      </c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39.74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45755</v>
      </c>
      <c r="B3" s="27">
        <v>40</v>
      </c>
      <c r="C3" s="27"/>
      <c r="D3" s="27"/>
      <c r="E3" s="27"/>
      <c r="F3" s="27"/>
      <c r="G3" s="27"/>
      <c r="H3" s="25">
        <v>2196.6</v>
      </c>
      <c r="I3" s="25">
        <f>B3*H3+C3*H3+D3*H3+E3*H3+F3*H3+G3*H3</f>
        <v>87864</v>
      </c>
      <c r="J3" s="231"/>
      <c r="K3" s="276">
        <v>45755</v>
      </c>
      <c r="L3" s="252" t="s">
        <v>47</v>
      </c>
      <c r="M3" s="253">
        <v>0.26</v>
      </c>
      <c r="N3" s="253"/>
      <c r="O3" s="253"/>
      <c r="P3" s="253"/>
      <c r="Q3" s="253"/>
      <c r="R3" s="253"/>
      <c r="S3" s="254">
        <v>2196.6</v>
      </c>
      <c r="T3" s="255">
        <f>M3*S3+N3*S3+O3*S3+P3*S3+Q3*S3+R3*S3</f>
        <v>571.11599999999999</v>
      </c>
      <c r="V3" s="25">
        <v>2196.6</v>
      </c>
      <c r="W3" s="25"/>
      <c r="X3" s="25"/>
      <c r="Y3" s="25"/>
      <c r="Z3" s="25"/>
      <c r="AA3" s="25"/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 t="s">
        <v>47</v>
      </c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87292.884000000005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 t="s">
        <v>47</v>
      </c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 t="s">
        <v>47</v>
      </c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 t="s">
        <v>47</v>
      </c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 t="s">
        <v>47</v>
      </c>
      <c r="M8" s="27"/>
      <c r="N8" s="27"/>
      <c r="O8" s="27"/>
      <c r="P8" s="27"/>
      <c r="Q8" s="27"/>
      <c r="R8" s="27"/>
      <c r="S8" s="25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 t="s">
        <v>47</v>
      </c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 t="s">
        <v>47</v>
      </c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 t="s">
        <v>47</v>
      </c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 t="s">
        <v>47</v>
      </c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40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2196.6</v>
      </c>
      <c r="I20" s="25">
        <f>SUM(I3:I19)</f>
        <v>87864</v>
      </c>
      <c r="J20" s="30"/>
      <c r="K20" s="24"/>
      <c r="L20" s="24"/>
      <c r="M20" s="27">
        <f>SUM(M3:M19)</f>
        <v>0.26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"/>
  <sheetViews>
    <sheetView workbookViewId="0">
      <pane ySplit="1" topLeftCell="A2" activePane="bottomLeft" state="frozen"/>
      <selection pane="bottomLeft" sqref="A1:XFD1048576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36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36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45531</v>
      </c>
      <c r="B3" s="27"/>
      <c r="C3" s="27"/>
      <c r="D3" s="27"/>
      <c r="E3" s="27"/>
      <c r="F3" s="27"/>
      <c r="G3" s="27">
        <v>25</v>
      </c>
      <c r="H3" s="25">
        <v>406</v>
      </c>
      <c r="I3" s="25">
        <f>B3*H3+C3*H3+D3*H3+E3*H3+F3*H3+G3*H3</f>
        <v>10150</v>
      </c>
      <c r="J3" s="30"/>
      <c r="K3" s="28">
        <v>45535</v>
      </c>
      <c r="L3" s="24" t="s">
        <v>47</v>
      </c>
      <c r="M3" s="27"/>
      <c r="N3" s="27"/>
      <c r="O3" s="27"/>
      <c r="P3" s="27"/>
      <c r="Q3" s="27"/>
      <c r="R3" s="27">
        <v>0.4</v>
      </c>
      <c r="S3" s="25">
        <v>406</v>
      </c>
      <c r="T3" s="25">
        <f>M3*S3+N3*S3+O3*S3+P3*S3+Q3*S3+R3*S3</f>
        <v>162.4</v>
      </c>
      <c r="V3" s="25">
        <v>312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28">
        <v>45545</v>
      </c>
      <c r="L4" s="24" t="s">
        <v>47</v>
      </c>
      <c r="M4" s="27"/>
      <c r="N4" s="27"/>
      <c r="O4" s="27"/>
      <c r="P4" s="27"/>
      <c r="Q4" s="27"/>
      <c r="R4" s="27">
        <v>1.2</v>
      </c>
      <c r="S4" s="25">
        <v>406</v>
      </c>
      <c r="T4" s="25">
        <f t="shared" ref="T4:T19" si="2">M4*S4+N4*S4+O4*S4+P4*S4+Q4*S4+R4*S4</f>
        <v>487.2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45551</v>
      </c>
      <c r="L5" s="24" t="s">
        <v>47</v>
      </c>
      <c r="M5" s="27"/>
      <c r="N5" s="27"/>
      <c r="O5" s="27"/>
      <c r="P5" s="27"/>
      <c r="Q5" s="27"/>
      <c r="R5" s="27">
        <v>0.5</v>
      </c>
      <c r="S5" s="25">
        <v>406</v>
      </c>
      <c r="T5" s="25">
        <f t="shared" si="2"/>
        <v>203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>
        <v>45558</v>
      </c>
      <c r="L6" s="24" t="s">
        <v>47</v>
      </c>
      <c r="M6" s="27"/>
      <c r="N6" s="27"/>
      <c r="O6" s="27"/>
      <c r="P6" s="27"/>
      <c r="Q6" s="27"/>
      <c r="R6" s="27">
        <v>0.4</v>
      </c>
      <c r="S6" s="25">
        <v>406</v>
      </c>
      <c r="T6" s="25">
        <f t="shared" si="2"/>
        <v>162.4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>
        <v>45560</v>
      </c>
      <c r="L7" s="24" t="s">
        <v>47</v>
      </c>
      <c r="M7" s="27"/>
      <c r="N7" s="27"/>
      <c r="O7" s="27"/>
      <c r="P7" s="27"/>
      <c r="Q7" s="27"/>
      <c r="R7" s="27">
        <v>0.3</v>
      </c>
      <c r="S7" s="25">
        <v>406</v>
      </c>
      <c r="T7" s="25">
        <f t="shared" si="2"/>
        <v>121.8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>
        <v>45561</v>
      </c>
      <c r="L8" s="123" t="s">
        <v>47</v>
      </c>
      <c r="M8" s="124"/>
      <c r="N8" s="124"/>
      <c r="O8" s="124"/>
      <c r="P8" s="124"/>
      <c r="Q8" s="124"/>
      <c r="R8" s="124">
        <v>0.1</v>
      </c>
      <c r="S8" s="125">
        <v>406</v>
      </c>
      <c r="T8" s="125">
        <f t="shared" si="2"/>
        <v>40.6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>
        <v>45567</v>
      </c>
      <c r="L9" s="118" t="s">
        <v>47</v>
      </c>
      <c r="M9" s="119"/>
      <c r="N9" s="119"/>
      <c r="O9" s="119"/>
      <c r="P9" s="119"/>
      <c r="Q9" s="119"/>
      <c r="R9" s="119">
        <v>0.35</v>
      </c>
      <c r="S9" s="120">
        <v>406</v>
      </c>
      <c r="T9" s="120">
        <f t="shared" si="2"/>
        <v>142.1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>
        <v>45568</v>
      </c>
      <c r="L10" s="24" t="s">
        <v>47</v>
      </c>
      <c r="M10" s="27"/>
      <c r="N10" s="27"/>
      <c r="O10" s="27"/>
      <c r="P10" s="27"/>
      <c r="Q10" s="27"/>
      <c r="R10" s="27">
        <v>0.6</v>
      </c>
      <c r="S10" s="25">
        <v>406</v>
      </c>
      <c r="T10" s="25">
        <f t="shared" si="2"/>
        <v>243.6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>
        <v>45572</v>
      </c>
      <c r="L11" s="24" t="s">
        <v>47</v>
      </c>
      <c r="M11" s="27"/>
      <c r="N11" s="27"/>
      <c r="O11" s="27"/>
      <c r="P11" s="27"/>
      <c r="Q11" s="27"/>
      <c r="R11" s="27">
        <v>1.8</v>
      </c>
      <c r="S11" s="25">
        <v>406</v>
      </c>
      <c r="T11" s="25">
        <f t="shared" si="2"/>
        <v>730.80000000000007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>
        <v>45576</v>
      </c>
      <c r="L12" s="24" t="s">
        <v>47</v>
      </c>
      <c r="M12" s="27"/>
      <c r="N12" s="27"/>
      <c r="O12" s="27"/>
      <c r="P12" s="27"/>
      <c r="Q12" s="27"/>
      <c r="R12" s="27">
        <v>19.350000000000001</v>
      </c>
      <c r="S12" s="25">
        <v>406</v>
      </c>
      <c r="T12" s="25">
        <f t="shared" si="2"/>
        <v>7856.1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25</v>
      </c>
      <c r="H20" s="27">
        <f t="shared" si="4"/>
        <v>406</v>
      </c>
      <c r="I20" s="25">
        <f>SUM(I3:I19)</f>
        <v>10150</v>
      </c>
      <c r="J20" s="30"/>
      <c r="K20" s="24"/>
      <c r="L20" s="24"/>
      <c r="M20" s="27">
        <f>SUM(M3:M19)</f>
        <v>0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25</v>
      </c>
      <c r="S20" s="25"/>
      <c r="T20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00"/>
  <sheetViews>
    <sheetView workbookViewId="0">
      <pane ySplit="1" topLeftCell="A2" activePane="bottomLeft" state="frozen"/>
      <selection pane="bottomLeft" activeCell="O32" sqref="O32"/>
    </sheetView>
  </sheetViews>
  <sheetFormatPr defaultColWidth="8.85546875" defaultRowHeight="15" x14ac:dyDescent="0.25"/>
  <cols>
    <col min="1" max="1" width="11.140625" style="203" customWidth="1"/>
    <col min="2" max="2" width="12.5703125" style="203" customWidth="1"/>
    <col min="3" max="3" width="12.5703125" style="203" hidden="1" customWidth="1"/>
    <col min="4" max="4" width="11.7109375" style="203" customWidth="1"/>
    <col min="5" max="5" width="11.7109375" style="203" hidden="1" customWidth="1"/>
    <col min="6" max="6" width="12" style="203" customWidth="1"/>
    <col min="7" max="8" width="12" style="203" hidden="1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3" width="12.42578125" style="203" customWidth="1"/>
    <col min="14" max="14" width="12.42578125" style="203" hidden="1" customWidth="1"/>
    <col min="15" max="15" width="11.85546875" style="203" customWidth="1"/>
    <col min="16" max="16" width="11.85546875" style="203" hidden="1" customWidth="1"/>
    <col min="17" max="17" width="11.7109375" style="203" customWidth="1"/>
    <col min="18" max="18" width="11.7109375" style="203" hidden="1" customWidth="1"/>
    <col min="19" max="19" width="10.7109375" style="203" hidden="1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/>
      <c r="D1" s="173" t="s">
        <v>26</v>
      </c>
      <c r="E1" s="173"/>
      <c r="F1" s="173" t="s">
        <v>27</v>
      </c>
      <c r="G1" s="173"/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/>
      <c r="O1" s="173" t="s">
        <v>26</v>
      </c>
      <c r="P1" s="173"/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/>
      <c r="AA1" s="173"/>
      <c r="AB1" s="173"/>
      <c r="AC1" s="173" t="s">
        <v>139</v>
      </c>
    </row>
    <row r="2" spans="1:31" ht="15.75" thickBot="1" x14ac:dyDescent="0.3">
      <c r="A2" s="199" t="s">
        <v>108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338" t="s">
        <v>108</v>
      </c>
      <c r="M2" s="339"/>
      <c r="N2" s="339"/>
      <c r="O2" s="339"/>
      <c r="P2" s="339"/>
      <c r="Q2" s="339"/>
      <c r="R2" s="339"/>
      <c r="S2" s="339"/>
      <c r="T2" s="304"/>
      <c r="U2" s="304"/>
      <c r="W2" s="204">
        <f>0+B199-M199</f>
        <v>3150</v>
      </c>
      <c r="X2" s="204">
        <f>0+D199-O199</f>
        <v>1650</v>
      </c>
      <c r="Y2" s="204">
        <f>0+F199-Q199</f>
        <v>1350</v>
      </c>
      <c r="Z2" s="204">
        <f>0+C199-N199</f>
        <v>0</v>
      </c>
      <c r="AA2" s="204">
        <f>0+E199-P199</f>
        <v>0</v>
      </c>
      <c r="AB2" s="204">
        <f>0+G199-R199</f>
        <v>0</v>
      </c>
      <c r="AC2" s="204">
        <f>0+H199-S199</f>
        <v>0</v>
      </c>
      <c r="AD2" s="205"/>
      <c r="AE2" s="205"/>
    </row>
    <row r="3" spans="1:31" x14ac:dyDescent="0.25">
      <c r="A3" s="206">
        <v>45763</v>
      </c>
      <c r="B3" s="204">
        <v>2500</v>
      </c>
      <c r="C3" s="204"/>
      <c r="D3" s="204"/>
      <c r="E3" s="204"/>
      <c r="F3" s="204"/>
      <c r="G3" s="204"/>
      <c r="H3" s="204"/>
      <c r="I3" s="201">
        <v>47</v>
      </c>
      <c r="J3" s="201">
        <f>B3*I3+C3*I3+D3*I3+E3*I3+F3*I3+G3*I3+H3*I3</f>
        <v>117500</v>
      </c>
      <c r="K3" s="258"/>
      <c r="L3" s="264">
        <v>45768</v>
      </c>
      <c r="M3" s="265"/>
      <c r="N3" s="265"/>
      <c r="O3" s="265"/>
      <c r="P3" s="265"/>
      <c r="Q3" s="265">
        <v>150</v>
      </c>
      <c r="R3" s="265"/>
      <c r="S3" s="265"/>
      <c r="T3" s="266">
        <v>183</v>
      </c>
      <c r="U3" s="267">
        <f>M3*T3+N3*T3+O3*T3+P3*T3+Q3*T3+R3*T3+S3*T3</f>
        <v>27450</v>
      </c>
      <c r="W3" s="201">
        <v>47</v>
      </c>
      <c r="X3" s="201">
        <v>183</v>
      </c>
      <c r="Y3" s="201">
        <v>183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1000</v>
      </c>
      <c r="E4" s="204"/>
      <c r="F4" s="204">
        <v>1500</v>
      </c>
      <c r="G4" s="204"/>
      <c r="H4" s="204"/>
      <c r="I4" s="201">
        <v>183</v>
      </c>
      <c r="J4" s="201">
        <f t="shared" ref="J4:J67" si="0">B4*I4+C4*I4+D4*I4+E4*I4+F4*I4+G4*I4+H4*I4</f>
        <v>457500</v>
      </c>
      <c r="K4" s="258"/>
      <c r="L4" s="270"/>
      <c r="M4" s="204"/>
      <c r="N4" s="204"/>
      <c r="O4" s="204"/>
      <c r="P4" s="204"/>
      <c r="Q4" s="204"/>
      <c r="R4" s="204"/>
      <c r="S4" s="204"/>
      <c r="T4" s="201"/>
      <c r="U4" s="269">
        <f t="shared" ref="U4:U67" si="1">M4*T4+N4*T4+O4*T4+P4*T4+Q4*T4+R4*T4+S4*T4</f>
        <v>0</v>
      </c>
      <c r="W4" s="201">
        <f>W2*W3</f>
        <v>148050</v>
      </c>
      <c r="X4" s="201">
        <f t="shared" ref="X4:AC4" si="2">X2*X3</f>
        <v>301950</v>
      </c>
      <c r="Y4" s="201">
        <f t="shared" si="2"/>
        <v>247050</v>
      </c>
      <c r="Z4" s="201">
        <f t="shared" si="2"/>
        <v>0</v>
      </c>
      <c r="AA4" s="201">
        <f t="shared" si="2"/>
        <v>0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25</v>
      </c>
      <c r="G5" s="204"/>
      <c r="H5" s="204"/>
      <c r="I5" s="201">
        <v>183</v>
      </c>
      <c r="J5" s="201">
        <f t="shared" si="0"/>
        <v>4575</v>
      </c>
      <c r="K5" s="258"/>
      <c r="L5" s="268">
        <v>45771</v>
      </c>
      <c r="M5" s="204"/>
      <c r="N5" s="204"/>
      <c r="O5" s="204"/>
      <c r="P5" s="204"/>
      <c r="Q5" s="204">
        <v>150</v>
      </c>
      <c r="R5" s="204"/>
      <c r="S5" s="204"/>
      <c r="T5" s="201">
        <v>183</v>
      </c>
      <c r="U5" s="269">
        <f t="shared" si="1"/>
        <v>27450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58"/>
      <c r="L6" s="268">
        <v>45775</v>
      </c>
      <c r="M6" s="204"/>
      <c r="N6" s="204"/>
      <c r="O6" s="204"/>
      <c r="P6" s="204"/>
      <c r="Q6" s="204">
        <v>400</v>
      </c>
      <c r="R6" s="204"/>
      <c r="S6" s="204"/>
      <c r="T6" s="201">
        <v>183</v>
      </c>
      <c r="U6" s="269">
        <f t="shared" si="1"/>
        <v>73200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58"/>
      <c r="L7" s="268"/>
      <c r="M7" s="204">
        <v>275</v>
      </c>
      <c r="N7" s="204"/>
      <c r="O7" s="204"/>
      <c r="P7" s="204"/>
      <c r="Q7" s="204"/>
      <c r="R7" s="204"/>
      <c r="S7" s="204"/>
      <c r="T7" s="201">
        <v>47</v>
      </c>
      <c r="U7" s="269">
        <f t="shared" si="1"/>
        <v>12925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58"/>
      <c r="L8" s="268">
        <v>45776</v>
      </c>
      <c r="M8" s="204"/>
      <c r="N8" s="204"/>
      <c r="O8" s="204"/>
      <c r="P8" s="204"/>
      <c r="Q8" s="204">
        <v>125</v>
      </c>
      <c r="R8" s="204"/>
      <c r="S8" s="204"/>
      <c r="T8" s="201">
        <v>183</v>
      </c>
      <c r="U8" s="269">
        <f t="shared" si="1"/>
        <v>22875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58"/>
      <c r="L9" s="268"/>
      <c r="M9" s="204">
        <v>125</v>
      </c>
      <c r="N9" s="204"/>
      <c r="O9" s="204"/>
      <c r="P9" s="204"/>
      <c r="Q9" s="204"/>
      <c r="R9" s="204"/>
      <c r="S9" s="204"/>
      <c r="T9" s="201">
        <v>47</v>
      </c>
      <c r="U9" s="269">
        <f t="shared" si="1"/>
        <v>5875</v>
      </c>
    </row>
    <row r="10" spans="1:31" x14ac:dyDescent="0.25">
      <c r="A10" s="206">
        <v>45777</v>
      </c>
      <c r="B10" s="204"/>
      <c r="C10" s="204"/>
      <c r="D10" s="204">
        <v>1000</v>
      </c>
      <c r="E10" s="204"/>
      <c r="F10" s="204">
        <v>2000</v>
      </c>
      <c r="G10" s="204"/>
      <c r="H10" s="204"/>
      <c r="I10" s="201">
        <v>183</v>
      </c>
      <c r="J10" s="201">
        <f t="shared" si="0"/>
        <v>549000</v>
      </c>
      <c r="K10" s="258"/>
      <c r="L10" s="268">
        <v>45777</v>
      </c>
      <c r="M10" s="204"/>
      <c r="N10" s="204"/>
      <c r="O10" s="204"/>
      <c r="P10" s="204"/>
      <c r="Q10" s="204">
        <v>125</v>
      </c>
      <c r="R10" s="204"/>
      <c r="S10" s="204"/>
      <c r="T10" s="201">
        <v>183</v>
      </c>
      <c r="U10" s="269">
        <f t="shared" si="1"/>
        <v>22875</v>
      </c>
    </row>
    <row r="11" spans="1:31" ht="15.75" thickBot="1" x14ac:dyDescent="0.3">
      <c r="A11" s="352"/>
      <c r="B11" s="272">
        <v>2000</v>
      </c>
      <c r="C11" s="272"/>
      <c r="D11" s="272"/>
      <c r="E11" s="272"/>
      <c r="F11" s="272"/>
      <c r="G11" s="272"/>
      <c r="H11" s="272"/>
      <c r="I11" s="273">
        <v>47</v>
      </c>
      <c r="J11" s="273">
        <f t="shared" si="0"/>
        <v>94000</v>
      </c>
      <c r="K11" s="258"/>
      <c r="L11" s="341"/>
      <c r="M11" s="272">
        <v>125</v>
      </c>
      <c r="N11" s="272"/>
      <c r="O11" s="272"/>
      <c r="P11" s="272"/>
      <c r="Q11" s="272"/>
      <c r="R11" s="272"/>
      <c r="S11" s="272"/>
      <c r="T11" s="273">
        <v>47</v>
      </c>
      <c r="U11" s="274">
        <f t="shared" si="1"/>
        <v>5875</v>
      </c>
    </row>
    <row r="12" spans="1:31" x14ac:dyDescent="0.25">
      <c r="K12" s="202"/>
      <c r="L12" s="340" t="s">
        <v>156</v>
      </c>
      <c r="M12" s="262"/>
      <c r="N12" s="262"/>
      <c r="O12" s="262"/>
      <c r="P12" s="262"/>
      <c r="Q12" s="262">
        <v>275</v>
      </c>
      <c r="R12" s="262"/>
      <c r="S12" s="262"/>
      <c r="T12" s="263">
        <v>183</v>
      </c>
      <c r="U12" s="263">
        <f t="shared" si="1"/>
        <v>50325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/>
      <c r="M13" s="204">
        <v>250</v>
      </c>
      <c r="N13" s="204"/>
      <c r="O13" s="204"/>
      <c r="P13" s="204"/>
      <c r="Q13" s="204"/>
      <c r="R13" s="204"/>
      <c r="S13" s="204"/>
      <c r="T13" s="201">
        <v>47</v>
      </c>
      <c r="U13" s="201">
        <f t="shared" si="1"/>
        <v>11750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75</v>
      </c>
      <c r="P14" s="204"/>
      <c r="Q14" s="204"/>
      <c r="R14" s="204"/>
      <c r="S14" s="204"/>
      <c r="T14" s="201">
        <v>183</v>
      </c>
      <c r="U14" s="201">
        <f t="shared" si="1"/>
        <v>13725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 t="s">
        <v>159</v>
      </c>
      <c r="M15" s="204"/>
      <c r="N15" s="204"/>
      <c r="O15" s="204"/>
      <c r="P15" s="204"/>
      <c r="Q15" s="204">
        <v>200</v>
      </c>
      <c r="R15" s="204"/>
      <c r="S15" s="204"/>
      <c r="T15" s="201">
        <v>183</v>
      </c>
      <c r="U15" s="201">
        <f t="shared" si="1"/>
        <v>36600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>
        <v>200</v>
      </c>
      <c r="N16" s="204"/>
      <c r="O16" s="204"/>
      <c r="P16" s="204"/>
      <c r="Q16" s="204"/>
      <c r="R16" s="204"/>
      <c r="S16" s="204"/>
      <c r="T16" s="201">
        <v>47</v>
      </c>
      <c r="U16" s="201">
        <f t="shared" si="1"/>
        <v>9400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/>
      <c r="M17" s="204"/>
      <c r="N17" s="204"/>
      <c r="O17" s="204">
        <v>100</v>
      </c>
      <c r="P17" s="204"/>
      <c r="Q17" s="204"/>
      <c r="R17" s="204"/>
      <c r="S17" s="204"/>
      <c r="T17" s="201">
        <v>183</v>
      </c>
      <c r="U17" s="201">
        <f t="shared" si="1"/>
        <v>18300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 t="s">
        <v>160</v>
      </c>
      <c r="M18" s="204"/>
      <c r="N18" s="204"/>
      <c r="O18" s="204"/>
      <c r="P18" s="204"/>
      <c r="Q18" s="204">
        <v>125</v>
      </c>
      <c r="R18" s="204"/>
      <c r="S18" s="204"/>
      <c r="T18" s="201">
        <v>183</v>
      </c>
      <c r="U18" s="201">
        <f t="shared" si="1"/>
        <v>22875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/>
      <c r="M19" s="204">
        <v>125</v>
      </c>
      <c r="N19" s="204"/>
      <c r="O19" s="204"/>
      <c r="P19" s="204"/>
      <c r="Q19" s="204"/>
      <c r="R19" s="204"/>
      <c r="S19" s="204"/>
      <c r="T19" s="201">
        <v>47</v>
      </c>
      <c r="U19" s="201">
        <f t="shared" si="1"/>
        <v>5875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340" t="s">
        <v>162</v>
      </c>
      <c r="M20" s="262"/>
      <c r="N20" s="262"/>
      <c r="O20" s="262"/>
      <c r="P20" s="262"/>
      <c r="Q20" s="262">
        <v>125</v>
      </c>
      <c r="R20" s="262"/>
      <c r="S20" s="262"/>
      <c r="T20" s="263">
        <v>183</v>
      </c>
      <c r="U20" s="263">
        <f>M20*T20+N20*T20+O20*T20+P20*T20+Q20*T20+R20*T20+S20*T20</f>
        <v>22875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 t="s">
        <v>163</v>
      </c>
      <c r="M21" s="204"/>
      <c r="N21" s="204"/>
      <c r="O21" s="204"/>
      <c r="P21" s="204"/>
      <c r="Q21" s="262">
        <v>125</v>
      </c>
      <c r="R21" s="262"/>
      <c r="S21" s="262"/>
      <c r="T21" s="263">
        <v>47</v>
      </c>
      <c r="U21" s="201">
        <f>M21*T21+N21*T21+O21*T21+P21*T21+Q21*T21+R21*T21+S21*T21</f>
        <v>5875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04">
        <v>125</v>
      </c>
      <c r="P22" s="204"/>
      <c r="Q22" s="204"/>
      <c r="R22" s="204"/>
      <c r="S22" s="204"/>
      <c r="T22" s="201">
        <v>183</v>
      </c>
      <c r="U22" s="201">
        <f t="shared" si="1"/>
        <v>22875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 t="s">
        <v>166</v>
      </c>
      <c r="M23" s="204"/>
      <c r="N23" s="204"/>
      <c r="O23" s="204"/>
      <c r="P23" s="204"/>
      <c r="Q23" s="204">
        <v>125</v>
      </c>
      <c r="R23" s="204"/>
      <c r="S23" s="204"/>
      <c r="T23" s="201">
        <v>183</v>
      </c>
      <c r="U23" s="201">
        <f t="shared" si="1"/>
        <v>22875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 t="s">
        <v>168</v>
      </c>
      <c r="M24" s="204"/>
      <c r="N24" s="204"/>
      <c r="O24" s="204"/>
      <c r="P24" s="204"/>
      <c r="Q24" s="204">
        <v>125</v>
      </c>
      <c r="R24" s="204"/>
      <c r="S24" s="204"/>
      <c r="T24" s="201">
        <v>183</v>
      </c>
      <c r="U24" s="201">
        <f t="shared" si="1"/>
        <v>22875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/>
      <c r="M25" s="204">
        <v>125</v>
      </c>
      <c r="N25" s="204"/>
      <c r="O25" s="204"/>
      <c r="P25" s="204"/>
      <c r="Q25" s="204"/>
      <c r="R25" s="204"/>
      <c r="S25" s="204"/>
      <c r="T25" s="201">
        <v>47</v>
      </c>
      <c r="U25" s="201">
        <f t="shared" si="1"/>
        <v>5875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 t="s">
        <v>177</v>
      </c>
      <c r="M26" s="204"/>
      <c r="N26" s="204"/>
      <c r="O26" s="204"/>
      <c r="P26" s="204"/>
      <c r="Q26" s="204">
        <v>125</v>
      </c>
      <c r="R26" s="204"/>
      <c r="S26" s="204"/>
      <c r="T26" s="201">
        <v>183</v>
      </c>
      <c r="U26" s="201">
        <f t="shared" si="1"/>
        <v>22875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/>
      <c r="M27" s="204">
        <v>125</v>
      </c>
      <c r="N27" s="204"/>
      <c r="O27" s="204"/>
      <c r="P27" s="204"/>
      <c r="Q27" s="204"/>
      <c r="R27" s="204"/>
      <c r="S27" s="204"/>
      <c r="T27" s="201">
        <v>47</v>
      </c>
      <c r="U27" s="201">
        <f t="shared" si="1"/>
        <v>5875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50</v>
      </c>
      <c r="P28" s="204"/>
      <c r="Q28" s="204"/>
      <c r="R28" s="204"/>
      <c r="S28" s="204"/>
      <c r="T28" s="201">
        <v>183</v>
      </c>
      <c r="U28" s="201">
        <f t="shared" si="1"/>
        <v>9150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/>
      <c r="M29" s="204"/>
      <c r="N29" s="204"/>
      <c r="O29" s="204"/>
      <c r="P29" s="204"/>
      <c r="Q29" s="204"/>
      <c r="R29" s="204"/>
      <c r="S29" s="204"/>
      <c r="T29" s="201"/>
      <c r="U29" s="201">
        <f t="shared" si="1"/>
        <v>0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/>
      <c r="P30" s="204"/>
      <c r="Q30" s="204"/>
      <c r="R30" s="204"/>
      <c r="S30" s="204"/>
      <c r="T30" s="201"/>
      <c r="U30" s="201">
        <f t="shared" si="1"/>
        <v>0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/>
      <c r="M31" s="204"/>
      <c r="N31" s="204"/>
      <c r="O31" s="204"/>
      <c r="P31" s="204"/>
      <c r="Q31" s="204"/>
      <c r="R31" s="204"/>
      <c r="S31" s="204"/>
      <c r="T31" s="201"/>
      <c r="U31" s="201">
        <f t="shared" si="1"/>
        <v>0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/>
      <c r="P32" s="204"/>
      <c r="Q32" s="204"/>
      <c r="R32" s="204"/>
      <c r="S32" s="204"/>
      <c r="T32" s="201"/>
      <c r="U32" s="201">
        <f t="shared" si="1"/>
        <v>0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/>
      <c r="M33" s="204"/>
      <c r="N33" s="204"/>
      <c r="O33" s="204"/>
      <c r="P33" s="204"/>
      <c r="Q33" s="204"/>
      <c r="R33" s="204"/>
      <c r="S33" s="204"/>
      <c r="T33" s="201"/>
      <c r="U33" s="201">
        <f t="shared" si="1"/>
        <v>0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/>
      <c r="P34" s="204"/>
      <c r="Q34" s="204"/>
      <c r="R34" s="204"/>
      <c r="S34" s="204"/>
      <c r="T34" s="201"/>
      <c r="U34" s="201">
        <f t="shared" si="1"/>
        <v>0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/>
      <c r="M35" s="204"/>
      <c r="N35" s="204"/>
      <c r="O35" s="204"/>
      <c r="P35" s="204"/>
      <c r="Q35" s="204"/>
      <c r="R35" s="204"/>
      <c r="S35" s="204"/>
      <c r="T35" s="201"/>
      <c r="U35" s="201">
        <f t="shared" si="1"/>
        <v>0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/>
      <c r="P36" s="204"/>
      <c r="Q36" s="204"/>
      <c r="R36" s="204"/>
      <c r="S36" s="204"/>
      <c r="T36" s="201"/>
      <c r="U36" s="201">
        <f t="shared" si="1"/>
        <v>0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/>
      <c r="M37" s="204"/>
      <c r="N37" s="204"/>
      <c r="O37" s="204"/>
      <c r="P37" s="204"/>
      <c r="Q37" s="204"/>
      <c r="R37" s="204"/>
      <c r="S37" s="204"/>
      <c r="T37" s="201"/>
      <c r="U37" s="201">
        <f t="shared" si="1"/>
        <v>0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/>
      <c r="P38" s="204"/>
      <c r="Q38" s="204"/>
      <c r="R38" s="204"/>
      <c r="S38" s="204"/>
      <c r="T38" s="201"/>
      <c r="U38" s="201">
        <f t="shared" si="1"/>
        <v>0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/>
      <c r="M39" s="204"/>
      <c r="N39" s="204"/>
      <c r="O39" s="204"/>
      <c r="P39" s="204"/>
      <c r="Q39" s="204"/>
      <c r="R39" s="204"/>
      <c r="S39" s="204"/>
      <c r="T39" s="201"/>
      <c r="U39" s="201">
        <f t="shared" si="1"/>
        <v>0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/>
      <c r="P40" s="204"/>
      <c r="Q40" s="204"/>
      <c r="R40" s="204"/>
      <c r="S40" s="204"/>
      <c r="T40" s="201"/>
      <c r="U40" s="201">
        <f t="shared" si="1"/>
        <v>0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/>
      <c r="M41" s="204"/>
      <c r="N41" s="204"/>
      <c r="O41" s="204"/>
      <c r="P41" s="204"/>
      <c r="Q41" s="204"/>
      <c r="R41" s="204"/>
      <c r="S41" s="204"/>
      <c r="T41" s="201"/>
      <c r="U41" s="201">
        <f t="shared" si="1"/>
        <v>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/>
      <c r="R42" s="204"/>
      <c r="S42" s="204"/>
      <c r="T42" s="201"/>
      <c r="U42" s="201">
        <f t="shared" si="1"/>
        <v>0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/>
      <c r="M43" s="204"/>
      <c r="N43" s="204"/>
      <c r="O43" s="204"/>
      <c r="P43" s="204"/>
      <c r="Q43" s="204"/>
      <c r="R43" s="204"/>
      <c r="S43" s="204"/>
      <c r="T43" s="201"/>
      <c r="U43" s="201">
        <f t="shared" si="1"/>
        <v>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/>
      <c r="P44" s="204"/>
      <c r="Q44" s="204"/>
      <c r="R44" s="204"/>
      <c r="S44" s="204"/>
      <c r="T44" s="201"/>
      <c r="U44" s="201">
        <f t="shared" si="1"/>
        <v>0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/>
      <c r="M45" s="204"/>
      <c r="N45" s="204"/>
      <c r="O45" s="204"/>
      <c r="P45" s="204"/>
      <c r="Q45" s="204"/>
      <c r="R45" s="204"/>
      <c r="S45" s="204"/>
      <c r="T45" s="201"/>
      <c r="U45" s="201">
        <f t="shared" si="1"/>
        <v>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/>
      <c r="P46" s="204"/>
      <c r="Q46" s="204"/>
      <c r="R46" s="204"/>
      <c r="S46" s="204"/>
      <c r="T46" s="201"/>
      <c r="U46" s="201">
        <f t="shared" si="1"/>
        <v>0</v>
      </c>
    </row>
    <row r="47" spans="1:21" x14ac:dyDescent="0.25">
      <c r="A47" s="206"/>
      <c r="B47" s="204"/>
      <c r="C47" s="204"/>
      <c r="D47" s="204"/>
      <c r="E47" s="204"/>
      <c r="F47" s="204"/>
      <c r="G47" s="204"/>
      <c r="H47" s="204"/>
      <c r="I47" s="201"/>
      <c r="J47" s="201">
        <f t="shared" si="0"/>
        <v>0</v>
      </c>
      <c r="K47" s="202"/>
      <c r="L47" s="206"/>
      <c r="M47" s="204"/>
      <c r="N47" s="204"/>
      <c r="O47" s="204"/>
      <c r="P47" s="204"/>
      <c r="Q47" s="204"/>
      <c r="R47" s="204"/>
      <c r="S47" s="204"/>
      <c r="T47" s="201"/>
      <c r="U47" s="201">
        <f t="shared" si="1"/>
        <v>0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/>
      <c r="P48" s="204"/>
      <c r="Q48" s="204"/>
      <c r="R48" s="204"/>
      <c r="S48" s="204"/>
      <c r="T48" s="201"/>
      <c r="U48" s="201">
        <f t="shared" si="1"/>
        <v>0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/>
      <c r="M49" s="204"/>
      <c r="N49" s="204"/>
      <c r="O49" s="204"/>
      <c r="P49" s="204"/>
      <c r="Q49" s="204"/>
      <c r="R49" s="204"/>
      <c r="S49" s="204"/>
      <c r="T49" s="201"/>
      <c r="U49" s="201">
        <f t="shared" si="1"/>
        <v>0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/>
      <c r="M50" s="204"/>
      <c r="N50" s="204"/>
      <c r="O50" s="204"/>
      <c r="P50" s="204"/>
      <c r="Q50" s="204"/>
      <c r="R50" s="204"/>
      <c r="S50" s="204"/>
      <c r="T50" s="201"/>
      <c r="U50" s="201">
        <f t="shared" si="1"/>
        <v>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/>
      <c r="P51" s="204"/>
      <c r="Q51" s="204"/>
      <c r="R51" s="204"/>
      <c r="S51" s="204"/>
      <c r="T51" s="201"/>
      <c r="U51" s="201">
        <f t="shared" si="1"/>
        <v>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/>
      <c r="M52" s="204"/>
      <c r="N52" s="204"/>
      <c r="O52" s="204"/>
      <c r="P52" s="204"/>
      <c r="Q52" s="204"/>
      <c r="R52" s="204"/>
      <c r="S52" s="204"/>
      <c r="T52" s="201"/>
      <c r="U52" s="201">
        <f t="shared" si="1"/>
        <v>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/>
      <c r="R53" s="204"/>
      <c r="S53" s="204"/>
      <c r="T53" s="201"/>
      <c r="U53" s="201">
        <f t="shared" si="1"/>
        <v>0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/>
      <c r="M54" s="204"/>
      <c r="N54" s="204"/>
      <c r="O54" s="204"/>
      <c r="P54" s="204"/>
      <c r="Q54" s="204"/>
      <c r="R54" s="204"/>
      <c r="S54" s="204"/>
      <c r="T54" s="201"/>
      <c r="U54" s="201">
        <f t="shared" si="1"/>
        <v>0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/>
      <c r="R55" s="204"/>
      <c r="S55" s="204"/>
      <c r="T55" s="201"/>
      <c r="U55" s="201">
        <f t="shared" si="1"/>
        <v>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/>
      <c r="M56" s="204"/>
      <c r="N56" s="204"/>
      <c r="O56" s="204"/>
      <c r="P56" s="204"/>
      <c r="Q56" s="204"/>
      <c r="R56" s="204"/>
      <c r="S56" s="204"/>
      <c r="T56" s="201"/>
      <c r="U56" s="201">
        <f t="shared" si="1"/>
        <v>0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/>
      <c r="P57" s="204"/>
      <c r="Q57" s="204"/>
      <c r="R57" s="204"/>
      <c r="S57" s="204"/>
      <c r="T57" s="201"/>
      <c r="U57" s="201">
        <f t="shared" si="1"/>
        <v>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/>
      <c r="M58" s="204"/>
      <c r="N58" s="204"/>
      <c r="O58" s="204"/>
      <c r="P58" s="204"/>
      <c r="Q58" s="204"/>
      <c r="R58" s="204"/>
      <c r="S58" s="204"/>
      <c r="T58" s="201"/>
      <c r="U58" s="201">
        <f t="shared" si="1"/>
        <v>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/>
      <c r="P59" s="204"/>
      <c r="Q59" s="204"/>
      <c r="R59" s="204"/>
      <c r="S59" s="204"/>
      <c r="T59" s="201"/>
      <c r="U59" s="201">
        <f t="shared" si="1"/>
        <v>0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/>
      <c r="M60" s="204"/>
      <c r="N60" s="204"/>
      <c r="O60" s="204"/>
      <c r="P60" s="204"/>
      <c r="Q60" s="204"/>
      <c r="R60" s="204"/>
      <c r="S60" s="204"/>
      <c r="T60" s="201"/>
      <c r="U60" s="201">
        <f t="shared" si="1"/>
        <v>0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/>
      <c r="R61" s="204"/>
      <c r="S61" s="204"/>
      <c r="T61" s="201"/>
      <c r="U61" s="201">
        <f t="shared" si="1"/>
        <v>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/>
      <c r="M62" s="204"/>
      <c r="N62" s="204"/>
      <c r="O62" s="204"/>
      <c r="P62" s="204"/>
      <c r="Q62" s="204"/>
      <c r="R62" s="204"/>
      <c r="S62" s="204"/>
      <c r="T62" s="201"/>
      <c r="U62" s="201">
        <f t="shared" si="1"/>
        <v>0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/>
      <c r="R63" s="204"/>
      <c r="S63" s="204"/>
      <c r="T63" s="201"/>
      <c r="U63" s="201">
        <f t="shared" si="1"/>
        <v>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/>
      <c r="M64" s="204"/>
      <c r="N64" s="204"/>
      <c r="O64" s="204"/>
      <c r="P64" s="204"/>
      <c r="Q64" s="204"/>
      <c r="R64" s="204"/>
      <c r="S64" s="204"/>
      <c r="T64" s="201"/>
      <c r="U64" s="201">
        <f t="shared" si="1"/>
        <v>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/>
      <c r="P65" s="204"/>
      <c r="Q65" s="204"/>
      <c r="R65" s="204"/>
      <c r="S65" s="204"/>
      <c r="T65" s="201"/>
      <c r="U65" s="201">
        <f t="shared" si="1"/>
        <v>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/>
      <c r="M66" s="204"/>
      <c r="N66" s="204"/>
      <c r="O66" s="204"/>
      <c r="P66" s="204"/>
      <c r="Q66" s="204"/>
      <c r="R66" s="204"/>
      <c r="S66" s="204"/>
      <c r="T66" s="201"/>
      <c r="U66" s="201">
        <f t="shared" si="1"/>
        <v>0</v>
      </c>
    </row>
    <row r="67" spans="1:21" x14ac:dyDescent="0.25">
      <c r="A67" s="206"/>
      <c r="B67" s="204"/>
      <c r="C67" s="204"/>
      <c r="D67" s="204"/>
      <c r="E67" s="204"/>
      <c r="F67" s="204"/>
      <c r="G67" s="204"/>
      <c r="H67" s="204"/>
      <c r="I67" s="201"/>
      <c r="J67" s="201">
        <f t="shared" si="0"/>
        <v>0</v>
      </c>
      <c r="K67" s="202"/>
      <c r="L67" s="200"/>
      <c r="M67" s="204"/>
      <c r="N67" s="204"/>
      <c r="O67" s="204"/>
      <c r="P67" s="204"/>
      <c r="Q67" s="204"/>
      <c r="R67" s="204"/>
      <c r="S67" s="204"/>
      <c r="T67" s="201"/>
      <c r="U67" s="201">
        <f t="shared" si="1"/>
        <v>0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15" si="3">B68*I68+C68*I68+D68*I68+E68*I68+F68*I68+G68*I68+H68*I68</f>
        <v>0</v>
      </c>
      <c r="K68" s="202"/>
      <c r="L68" s="206"/>
      <c r="M68" s="204"/>
      <c r="N68" s="204"/>
      <c r="O68" s="204"/>
      <c r="P68" s="204"/>
      <c r="Q68" s="204"/>
      <c r="R68" s="204"/>
      <c r="S68" s="204"/>
      <c r="T68" s="201"/>
      <c r="U68" s="201">
        <f t="shared" ref="U68:U115" si="4">M68*T68+N68*T68+O68*T68+P68*T68+Q68*T68+R68*T68+S68*T68</f>
        <v>0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/>
      <c r="R69" s="204"/>
      <c r="S69" s="204"/>
      <c r="T69" s="201"/>
      <c r="U69" s="201">
        <f t="shared" si="4"/>
        <v>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/>
      <c r="M70" s="204"/>
      <c r="N70" s="204"/>
      <c r="O70" s="204"/>
      <c r="P70" s="204"/>
      <c r="Q70" s="204"/>
      <c r="R70" s="204"/>
      <c r="S70" s="204"/>
      <c r="T70" s="201"/>
      <c r="U70" s="201">
        <f t="shared" si="4"/>
        <v>0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/>
      <c r="R71" s="204"/>
      <c r="S71" s="204"/>
      <c r="T71" s="201"/>
      <c r="U71" s="201">
        <f t="shared" si="4"/>
        <v>0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/>
      <c r="M72" s="204"/>
      <c r="N72" s="204"/>
      <c r="O72" s="204"/>
      <c r="P72" s="204"/>
      <c r="Q72" s="204"/>
      <c r="R72" s="204"/>
      <c r="S72" s="204"/>
      <c r="T72" s="201"/>
      <c r="U72" s="201">
        <f t="shared" si="4"/>
        <v>0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/>
      <c r="P73" s="204"/>
      <c r="Q73" s="204"/>
      <c r="R73" s="204"/>
      <c r="S73" s="204"/>
      <c r="T73" s="201"/>
      <c r="U73" s="201">
        <f t="shared" si="4"/>
        <v>0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/>
      <c r="M74" s="204"/>
      <c r="N74" s="204"/>
      <c r="O74" s="204"/>
      <c r="P74" s="204"/>
      <c r="Q74" s="204"/>
      <c r="R74" s="204"/>
      <c r="S74" s="204"/>
      <c r="T74" s="201"/>
      <c r="U74" s="201">
        <f t="shared" si="4"/>
        <v>0</v>
      </c>
    </row>
    <row r="75" spans="1:21" x14ac:dyDescent="0.25">
      <c r="A75" s="206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/>
      <c r="R75" s="204"/>
      <c r="S75" s="204"/>
      <c r="T75" s="201"/>
      <c r="U75" s="201">
        <f t="shared" si="4"/>
        <v>0</v>
      </c>
    </row>
    <row r="76" spans="1:21" x14ac:dyDescent="0.25">
      <c r="A76" s="206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6"/>
      <c r="M76" s="204"/>
      <c r="N76" s="204"/>
      <c r="O76" s="204"/>
      <c r="P76" s="204"/>
      <c r="Q76" s="204"/>
      <c r="R76" s="204"/>
      <c r="S76" s="204"/>
      <c r="T76" s="201"/>
      <c r="U76" s="201">
        <f t="shared" si="4"/>
        <v>0</v>
      </c>
    </row>
    <row r="77" spans="1:21" x14ac:dyDescent="0.25">
      <c r="A77" s="206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6"/>
      <c r="M77" s="204"/>
      <c r="N77" s="204"/>
      <c r="O77" s="204"/>
      <c r="P77" s="204"/>
      <c r="Q77" s="204"/>
      <c r="R77" s="204"/>
      <c r="S77" s="204"/>
      <c r="T77" s="201"/>
      <c r="U77" s="201">
        <f t="shared" si="4"/>
        <v>0</v>
      </c>
    </row>
    <row r="78" spans="1:21" x14ac:dyDescent="0.25">
      <c r="A78" s="206"/>
      <c r="B78" s="204"/>
      <c r="C78" s="204"/>
      <c r="D78" s="204"/>
      <c r="E78" s="204"/>
      <c r="F78" s="204"/>
      <c r="G78" s="204"/>
      <c r="H78" s="204"/>
      <c r="I78" s="201"/>
      <c r="J78" s="201">
        <f t="shared" si="3"/>
        <v>0</v>
      </c>
      <c r="K78" s="202"/>
      <c r="L78" s="200"/>
      <c r="M78" s="204"/>
      <c r="N78" s="204"/>
      <c r="O78" s="204"/>
      <c r="P78" s="204"/>
      <c r="Q78" s="204"/>
      <c r="R78" s="204"/>
      <c r="S78" s="204"/>
      <c r="T78" s="201"/>
      <c r="U78" s="201">
        <f t="shared" si="4"/>
        <v>0</v>
      </c>
    </row>
    <row r="79" spans="1:21" x14ac:dyDescent="0.25">
      <c r="A79" s="206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/>
      <c r="M79" s="204"/>
      <c r="N79" s="204"/>
      <c r="O79" s="204"/>
      <c r="P79" s="204"/>
      <c r="Q79" s="204"/>
      <c r="R79" s="204"/>
      <c r="S79" s="204"/>
      <c r="T79" s="201"/>
      <c r="U79" s="201">
        <f t="shared" si="4"/>
        <v>0</v>
      </c>
    </row>
    <row r="80" spans="1:21" x14ac:dyDescent="0.25">
      <c r="A80" s="206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/>
      <c r="P80" s="204"/>
      <c r="Q80" s="204"/>
      <c r="R80" s="204"/>
      <c r="S80" s="204"/>
      <c r="T80" s="201"/>
      <c r="U80" s="201">
        <f t="shared" si="4"/>
        <v>0</v>
      </c>
    </row>
    <row r="81" spans="1:21" x14ac:dyDescent="0.25">
      <c r="A81" s="206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/>
      <c r="M81" s="204"/>
      <c r="N81" s="204"/>
      <c r="O81" s="204"/>
      <c r="P81" s="204"/>
      <c r="Q81" s="204"/>
      <c r="R81" s="204"/>
      <c r="S81" s="204"/>
      <c r="T81" s="201"/>
      <c r="U81" s="201">
        <f t="shared" si="4"/>
        <v>0</v>
      </c>
    </row>
    <row r="82" spans="1:21" x14ac:dyDescent="0.25">
      <c r="A82" s="206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/>
      <c r="P82" s="204"/>
      <c r="Q82" s="204"/>
      <c r="R82" s="204"/>
      <c r="S82" s="204"/>
      <c r="T82" s="201"/>
      <c r="U82" s="201">
        <f t="shared" si="4"/>
        <v>0</v>
      </c>
    </row>
    <row r="83" spans="1:21" x14ac:dyDescent="0.25">
      <c r="A83" s="206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/>
      <c r="M83" s="204"/>
      <c r="N83" s="204"/>
      <c r="O83" s="204"/>
      <c r="P83" s="204"/>
      <c r="Q83" s="204"/>
      <c r="R83" s="204"/>
      <c r="S83" s="204"/>
      <c r="T83" s="201"/>
      <c r="U83" s="201">
        <f t="shared" si="4"/>
        <v>0</v>
      </c>
    </row>
    <row r="84" spans="1:21" x14ac:dyDescent="0.25">
      <c r="A84" s="206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/>
      <c r="N84" s="204"/>
      <c r="O84" s="204"/>
      <c r="P84" s="204"/>
      <c r="Q84" s="204"/>
      <c r="R84" s="204"/>
      <c r="S84" s="204"/>
      <c r="T84" s="201"/>
      <c r="U84" s="201">
        <f t="shared" si="4"/>
        <v>0</v>
      </c>
    </row>
    <row r="85" spans="1:21" x14ac:dyDescent="0.25">
      <c r="A85" s="206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/>
      <c r="M85" s="204"/>
      <c r="N85" s="204"/>
      <c r="O85" s="204"/>
      <c r="P85" s="204"/>
      <c r="Q85" s="204"/>
      <c r="R85" s="204"/>
      <c r="S85" s="204"/>
      <c r="T85" s="201"/>
      <c r="U85" s="201">
        <f t="shared" si="4"/>
        <v>0</v>
      </c>
    </row>
    <row r="86" spans="1:21" x14ac:dyDescent="0.25">
      <c r="A86" s="206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/>
      <c r="N86" s="204"/>
      <c r="O86" s="204"/>
      <c r="P86" s="204"/>
      <c r="Q86" s="204"/>
      <c r="R86" s="204"/>
      <c r="S86" s="204"/>
      <c r="T86" s="201"/>
      <c r="U86" s="201">
        <f t="shared" si="4"/>
        <v>0</v>
      </c>
    </row>
    <row r="87" spans="1:21" x14ac:dyDescent="0.25">
      <c r="A87" s="206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/>
      <c r="M87" s="228"/>
      <c r="N87" s="228"/>
      <c r="O87" s="228"/>
      <c r="P87" s="228"/>
      <c r="Q87" s="228"/>
      <c r="R87" s="228"/>
      <c r="S87" s="228"/>
      <c r="T87" s="329"/>
      <c r="U87" s="201">
        <f t="shared" si="4"/>
        <v>0</v>
      </c>
    </row>
    <row r="88" spans="1:21" x14ac:dyDescent="0.25">
      <c r="A88" s="206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/>
      <c r="N88" s="204"/>
      <c r="O88" s="204"/>
      <c r="P88" s="204"/>
      <c r="Q88" s="204"/>
      <c r="R88" s="204"/>
      <c r="S88" s="204"/>
      <c r="T88" s="201"/>
      <c r="U88" s="201">
        <f t="shared" si="4"/>
        <v>0</v>
      </c>
    </row>
    <row r="89" spans="1:21" x14ac:dyDescent="0.25">
      <c r="A89" s="200"/>
      <c r="B89" s="204"/>
      <c r="C89" s="204"/>
      <c r="D89" s="204"/>
      <c r="E89" s="204"/>
      <c r="F89" s="204"/>
      <c r="G89" s="204"/>
      <c r="H89" s="204"/>
      <c r="I89" s="201"/>
      <c r="J89" s="201">
        <f t="shared" si="3"/>
        <v>0</v>
      </c>
      <c r="K89" s="202"/>
      <c r="L89" s="206"/>
      <c r="M89" s="204"/>
      <c r="N89" s="204"/>
      <c r="O89" s="204"/>
      <c r="P89" s="204"/>
      <c r="Q89" s="204"/>
      <c r="R89" s="204"/>
      <c r="S89" s="204"/>
      <c r="T89" s="201"/>
      <c r="U89" s="201">
        <f t="shared" si="4"/>
        <v>0</v>
      </c>
    </row>
    <row r="90" spans="1:21" x14ac:dyDescent="0.25">
      <c r="A90" s="200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/>
      <c r="M90" s="204"/>
      <c r="N90" s="204"/>
      <c r="O90" s="204"/>
      <c r="P90" s="204"/>
      <c r="Q90" s="204"/>
      <c r="R90" s="204"/>
      <c r="S90" s="204"/>
      <c r="T90" s="201"/>
      <c r="U90" s="201">
        <f t="shared" si="4"/>
        <v>0</v>
      </c>
    </row>
    <row r="91" spans="1:21" x14ac:dyDescent="0.25">
      <c r="A91" s="200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6"/>
      <c r="M91" s="204"/>
      <c r="N91" s="204"/>
      <c r="O91" s="204"/>
      <c r="P91" s="204"/>
      <c r="Q91" s="204"/>
      <c r="R91" s="204"/>
      <c r="S91" s="204"/>
      <c r="T91" s="201"/>
      <c r="U91" s="201">
        <f t="shared" si="4"/>
        <v>0</v>
      </c>
    </row>
    <row r="92" spans="1:21" x14ac:dyDescent="0.25">
      <c r="A92" s="200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/>
      <c r="M92" s="204"/>
      <c r="N92" s="204"/>
      <c r="O92" s="204"/>
      <c r="P92" s="204"/>
      <c r="Q92" s="204"/>
      <c r="R92" s="204"/>
      <c r="S92" s="204"/>
      <c r="T92" s="201"/>
      <c r="U92" s="201">
        <f t="shared" si="4"/>
        <v>0</v>
      </c>
    </row>
    <row r="93" spans="1:21" x14ac:dyDescent="0.25">
      <c r="A93" s="200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/>
      <c r="M93" s="204"/>
      <c r="N93" s="204"/>
      <c r="O93" s="204"/>
      <c r="P93" s="204"/>
      <c r="Q93" s="204"/>
      <c r="R93" s="204"/>
      <c r="S93" s="204"/>
      <c r="T93" s="201"/>
      <c r="U93" s="201">
        <f t="shared" si="4"/>
        <v>0</v>
      </c>
    </row>
    <row r="94" spans="1:21" x14ac:dyDescent="0.25">
      <c r="A94" s="200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6"/>
      <c r="M94" s="204"/>
      <c r="N94" s="204"/>
      <c r="O94" s="204"/>
      <c r="P94" s="204"/>
      <c r="Q94" s="204"/>
      <c r="R94" s="204"/>
      <c r="S94" s="204"/>
      <c r="T94" s="201"/>
      <c r="U94" s="201">
        <f t="shared" si="4"/>
        <v>0</v>
      </c>
    </row>
    <row r="95" spans="1:21" x14ac:dyDescent="0.25">
      <c r="A95" s="200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/>
      <c r="M95" s="204"/>
      <c r="N95" s="204"/>
      <c r="O95" s="204"/>
      <c r="P95" s="204"/>
      <c r="Q95" s="204"/>
      <c r="R95" s="204"/>
      <c r="S95" s="204"/>
      <c r="T95" s="201"/>
      <c r="U95" s="201">
        <f t="shared" si="4"/>
        <v>0</v>
      </c>
    </row>
    <row r="96" spans="1:21" x14ac:dyDescent="0.25">
      <c r="A96" s="200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6"/>
      <c r="M96" s="204"/>
      <c r="N96" s="204"/>
      <c r="O96" s="204"/>
      <c r="P96" s="204"/>
      <c r="Q96" s="204"/>
      <c r="R96" s="204"/>
      <c r="S96" s="204"/>
      <c r="T96" s="201"/>
      <c r="U96" s="201">
        <f t="shared" si="4"/>
        <v>0</v>
      </c>
    </row>
    <row r="97" spans="1:21" x14ac:dyDescent="0.25">
      <c r="A97" s="200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/>
      <c r="M97" s="204"/>
      <c r="N97" s="204"/>
      <c r="O97" s="204"/>
      <c r="P97" s="204"/>
      <c r="Q97" s="204"/>
      <c r="R97" s="204"/>
      <c r="S97" s="204"/>
      <c r="T97" s="201"/>
      <c r="U97" s="201">
        <f t="shared" si="4"/>
        <v>0</v>
      </c>
    </row>
    <row r="98" spans="1:21" x14ac:dyDescent="0.25">
      <c r="A98" s="200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6"/>
      <c r="M98" s="204"/>
      <c r="N98" s="204"/>
      <c r="O98" s="204"/>
      <c r="P98" s="204"/>
      <c r="Q98" s="204"/>
      <c r="R98" s="204"/>
      <c r="S98" s="204"/>
      <c r="T98" s="201"/>
      <c r="U98" s="201">
        <f t="shared" si="4"/>
        <v>0</v>
      </c>
    </row>
    <row r="99" spans="1:21" x14ac:dyDescent="0.25">
      <c r="A99" s="200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/>
      <c r="M99" s="204"/>
      <c r="N99" s="204"/>
      <c r="O99" s="204"/>
      <c r="P99" s="204"/>
      <c r="Q99" s="204"/>
      <c r="R99" s="204"/>
      <c r="S99" s="204"/>
      <c r="T99" s="201"/>
      <c r="U99" s="201">
        <f t="shared" si="4"/>
        <v>0</v>
      </c>
    </row>
    <row r="100" spans="1:21" x14ac:dyDescent="0.25">
      <c r="A100" s="200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6"/>
      <c r="M100" s="204"/>
      <c r="N100" s="204"/>
      <c r="O100" s="204"/>
      <c r="P100" s="204"/>
      <c r="Q100" s="204"/>
      <c r="R100" s="204"/>
      <c r="S100" s="204"/>
      <c r="T100" s="201"/>
      <c r="U100" s="201">
        <f t="shared" si="4"/>
        <v>0</v>
      </c>
    </row>
    <row r="101" spans="1:21" x14ac:dyDescent="0.25">
      <c r="A101" s="200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/>
      <c r="M101" s="204"/>
      <c r="N101" s="204"/>
      <c r="O101" s="204"/>
      <c r="P101" s="204"/>
      <c r="Q101" s="204"/>
      <c r="R101" s="204"/>
      <c r="S101" s="204"/>
      <c r="T101" s="201"/>
      <c r="U101" s="201">
        <f t="shared" si="4"/>
        <v>0</v>
      </c>
    </row>
    <row r="102" spans="1:21" x14ac:dyDescent="0.25">
      <c r="A102" s="200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6"/>
      <c r="M102" s="204"/>
      <c r="N102" s="204"/>
      <c r="O102" s="204"/>
      <c r="P102" s="204"/>
      <c r="Q102" s="204"/>
      <c r="R102" s="204"/>
      <c r="S102" s="204"/>
      <c r="T102" s="201"/>
      <c r="U102" s="201">
        <f t="shared" si="4"/>
        <v>0</v>
      </c>
    </row>
    <row r="103" spans="1:21" x14ac:dyDescent="0.25">
      <c r="A103" s="200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06"/>
      <c r="M103" s="204"/>
      <c r="N103" s="204"/>
      <c r="O103" s="204"/>
      <c r="P103" s="204"/>
      <c r="Q103" s="204"/>
      <c r="R103" s="204"/>
      <c r="S103" s="204"/>
      <c r="T103" s="201"/>
      <c r="U103" s="201">
        <f t="shared" si="4"/>
        <v>0</v>
      </c>
    </row>
    <row r="104" spans="1:21" x14ac:dyDescent="0.25">
      <c r="A104" s="200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6"/>
      <c r="M104" s="204"/>
      <c r="N104" s="204"/>
      <c r="O104" s="204"/>
      <c r="P104" s="204"/>
      <c r="Q104" s="204"/>
      <c r="R104" s="204"/>
      <c r="S104" s="204"/>
      <c r="T104" s="201"/>
      <c r="U104" s="201">
        <f t="shared" si="4"/>
        <v>0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/>
      <c r="M105" s="204"/>
      <c r="N105" s="204"/>
      <c r="O105" s="204"/>
      <c r="P105" s="204"/>
      <c r="Q105" s="204"/>
      <c r="R105" s="204"/>
      <c r="S105" s="204"/>
      <c r="T105" s="201"/>
      <c r="U105" s="201">
        <f t="shared" si="4"/>
        <v>0</v>
      </c>
    </row>
    <row r="106" spans="1:21" x14ac:dyDescent="0.25">
      <c r="A106" s="206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/>
      <c r="N106" s="204"/>
      <c r="O106" s="204"/>
      <c r="P106" s="204"/>
      <c r="Q106" s="204"/>
      <c r="R106" s="204"/>
      <c r="S106" s="204"/>
      <c r="T106" s="201"/>
      <c r="U106" s="201">
        <f t="shared" si="4"/>
        <v>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/>
      <c r="R107" s="204"/>
      <c r="S107" s="204"/>
      <c r="T107" s="201"/>
      <c r="U107" s="201">
        <f t="shared" si="4"/>
        <v>0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/>
      <c r="M108" s="204"/>
      <c r="N108" s="204"/>
      <c r="O108" s="204"/>
      <c r="P108" s="204"/>
      <c r="Q108" s="204"/>
      <c r="R108" s="204"/>
      <c r="S108" s="204"/>
      <c r="T108" s="201"/>
      <c r="U108" s="201">
        <f t="shared" si="4"/>
        <v>0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/>
      <c r="P109" s="204"/>
      <c r="Q109" s="204"/>
      <c r="R109" s="204"/>
      <c r="S109" s="204"/>
      <c r="T109" s="201"/>
      <c r="U109" s="201">
        <f t="shared" si="4"/>
        <v>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/>
      <c r="M110" s="204"/>
      <c r="N110" s="204"/>
      <c r="O110" s="204"/>
      <c r="P110" s="204"/>
      <c r="Q110" s="204"/>
      <c r="R110" s="204"/>
      <c r="S110" s="204"/>
      <c r="T110" s="201"/>
      <c r="U110" s="201">
        <f t="shared" si="4"/>
        <v>0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/>
      <c r="N111" s="204"/>
      <c r="O111" s="204"/>
      <c r="P111" s="204"/>
      <c r="Q111" s="204"/>
      <c r="R111" s="204"/>
      <c r="S111" s="204"/>
      <c r="T111" s="201"/>
      <c r="U111" s="201">
        <f t="shared" si="4"/>
        <v>0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/>
      <c r="M112" s="204"/>
      <c r="N112" s="204"/>
      <c r="O112" s="204"/>
      <c r="P112" s="204"/>
      <c r="Q112" s="204"/>
      <c r="R112" s="204"/>
      <c r="S112" s="204"/>
      <c r="T112" s="201"/>
      <c r="U112" s="201">
        <f t="shared" si="4"/>
        <v>0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/>
      <c r="N113" s="204"/>
      <c r="O113" s="204"/>
      <c r="P113" s="204"/>
      <c r="Q113" s="204"/>
      <c r="R113" s="204"/>
      <c r="S113" s="204"/>
      <c r="T113" s="201"/>
      <c r="U113" s="201">
        <f t="shared" si="4"/>
        <v>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/>
      <c r="M114" s="204"/>
      <c r="N114" s="204"/>
      <c r="O114" s="204"/>
      <c r="P114" s="204"/>
      <c r="Q114" s="204"/>
      <c r="R114" s="204"/>
      <c r="S114" s="204"/>
      <c r="T114" s="201"/>
      <c r="U114" s="201">
        <f t="shared" si="4"/>
        <v>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/>
      <c r="N115" s="204"/>
      <c r="O115" s="204"/>
      <c r="P115" s="204"/>
      <c r="Q115" s="204"/>
      <c r="R115" s="204"/>
      <c r="S115" s="204"/>
      <c r="T115" s="201"/>
      <c r="U115" s="201">
        <f t="shared" si="4"/>
        <v>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ref="J116:J198" si="5">B116*I116+C116*I116+D116*I116+E116*I116+F116*I116+G116*I116+H116*I116</f>
        <v>0</v>
      </c>
      <c r="K116" s="202"/>
      <c r="L116" s="206"/>
      <c r="M116" s="204"/>
      <c r="N116" s="204"/>
      <c r="O116" s="204"/>
      <c r="P116" s="204"/>
      <c r="Q116" s="204"/>
      <c r="R116" s="204"/>
      <c r="S116" s="204"/>
      <c r="T116" s="201"/>
      <c r="U116" s="201">
        <f t="shared" ref="U116:U198" si="6">M116*T116+N116*T116+O116*T116+P116*T116+Q116*T116+R116*T116+S116*T116</f>
        <v>0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5"/>
        <v>0</v>
      </c>
      <c r="K117" s="202"/>
      <c r="L117" s="206"/>
      <c r="M117" s="204"/>
      <c r="N117" s="204"/>
      <c r="O117" s="204"/>
      <c r="P117" s="204"/>
      <c r="Q117" s="204"/>
      <c r="R117" s="204"/>
      <c r="S117" s="204"/>
      <c r="T117" s="201"/>
      <c r="U117" s="201">
        <f t="shared" si="6"/>
        <v>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5"/>
        <v>0</v>
      </c>
      <c r="K118" s="202"/>
      <c r="L118" s="206"/>
      <c r="M118" s="204"/>
      <c r="N118" s="204"/>
      <c r="O118" s="204"/>
      <c r="P118" s="204"/>
      <c r="Q118" s="204"/>
      <c r="R118" s="204"/>
      <c r="S118" s="204"/>
      <c r="T118" s="201"/>
      <c r="U118" s="201">
        <f t="shared" si="6"/>
        <v>0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5"/>
        <v>0</v>
      </c>
      <c r="K119" s="202"/>
      <c r="L119" s="206"/>
      <c r="M119" s="204"/>
      <c r="N119" s="204"/>
      <c r="O119" s="204"/>
      <c r="P119" s="204"/>
      <c r="Q119" s="204"/>
      <c r="R119" s="204"/>
      <c r="S119" s="204"/>
      <c r="T119" s="201"/>
      <c r="U119" s="201">
        <f t="shared" si="6"/>
        <v>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5"/>
        <v>0</v>
      </c>
      <c r="K120" s="202"/>
      <c r="L120" s="206"/>
      <c r="M120" s="204"/>
      <c r="N120" s="204"/>
      <c r="O120" s="204"/>
      <c r="P120" s="204"/>
      <c r="Q120" s="204"/>
      <c r="R120" s="204"/>
      <c r="S120" s="204"/>
      <c r="T120" s="201"/>
      <c r="U120" s="201">
        <f t="shared" si="6"/>
        <v>0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5"/>
        <v>0</v>
      </c>
      <c r="K121" s="202"/>
      <c r="L121" s="200"/>
      <c r="M121" s="204"/>
      <c r="N121" s="204"/>
      <c r="O121" s="204"/>
      <c r="P121" s="204"/>
      <c r="Q121" s="204"/>
      <c r="R121" s="204"/>
      <c r="S121" s="204"/>
      <c r="T121" s="201"/>
      <c r="U121" s="201">
        <f t="shared" si="6"/>
        <v>0</v>
      </c>
    </row>
    <row r="122" spans="1:21" x14ac:dyDescent="0.25">
      <c r="A122" s="200"/>
      <c r="B122" s="204"/>
      <c r="C122" s="204"/>
      <c r="D122" s="204"/>
      <c r="E122" s="204"/>
      <c r="F122" s="204"/>
      <c r="G122" s="204"/>
      <c r="H122" s="204"/>
      <c r="I122" s="201"/>
      <c r="J122" s="201">
        <f t="shared" si="5"/>
        <v>0</v>
      </c>
      <c r="K122" s="202"/>
      <c r="L122" s="206"/>
      <c r="M122" s="204"/>
      <c r="N122" s="204"/>
      <c r="O122" s="204"/>
      <c r="P122" s="204"/>
      <c r="Q122" s="204"/>
      <c r="R122" s="204"/>
      <c r="S122" s="204"/>
      <c r="T122" s="201"/>
      <c r="U122" s="201">
        <f t="shared" si="6"/>
        <v>0</v>
      </c>
    </row>
    <row r="123" spans="1:21" x14ac:dyDescent="0.25">
      <c r="A123" s="200"/>
      <c r="B123" s="204"/>
      <c r="C123" s="204"/>
      <c r="D123" s="204"/>
      <c r="E123" s="204"/>
      <c r="F123" s="204"/>
      <c r="G123" s="204"/>
      <c r="H123" s="204"/>
      <c r="I123" s="201"/>
      <c r="J123" s="201">
        <f t="shared" si="5"/>
        <v>0</v>
      </c>
      <c r="K123" s="202"/>
      <c r="L123" s="200"/>
      <c r="M123" s="204"/>
      <c r="N123" s="204"/>
      <c r="O123" s="204"/>
      <c r="P123" s="204"/>
      <c r="Q123" s="204"/>
      <c r="R123" s="204"/>
      <c r="S123" s="204"/>
      <c r="T123" s="201"/>
      <c r="U123" s="201">
        <f t="shared" si="6"/>
        <v>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5"/>
        <v>0</v>
      </c>
      <c r="K124" s="202"/>
      <c r="L124" s="206"/>
      <c r="M124" s="204"/>
      <c r="N124" s="204"/>
      <c r="O124" s="204"/>
      <c r="P124" s="204"/>
      <c r="Q124" s="204"/>
      <c r="R124" s="204"/>
      <c r="S124" s="204"/>
      <c r="T124" s="201"/>
      <c r="U124" s="201">
        <f t="shared" si="6"/>
        <v>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5"/>
        <v>0</v>
      </c>
      <c r="K125" s="202"/>
      <c r="L125" s="200"/>
      <c r="M125" s="204"/>
      <c r="N125" s="204"/>
      <c r="O125" s="204"/>
      <c r="P125" s="204"/>
      <c r="Q125" s="204"/>
      <c r="R125" s="204"/>
      <c r="S125" s="204"/>
      <c r="T125" s="201"/>
      <c r="U125" s="201">
        <f t="shared" si="6"/>
        <v>0</v>
      </c>
    </row>
    <row r="126" spans="1:21" ht="15.75" thickBot="1" x14ac:dyDescent="0.3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5"/>
        <v>0</v>
      </c>
      <c r="K126" s="202"/>
      <c r="L126" s="259"/>
      <c r="M126" s="328"/>
      <c r="N126" s="328"/>
      <c r="O126" s="328"/>
      <c r="P126" s="328"/>
      <c r="Q126" s="328"/>
      <c r="R126" s="328"/>
      <c r="S126" s="328"/>
      <c r="T126" s="330"/>
      <c r="U126" s="261">
        <f t="shared" si="6"/>
        <v>0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5"/>
        <v>0</v>
      </c>
      <c r="K127" s="258"/>
      <c r="L127" s="264"/>
      <c r="M127" s="265"/>
      <c r="N127" s="265"/>
      <c r="O127" s="265"/>
      <c r="P127" s="265"/>
      <c r="Q127" s="265"/>
      <c r="R127" s="265"/>
      <c r="S127" s="265"/>
      <c r="T127" s="266"/>
      <c r="U127" s="267">
        <f t="shared" si="6"/>
        <v>0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5"/>
        <v>0</v>
      </c>
      <c r="K128" s="258"/>
      <c r="L128" s="268"/>
      <c r="M128" s="228"/>
      <c r="N128" s="204"/>
      <c r="O128" s="204"/>
      <c r="P128" s="204"/>
      <c r="Q128" s="204"/>
      <c r="R128" s="204"/>
      <c r="S128" s="204"/>
      <c r="T128" s="201"/>
      <c r="U128" s="269">
        <f t="shared" si="6"/>
        <v>0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5"/>
        <v>0</v>
      </c>
      <c r="K129" s="258"/>
      <c r="L129" s="270"/>
      <c r="M129" s="204"/>
      <c r="N129" s="204"/>
      <c r="O129" s="204"/>
      <c r="P129" s="204"/>
      <c r="Q129" s="204"/>
      <c r="R129" s="204"/>
      <c r="S129" s="204"/>
      <c r="T129" s="201"/>
      <c r="U129" s="269">
        <f t="shared" si="6"/>
        <v>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5"/>
        <v>0</v>
      </c>
      <c r="K130" s="258"/>
      <c r="L130" s="268"/>
      <c r="M130" s="204"/>
      <c r="N130" s="204"/>
      <c r="O130" s="204"/>
      <c r="P130" s="204"/>
      <c r="Q130" s="204"/>
      <c r="R130" s="204"/>
      <c r="S130" s="204"/>
      <c r="T130" s="201"/>
      <c r="U130" s="269">
        <f t="shared" si="6"/>
        <v>0</v>
      </c>
    </row>
    <row r="131" spans="1:21" x14ac:dyDescent="0.25">
      <c r="A131" s="206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5"/>
        <v>0</v>
      </c>
      <c r="K131" s="258"/>
      <c r="L131" s="270"/>
      <c r="M131" s="204"/>
      <c r="N131" s="204"/>
      <c r="O131" s="204"/>
      <c r="P131" s="204"/>
      <c r="Q131" s="204"/>
      <c r="R131" s="204"/>
      <c r="S131" s="204"/>
      <c r="T131" s="201"/>
      <c r="U131" s="269">
        <f t="shared" si="6"/>
        <v>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si="5"/>
        <v>0</v>
      </c>
      <c r="K132" s="258"/>
      <c r="L132" s="270"/>
      <c r="M132" s="204"/>
      <c r="N132" s="204"/>
      <c r="O132" s="204"/>
      <c r="P132" s="204"/>
      <c r="Q132" s="204"/>
      <c r="R132" s="204"/>
      <c r="S132" s="204"/>
      <c r="T132" s="201"/>
      <c r="U132" s="269">
        <f t="shared" si="6"/>
        <v>0</v>
      </c>
    </row>
    <row r="133" spans="1:21" ht="15.75" thickBot="1" x14ac:dyDescent="0.3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58"/>
      <c r="L133" s="271"/>
      <c r="M133" s="272"/>
      <c r="N133" s="272"/>
      <c r="O133" s="272"/>
      <c r="P133" s="272"/>
      <c r="Q133" s="272"/>
      <c r="R133" s="272"/>
      <c r="S133" s="272"/>
      <c r="T133" s="273"/>
      <c r="U133" s="274">
        <f t="shared" si="6"/>
        <v>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58"/>
      <c r="L134" s="264"/>
      <c r="M134" s="265"/>
      <c r="N134" s="265"/>
      <c r="O134" s="265"/>
      <c r="P134" s="265"/>
      <c r="Q134" s="265"/>
      <c r="R134" s="265"/>
      <c r="S134" s="265"/>
      <c r="T134" s="266"/>
      <c r="U134" s="267">
        <f t="shared" si="6"/>
        <v>0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58"/>
      <c r="L135" s="270"/>
      <c r="M135" s="204"/>
      <c r="N135" s="204"/>
      <c r="O135" s="204"/>
      <c r="P135" s="204"/>
      <c r="Q135" s="204"/>
      <c r="R135" s="204"/>
      <c r="S135" s="204"/>
      <c r="T135" s="201"/>
      <c r="U135" s="269">
        <f t="shared" si="6"/>
        <v>0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58"/>
      <c r="L136" s="268"/>
      <c r="M136" s="204"/>
      <c r="N136" s="204"/>
      <c r="O136" s="204"/>
      <c r="P136" s="204"/>
      <c r="Q136" s="204"/>
      <c r="R136" s="204"/>
      <c r="S136" s="204"/>
      <c r="T136" s="201"/>
      <c r="U136" s="269">
        <f t="shared" si="6"/>
        <v>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58"/>
      <c r="L137" s="270"/>
      <c r="M137" s="204"/>
      <c r="N137" s="204"/>
      <c r="O137" s="204"/>
      <c r="P137" s="204"/>
      <c r="Q137" s="204"/>
      <c r="R137" s="204"/>
      <c r="S137" s="204"/>
      <c r="T137" s="201"/>
      <c r="U137" s="269">
        <f t="shared" si="6"/>
        <v>0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58"/>
      <c r="L138" s="268"/>
      <c r="M138" s="204"/>
      <c r="N138" s="204"/>
      <c r="O138" s="204"/>
      <c r="P138" s="204"/>
      <c r="Q138" s="204"/>
      <c r="R138" s="204"/>
      <c r="S138" s="204"/>
      <c r="T138" s="201"/>
      <c r="U138" s="269">
        <f t="shared" si="6"/>
        <v>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58"/>
      <c r="L139" s="270"/>
      <c r="M139" s="204"/>
      <c r="N139" s="204"/>
      <c r="O139" s="204"/>
      <c r="P139" s="204"/>
      <c r="Q139" s="204"/>
      <c r="R139" s="204"/>
      <c r="S139" s="204"/>
      <c r="T139" s="201"/>
      <c r="U139" s="269">
        <f t="shared" si="6"/>
        <v>0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58"/>
      <c r="L140" s="270"/>
      <c r="M140" s="204"/>
      <c r="N140" s="204"/>
      <c r="O140" s="204"/>
      <c r="P140" s="204"/>
      <c r="Q140" s="204"/>
      <c r="R140" s="204"/>
      <c r="S140" s="204"/>
      <c r="T140" s="201"/>
      <c r="U140" s="269">
        <f t="shared" si="6"/>
        <v>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58"/>
      <c r="L141" s="268">
        <v>45730</v>
      </c>
      <c r="M141" s="204"/>
      <c r="N141" s="204"/>
      <c r="O141" s="204"/>
      <c r="P141" s="204"/>
      <c r="Q141" s="204"/>
      <c r="R141" s="204"/>
      <c r="S141" s="204"/>
      <c r="T141" s="201"/>
      <c r="U141" s="269">
        <f t="shared" si="6"/>
        <v>0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58"/>
      <c r="L142" s="302"/>
      <c r="M142" s="303"/>
      <c r="N142" s="303"/>
      <c r="O142" s="303"/>
      <c r="P142" s="303"/>
      <c r="Q142" s="303"/>
      <c r="R142" s="303"/>
      <c r="S142" s="303"/>
      <c r="T142" s="304"/>
      <c r="U142" s="305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45733</v>
      </c>
      <c r="M143" s="265"/>
      <c r="N143" s="265"/>
      <c r="O143" s="265"/>
      <c r="P143" s="265"/>
      <c r="Q143" s="265"/>
      <c r="R143" s="265"/>
      <c r="S143" s="265"/>
      <c r="T143" s="266"/>
      <c r="U143" s="267">
        <f t="shared" si="6"/>
        <v>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70"/>
      <c r="M144" s="204"/>
      <c r="N144" s="204"/>
      <c r="O144" s="204"/>
      <c r="P144" s="204"/>
      <c r="Q144" s="204"/>
      <c r="R144" s="204"/>
      <c r="S144" s="204"/>
      <c r="T144" s="201"/>
      <c r="U144" s="269">
        <f t="shared" si="6"/>
        <v>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/>
      <c r="P145" s="204"/>
      <c r="Q145" s="204"/>
      <c r="R145" s="204"/>
      <c r="S145" s="204"/>
      <c r="T145" s="201"/>
      <c r="U145" s="269">
        <f t="shared" si="6"/>
        <v>0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45734</v>
      </c>
      <c r="M146" s="204"/>
      <c r="N146" s="204"/>
      <c r="O146" s="204"/>
      <c r="P146" s="204"/>
      <c r="Q146" s="204"/>
      <c r="R146" s="204"/>
      <c r="S146" s="204"/>
      <c r="T146" s="201"/>
      <c r="U146" s="269">
        <f t="shared" si="6"/>
        <v>0</v>
      </c>
    </row>
    <row r="147" spans="1:21" x14ac:dyDescent="0.25">
      <c r="A147" s="200"/>
      <c r="B147" s="204"/>
      <c r="C147" s="204"/>
      <c r="D147" s="204"/>
      <c r="E147" s="204"/>
      <c r="F147" s="204"/>
      <c r="G147" s="204"/>
      <c r="H147" s="204"/>
      <c r="I147" s="201"/>
      <c r="J147" s="201">
        <f t="shared" si="5"/>
        <v>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/>
      <c r="C148" s="204"/>
      <c r="D148" s="204"/>
      <c r="E148" s="204"/>
      <c r="F148" s="204"/>
      <c r="G148" s="204"/>
      <c r="H148" s="204"/>
      <c r="I148" s="201"/>
      <c r="J148" s="201">
        <f t="shared" si="5"/>
        <v>0</v>
      </c>
      <c r="K148" s="258"/>
      <c r="L148" s="268">
        <v>45735</v>
      </c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x14ac:dyDescent="0.25">
      <c r="A149" s="200"/>
      <c r="B149" s="204"/>
      <c r="C149" s="204"/>
      <c r="D149" s="204"/>
      <c r="E149" s="204"/>
      <c r="F149" s="204"/>
      <c r="G149" s="204"/>
      <c r="H149" s="204"/>
      <c r="I149" s="201"/>
      <c r="J149" s="201">
        <f t="shared" si="5"/>
        <v>0</v>
      </c>
      <c r="K149" s="258"/>
      <c r="L149" s="270"/>
      <c r="M149" s="204"/>
      <c r="N149" s="204"/>
      <c r="O149" s="204"/>
      <c r="P149" s="204"/>
      <c r="Q149" s="204"/>
      <c r="R149" s="204"/>
      <c r="S149" s="204"/>
      <c r="T149" s="201"/>
      <c r="U149" s="269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8">
        <v>45736</v>
      </c>
      <c r="M150" s="204"/>
      <c r="N150" s="204"/>
      <c r="O150" s="204"/>
      <c r="P150" s="204"/>
      <c r="Q150" s="204"/>
      <c r="R150" s="204"/>
      <c r="S150" s="204"/>
      <c r="T150" s="201"/>
      <c r="U150" s="269">
        <f t="shared" si="6"/>
        <v>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/>
      <c r="P151" s="204"/>
      <c r="Q151" s="204"/>
      <c r="R151" s="204"/>
      <c r="S151" s="204"/>
      <c r="T151" s="201"/>
      <c r="U151" s="269">
        <f t="shared" si="6"/>
        <v>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45737</v>
      </c>
      <c r="M152" s="204"/>
      <c r="N152" s="204"/>
      <c r="O152" s="204"/>
      <c r="P152" s="204"/>
      <c r="Q152" s="204"/>
      <c r="R152" s="204"/>
      <c r="S152" s="204"/>
      <c r="T152" s="201"/>
      <c r="U152" s="269">
        <f t="shared" si="6"/>
        <v>0</v>
      </c>
    </row>
    <row r="153" spans="1:21" ht="15.75" thickBot="1" x14ac:dyDescent="0.3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1"/>
      <c r="M153" s="272"/>
      <c r="N153" s="272"/>
      <c r="O153" s="272"/>
      <c r="P153" s="272"/>
      <c r="Q153" s="272"/>
      <c r="R153" s="272"/>
      <c r="S153" s="272"/>
      <c r="T153" s="273"/>
      <c r="U153" s="274">
        <f t="shared" si="6"/>
        <v>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4">
        <v>45740</v>
      </c>
      <c r="M154" s="265"/>
      <c r="N154" s="265"/>
      <c r="O154" s="265"/>
      <c r="P154" s="265"/>
      <c r="Q154" s="265"/>
      <c r="R154" s="265"/>
      <c r="S154" s="265"/>
      <c r="T154" s="266"/>
      <c r="U154" s="267">
        <f t="shared" si="6"/>
        <v>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/>
      <c r="S155" s="204"/>
      <c r="T155" s="201"/>
      <c r="U155" s="318">
        <f t="shared" si="6"/>
        <v>0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68">
        <v>45741</v>
      </c>
      <c r="M156" s="204"/>
      <c r="N156" s="204"/>
      <c r="O156" s="204"/>
      <c r="P156" s="204"/>
      <c r="Q156" s="204"/>
      <c r="R156" s="204"/>
      <c r="S156" s="204"/>
      <c r="T156" s="201"/>
      <c r="U156" s="318">
        <f t="shared" si="6"/>
        <v>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70"/>
      <c r="M157" s="204"/>
      <c r="N157" s="204"/>
      <c r="O157" s="204"/>
      <c r="P157" s="204"/>
      <c r="Q157" s="204"/>
      <c r="R157" s="204"/>
      <c r="S157" s="204"/>
      <c r="T157" s="201"/>
      <c r="U157" s="318">
        <f t="shared" si="6"/>
        <v>0</v>
      </c>
    </row>
    <row r="158" spans="1:21" x14ac:dyDescent="0.25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268">
        <v>45742</v>
      </c>
      <c r="M158" s="204"/>
      <c r="N158" s="204"/>
      <c r="O158" s="204"/>
      <c r="P158" s="204"/>
      <c r="Q158" s="204"/>
      <c r="R158" s="204"/>
      <c r="S158" s="204"/>
      <c r="T158" s="201"/>
      <c r="U158" s="318">
        <f t="shared" si="6"/>
        <v>0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70"/>
      <c r="M159" s="204"/>
      <c r="N159" s="204"/>
      <c r="O159" s="204"/>
      <c r="P159" s="204"/>
      <c r="Q159" s="204"/>
      <c r="R159" s="204"/>
      <c r="S159" s="204"/>
      <c r="T159" s="201"/>
      <c r="U159" s="318">
        <f t="shared" si="6"/>
        <v>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68">
        <v>45744</v>
      </c>
      <c r="M160" s="204"/>
      <c r="N160" s="204"/>
      <c r="O160" s="204"/>
      <c r="P160" s="204"/>
      <c r="Q160" s="204"/>
      <c r="R160" s="204"/>
      <c r="S160" s="204"/>
      <c r="T160" s="201"/>
      <c r="U160" s="318">
        <f t="shared" si="6"/>
        <v>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/>
      <c r="P161" s="204"/>
      <c r="Q161" s="204"/>
      <c r="R161" s="204"/>
      <c r="S161" s="204"/>
      <c r="T161" s="201"/>
      <c r="U161" s="318">
        <f t="shared" si="6"/>
        <v>0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45747</v>
      </c>
      <c r="M162" s="204"/>
      <c r="N162" s="204"/>
      <c r="O162" s="204"/>
      <c r="P162" s="204"/>
      <c r="Q162" s="204"/>
      <c r="R162" s="204"/>
      <c r="S162" s="204"/>
      <c r="T162" s="201"/>
      <c r="U162" s="318">
        <f t="shared" si="6"/>
        <v>0</v>
      </c>
    </row>
    <row r="163" spans="1:21" ht="15.75" thickBot="1" x14ac:dyDescent="0.3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1"/>
      <c r="M163" s="272"/>
      <c r="N163" s="272"/>
      <c r="O163" s="272"/>
      <c r="P163" s="272"/>
      <c r="Q163" s="272"/>
      <c r="R163" s="272"/>
      <c r="S163" s="272"/>
      <c r="T163" s="273"/>
      <c r="U163" s="319">
        <f t="shared" si="6"/>
        <v>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02"/>
      <c r="L164" s="320">
        <v>45748</v>
      </c>
      <c r="M164" s="262"/>
      <c r="N164" s="262"/>
      <c r="O164" s="262"/>
      <c r="P164" s="262"/>
      <c r="Q164" s="262"/>
      <c r="R164" s="262"/>
      <c r="S164" s="262"/>
      <c r="T164" s="263"/>
      <c r="U164" s="263">
        <f t="shared" si="6"/>
        <v>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02"/>
      <c r="L165" s="200"/>
      <c r="M165" s="204"/>
      <c r="N165" s="204"/>
      <c r="O165" s="204"/>
      <c r="P165" s="204"/>
      <c r="Q165" s="204"/>
      <c r="R165" s="204"/>
      <c r="S165" s="204"/>
      <c r="T165" s="201"/>
      <c r="U165" s="263">
        <f t="shared" si="6"/>
        <v>0</v>
      </c>
    </row>
    <row r="166" spans="1:21" x14ac:dyDescent="0.25">
      <c r="A166" s="206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02"/>
      <c r="L166" s="206"/>
      <c r="M166" s="204"/>
      <c r="N166" s="204"/>
      <c r="O166" s="204"/>
      <c r="P166" s="204"/>
      <c r="Q166" s="204"/>
      <c r="R166" s="204"/>
      <c r="S166" s="204"/>
      <c r="T166" s="201"/>
      <c r="U166" s="263">
        <f t="shared" si="6"/>
        <v>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02"/>
      <c r="L167" s="206">
        <v>45750</v>
      </c>
      <c r="M167" s="204"/>
      <c r="N167" s="204"/>
      <c r="O167" s="204"/>
      <c r="P167" s="204"/>
      <c r="Q167" s="204"/>
      <c r="R167" s="204"/>
      <c r="S167" s="204"/>
      <c r="T167" s="201"/>
      <c r="U167" s="263">
        <f t="shared" si="6"/>
        <v>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02"/>
      <c r="L168" s="200"/>
      <c r="M168" s="204"/>
      <c r="N168" s="204"/>
      <c r="O168" s="204"/>
      <c r="P168" s="204"/>
      <c r="Q168" s="204"/>
      <c r="R168" s="204"/>
      <c r="S168" s="204"/>
      <c r="T168" s="201"/>
      <c r="U168" s="263">
        <f t="shared" si="6"/>
        <v>0</v>
      </c>
    </row>
    <row r="169" spans="1:21" x14ac:dyDescent="0.25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02"/>
      <c r="L169" s="206">
        <v>45751</v>
      </c>
      <c r="M169" s="204"/>
      <c r="N169" s="204"/>
      <c r="O169" s="204"/>
      <c r="P169" s="204"/>
      <c r="Q169" s="204"/>
      <c r="R169" s="204"/>
      <c r="S169" s="204"/>
      <c r="T169" s="201"/>
      <c r="U169" s="263">
        <f t="shared" si="6"/>
        <v>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02"/>
      <c r="L170" s="200"/>
      <c r="M170" s="204"/>
      <c r="N170" s="204"/>
      <c r="O170" s="204"/>
      <c r="P170" s="204"/>
      <c r="Q170" s="204"/>
      <c r="R170" s="204"/>
      <c r="S170" s="204"/>
      <c r="T170" s="201"/>
      <c r="U170" s="263">
        <f t="shared" si="6"/>
        <v>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02"/>
      <c r="L171" s="206">
        <v>45754</v>
      </c>
      <c r="M171" s="204"/>
      <c r="N171" s="204"/>
      <c r="O171" s="204"/>
      <c r="P171" s="204"/>
      <c r="Q171" s="204"/>
      <c r="R171" s="204"/>
      <c r="S171" s="204"/>
      <c r="T171" s="201"/>
      <c r="U171" s="263">
        <f t="shared" si="6"/>
        <v>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02"/>
      <c r="L172" s="200"/>
      <c r="M172" s="204"/>
      <c r="N172" s="204"/>
      <c r="O172" s="204"/>
      <c r="P172" s="204"/>
      <c r="Q172" s="204"/>
      <c r="R172" s="204"/>
      <c r="S172" s="204"/>
      <c r="T172" s="201"/>
      <c r="U172" s="263">
        <f t="shared" si="6"/>
        <v>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02"/>
      <c r="L173" s="200"/>
      <c r="M173" s="204"/>
      <c r="N173" s="204"/>
      <c r="O173" s="204"/>
      <c r="P173" s="204"/>
      <c r="Q173" s="204"/>
      <c r="R173" s="204"/>
      <c r="S173" s="204"/>
      <c r="T173" s="201"/>
      <c r="U173" s="263">
        <f t="shared" si="6"/>
        <v>0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02"/>
      <c r="L174" s="200"/>
      <c r="M174" s="204"/>
      <c r="N174" s="204"/>
      <c r="O174" s="204"/>
      <c r="P174" s="204"/>
      <c r="Q174" s="204"/>
      <c r="R174" s="204"/>
      <c r="S174" s="204"/>
      <c r="T174" s="201"/>
      <c r="U174" s="263">
        <f t="shared" si="6"/>
        <v>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02"/>
      <c r="L175" s="206">
        <v>45755</v>
      </c>
      <c r="M175" s="204"/>
      <c r="N175" s="204"/>
      <c r="O175" s="204"/>
      <c r="P175" s="204"/>
      <c r="Q175" s="204"/>
      <c r="R175" s="204"/>
      <c r="S175" s="204"/>
      <c r="T175" s="201"/>
      <c r="U175" s="263">
        <f t="shared" si="6"/>
        <v>0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02"/>
      <c r="L176" s="200"/>
      <c r="M176" s="204"/>
      <c r="N176" s="204"/>
      <c r="O176" s="204"/>
      <c r="P176" s="204"/>
      <c r="Q176" s="204"/>
      <c r="R176" s="204"/>
      <c r="S176" s="204"/>
      <c r="T176" s="201"/>
      <c r="U176" s="263">
        <f t="shared" si="6"/>
        <v>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02"/>
      <c r="L177" s="200"/>
      <c r="M177" s="204"/>
      <c r="N177" s="204"/>
      <c r="O177" s="204"/>
      <c r="P177" s="204"/>
      <c r="Q177" s="204"/>
      <c r="R177" s="204"/>
      <c r="S177" s="204"/>
      <c r="T177" s="201"/>
      <c r="U177" s="263">
        <f t="shared" si="6"/>
        <v>0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02"/>
      <c r="L178" s="206">
        <v>45756</v>
      </c>
      <c r="M178" s="204"/>
      <c r="N178" s="204"/>
      <c r="O178" s="204"/>
      <c r="P178" s="204"/>
      <c r="Q178" s="204"/>
      <c r="R178" s="204"/>
      <c r="S178" s="204"/>
      <c r="T178" s="201"/>
      <c r="U178" s="263">
        <f t="shared" si="6"/>
        <v>0</v>
      </c>
    </row>
    <row r="179" spans="1:21" x14ac:dyDescent="0.25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02"/>
      <c r="L179" s="200"/>
      <c r="M179" s="204"/>
      <c r="N179" s="204"/>
      <c r="O179" s="204"/>
      <c r="P179" s="204"/>
      <c r="Q179" s="204"/>
      <c r="R179" s="204"/>
      <c r="S179" s="204"/>
      <c r="T179" s="201"/>
      <c r="U179" s="263">
        <f t="shared" si="6"/>
        <v>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02"/>
      <c r="L180" s="206">
        <v>45757</v>
      </c>
      <c r="M180" s="204"/>
      <c r="N180" s="204"/>
      <c r="O180" s="204"/>
      <c r="P180" s="204"/>
      <c r="Q180" s="204"/>
      <c r="R180" s="204"/>
      <c r="S180" s="204"/>
      <c r="T180" s="201"/>
      <c r="U180" s="263">
        <f t="shared" si="6"/>
        <v>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02"/>
      <c r="L181" s="200"/>
      <c r="M181" s="204"/>
      <c r="N181" s="204"/>
      <c r="O181" s="204"/>
      <c r="P181" s="204"/>
      <c r="Q181" s="204"/>
      <c r="R181" s="204"/>
      <c r="S181" s="204"/>
      <c r="T181" s="201"/>
      <c r="U181" s="263">
        <f t="shared" si="6"/>
        <v>0</v>
      </c>
    </row>
    <row r="182" spans="1:21" x14ac:dyDescent="0.25">
      <c r="A182" s="200"/>
      <c r="B182" s="204"/>
      <c r="C182" s="204"/>
      <c r="D182" s="204"/>
      <c r="E182" s="204"/>
      <c r="F182" s="204"/>
      <c r="G182" s="204"/>
      <c r="H182" s="204"/>
      <c r="I182" s="201"/>
      <c r="J182" s="201">
        <f t="shared" si="5"/>
        <v>0</v>
      </c>
      <c r="K182" s="202"/>
      <c r="L182" s="200"/>
      <c r="M182" s="204"/>
      <c r="N182" s="204"/>
      <c r="O182" s="204"/>
      <c r="P182" s="204"/>
      <c r="Q182" s="204"/>
      <c r="R182" s="204"/>
      <c r="S182" s="204"/>
      <c r="T182" s="201"/>
      <c r="U182" s="263">
        <f t="shared" si="6"/>
        <v>0</v>
      </c>
    </row>
    <row r="183" spans="1:21" x14ac:dyDescent="0.25">
      <c r="A183" s="200"/>
      <c r="B183" s="204"/>
      <c r="C183" s="204"/>
      <c r="D183" s="204"/>
      <c r="E183" s="204"/>
      <c r="F183" s="204"/>
      <c r="G183" s="204"/>
      <c r="H183" s="204"/>
      <c r="I183" s="201"/>
      <c r="J183" s="201">
        <f t="shared" si="5"/>
        <v>0</v>
      </c>
      <c r="K183" s="202"/>
      <c r="L183" s="200" t="s">
        <v>150</v>
      </c>
      <c r="M183" s="204"/>
      <c r="N183" s="204"/>
      <c r="O183" s="204"/>
      <c r="P183" s="204"/>
      <c r="Q183" s="204"/>
      <c r="R183" s="204"/>
      <c r="S183" s="204"/>
      <c r="T183" s="201"/>
      <c r="U183" s="263">
        <f t="shared" si="6"/>
        <v>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02"/>
      <c r="L184" s="200"/>
      <c r="M184" s="204"/>
      <c r="N184" s="204"/>
      <c r="O184" s="204"/>
      <c r="P184" s="204"/>
      <c r="Q184" s="204"/>
      <c r="R184" s="204"/>
      <c r="S184" s="204"/>
      <c r="T184" s="201"/>
      <c r="U184" s="263">
        <f t="shared" si="6"/>
        <v>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02"/>
      <c r="L185" s="206">
        <v>45762</v>
      </c>
      <c r="M185" s="204"/>
      <c r="N185" s="204"/>
      <c r="O185" s="204"/>
      <c r="P185" s="204"/>
      <c r="Q185" s="204"/>
      <c r="R185" s="204"/>
      <c r="S185" s="204"/>
      <c r="T185" s="201"/>
      <c r="U185" s="263">
        <f t="shared" si="6"/>
        <v>0</v>
      </c>
    </row>
    <row r="186" spans="1:21" x14ac:dyDescent="0.25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02"/>
      <c r="L186" s="200"/>
      <c r="M186" s="204"/>
      <c r="N186" s="204"/>
      <c r="O186" s="204"/>
      <c r="P186" s="204"/>
      <c r="Q186" s="204"/>
      <c r="R186" s="204"/>
      <c r="S186" s="204"/>
      <c r="T186" s="201"/>
      <c r="U186" s="263">
        <f t="shared" si="6"/>
        <v>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02"/>
      <c r="L187" s="200"/>
      <c r="M187" s="204"/>
      <c r="N187" s="204"/>
      <c r="O187" s="204"/>
      <c r="P187" s="204"/>
      <c r="Q187" s="204"/>
      <c r="R187" s="204"/>
      <c r="S187" s="204"/>
      <c r="T187" s="201"/>
      <c r="U187" s="263">
        <f t="shared" si="6"/>
        <v>0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02"/>
      <c r="L188" s="200"/>
      <c r="M188" s="204"/>
      <c r="N188" s="204"/>
      <c r="O188" s="204"/>
      <c r="P188" s="204"/>
      <c r="Q188" s="204"/>
      <c r="R188" s="204"/>
      <c r="S188" s="204"/>
      <c r="T188" s="201"/>
      <c r="U188" s="263">
        <f t="shared" si="6"/>
        <v>0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02"/>
      <c r="L189" s="200"/>
      <c r="M189" s="204"/>
      <c r="N189" s="204"/>
      <c r="O189" s="204"/>
      <c r="P189" s="204"/>
      <c r="Q189" s="204"/>
      <c r="R189" s="204"/>
      <c r="S189" s="204"/>
      <c r="T189" s="201"/>
      <c r="U189" s="263">
        <f t="shared" si="6"/>
        <v>0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02"/>
      <c r="L190" s="200"/>
      <c r="M190" s="204"/>
      <c r="N190" s="204"/>
      <c r="O190" s="204"/>
      <c r="P190" s="204"/>
      <c r="Q190" s="204"/>
      <c r="R190" s="204"/>
      <c r="S190" s="204"/>
      <c r="T190" s="201"/>
      <c r="U190" s="263">
        <f t="shared" si="6"/>
        <v>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>
        <f t="shared" si="5"/>
        <v>0</v>
      </c>
      <c r="K191" s="202"/>
      <c r="L191" s="200"/>
      <c r="M191" s="204"/>
      <c r="N191" s="204"/>
      <c r="O191" s="204"/>
      <c r="P191" s="204"/>
      <c r="Q191" s="204"/>
      <c r="R191" s="204"/>
      <c r="S191" s="204"/>
      <c r="T191" s="201"/>
      <c r="U191" s="263">
        <f t="shared" si="6"/>
        <v>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>
        <f t="shared" si="5"/>
        <v>0</v>
      </c>
      <c r="K192" s="202"/>
      <c r="L192" s="200"/>
      <c r="M192" s="204"/>
      <c r="N192" s="204"/>
      <c r="O192" s="204"/>
      <c r="P192" s="204"/>
      <c r="Q192" s="204"/>
      <c r="R192" s="204"/>
      <c r="S192" s="204"/>
      <c r="T192" s="201"/>
      <c r="U192" s="263">
        <f t="shared" si="6"/>
        <v>0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>
        <f t="shared" si="5"/>
        <v>0</v>
      </c>
      <c r="K193" s="202"/>
      <c r="L193" s="200"/>
      <c r="M193" s="204"/>
      <c r="N193" s="204"/>
      <c r="O193" s="204"/>
      <c r="P193" s="204"/>
      <c r="Q193" s="204"/>
      <c r="R193" s="204"/>
      <c r="S193" s="204"/>
      <c r="T193" s="201"/>
      <c r="U193" s="263">
        <f t="shared" si="6"/>
        <v>0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>
        <f t="shared" si="5"/>
        <v>0</v>
      </c>
      <c r="K194" s="202"/>
      <c r="L194" s="200"/>
      <c r="M194" s="204"/>
      <c r="N194" s="204"/>
      <c r="O194" s="204"/>
      <c r="P194" s="204"/>
      <c r="Q194" s="204"/>
      <c r="R194" s="204"/>
      <c r="S194" s="204"/>
      <c r="T194" s="201"/>
      <c r="U194" s="263">
        <f t="shared" si="6"/>
        <v>0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>
        <f t="shared" si="5"/>
        <v>0</v>
      </c>
      <c r="K195" s="202"/>
      <c r="L195" s="200"/>
      <c r="M195" s="204"/>
      <c r="N195" s="204"/>
      <c r="O195" s="204"/>
      <c r="P195" s="204"/>
      <c r="Q195" s="204"/>
      <c r="R195" s="204"/>
      <c r="S195" s="204"/>
      <c r="T195" s="201"/>
      <c r="U195" s="263">
        <f t="shared" si="6"/>
        <v>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>
        <f t="shared" si="5"/>
        <v>0</v>
      </c>
      <c r="K196" s="202"/>
      <c r="L196" s="200"/>
      <c r="M196" s="204"/>
      <c r="N196" s="204"/>
      <c r="O196" s="204"/>
      <c r="P196" s="204"/>
      <c r="Q196" s="204"/>
      <c r="R196" s="204"/>
      <c r="S196" s="204"/>
      <c r="T196" s="201"/>
      <c r="U196" s="263">
        <f t="shared" si="6"/>
        <v>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>
        <f t="shared" si="5"/>
        <v>0</v>
      </c>
      <c r="K197" s="202"/>
      <c r="L197" s="200"/>
      <c r="M197" s="204"/>
      <c r="N197" s="204"/>
      <c r="O197" s="204"/>
      <c r="P197" s="204"/>
      <c r="Q197" s="204"/>
      <c r="R197" s="204"/>
      <c r="S197" s="204"/>
      <c r="T197" s="201"/>
      <c r="U197" s="263">
        <f t="shared" si="6"/>
        <v>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>
        <f t="shared" si="5"/>
        <v>0</v>
      </c>
      <c r="K198" s="202"/>
      <c r="L198" s="200"/>
      <c r="M198" s="204"/>
      <c r="N198" s="204"/>
      <c r="O198" s="204"/>
      <c r="P198" s="204"/>
      <c r="Q198" s="204"/>
      <c r="R198" s="204"/>
      <c r="S198" s="204"/>
      <c r="T198" s="201"/>
      <c r="U198" s="263">
        <f t="shared" si="6"/>
        <v>0</v>
      </c>
    </row>
    <row r="199" spans="1:21" x14ac:dyDescent="0.25">
      <c r="A199" s="200"/>
      <c r="B199" s="204">
        <f t="shared" ref="B199:H199" si="7">SUM(B3:B198)</f>
        <v>4500</v>
      </c>
      <c r="C199" s="204">
        <f t="shared" si="7"/>
        <v>0</v>
      </c>
      <c r="D199" s="204">
        <f t="shared" si="7"/>
        <v>2000</v>
      </c>
      <c r="E199" s="204">
        <f t="shared" si="7"/>
        <v>0</v>
      </c>
      <c r="F199" s="204">
        <f t="shared" si="7"/>
        <v>3525</v>
      </c>
      <c r="G199" s="204">
        <f t="shared" si="7"/>
        <v>0</v>
      </c>
      <c r="H199" s="204">
        <f t="shared" si="7"/>
        <v>0</v>
      </c>
      <c r="I199" s="201"/>
      <c r="J199" s="201">
        <f>B199*I199+D199*I199+F199*I199</f>
        <v>0</v>
      </c>
      <c r="K199" s="202"/>
      <c r="L199" s="200"/>
      <c r="M199" s="204">
        <f>SUM(M3:M198)</f>
        <v>1350</v>
      </c>
      <c r="N199" s="204">
        <f t="shared" ref="N199:S199" si="8">SUM(N3:N198)</f>
        <v>0</v>
      </c>
      <c r="O199" s="204">
        <f t="shared" si="8"/>
        <v>350</v>
      </c>
      <c r="P199" s="204">
        <f t="shared" si="8"/>
        <v>0</v>
      </c>
      <c r="Q199" s="204">
        <f t="shared" si="8"/>
        <v>2175</v>
      </c>
      <c r="R199" s="204">
        <f t="shared" si="8"/>
        <v>0</v>
      </c>
      <c r="S199" s="204">
        <f t="shared" si="8"/>
        <v>0</v>
      </c>
      <c r="T199" s="201"/>
      <c r="U199" s="201"/>
    </row>
    <row r="200" spans="1:21" x14ac:dyDescent="0.25">
      <c r="J200" s="201">
        <f>B200*I200+D200*I200+F200*I200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4.42578125" style="26" bestFit="1" customWidth="1"/>
    <col min="13" max="13" width="14.140625" style="26" customWidth="1"/>
    <col min="14" max="16384" width="8.85546875" style="26"/>
  </cols>
  <sheetData>
    <row r="1" spans="1:16" s="60" customFormat="1" ht="42.75" x14ac:dyDescent="0.25">
      <c r="A1" s="57" t="s">
        <v>17</v>
      </c>
      <c r="B1" s="57" t="s">
        <v>32</v>
      </c>
      <c r="C1" s="58" t="s">
        <v>18</v>
      </c>
      <c r="D1" s="58" t="s">
        <v>19</v>
      </c>
      <c r="E1" s="58"/>
      <c r="F1" s="57" t="s">
        <v>22</v>
      </c>
      <c r="G1" s="57" t="s">
        <v>32</v>
      </c>
      <c r="H1" s="58" t="s">
        <v>18</v>
      </c>
      <c r="I1" s="58" t="s">
        <v>19</v>
      </c>
      <c r="J1" s="59"/>
      <c r="K1" s="59"/>
      <c r="L1" s="57" t="s">
        <v>32</v>
      </c>
      <c r="M1" s="57" t="s">
        <v>32</v>
      </c>
      <c r="N1" s="57"/>
      <c r="O1" s="57"/>
      <c r="P1" s="57"/>
    </row>
    <row r="2" spans="1:16" x14ac:dyDescent="0.25">
      <c r="A2" s="23" t="s">
        <v>108</v>
      </c>
      <c r="B2" s="24"/>
      <c r="C2" s="25"/>
      <c r="D2" s="25"/>
      <c r="E2" s="30"/>
      <c r="F2" s="275" t="s">
        <v>108</v>
      </c>
      <c r="G2" s="157"/>
      <c r="H2" s="159"/>
      <c r="I2" s="159"/>
      <c r="K2" s="31"/>
      <c r="L2" s="27">
        <f>0+B95-G95</f>
        <v>3424</v>
      </c>
      <c r="M2" s="27">
        <f>0+C95-H95</f>
        <v>0</v>
      </c>
      <c r="N2" s="27"/>
      <c r="O2" s="27"/>
      <c r="P2" s="27"/>
    </row>
    <row r="3" spans="1:16" x14ac:dyDescent="0.25">
      <c r="A3" s="28">
        <v>45772</v>
      </c>
      <c r="B3" s="27">
        <v>1680</v>
      </c>
      <c r="C3" s="25">
        <v>59</v>
      </c>
      <c r="D3" s="25">
        <f>B3*C3</f>
        <v>99120</v>
      </c>
      <c r="E3" s="231"/>
      <c r="F3" s="28">
        <v>45777</v>
      </c>
      <c r="G3" s="353">
        <v>128</v>
      </c>
      <c r="H3" s="159">
        <v>59</v>
      </c>
      <c r="I3" s="317">
        <f>G3*H3</f>
        <v>7552</v>
      </c>
      <c r="L3" s="25">
        <v>57</v>
      </c>
      <c r="M3" s="25">
        <v>59</v>
      </c>
      <c r="N3" s="25"/>
      <c r="O3" s="25"/>
      <c r="P3" s="25"/>
    </row>
    <row r="4" spans="1:16" x14ac:dyDescent="0.25">
      <c r="A4" s="118" t="s">
        <v>162</v>
      </c>
      <c r="B4" s="27">
        <v>128</v>
      </c>
      <c r="C4" s="25">
        <v>59</v>
      </c>
      <c r="D4" s="25">
        <f t="shared" ref="D4:D67" si="0">B4*C4</f>
        <v>7552</v>
      </c>
      <c r="E4" s="231"/>
      <c r="F4" s="28" t="s">
        <v>160</v>
      </c>
      <c r="G4" s="27">
        <v>256</v>
      </c>
      <c r="H4" s="25">
        <v>57</v>
      </c>
      <c r="I4" s="317">
        <f t="shared" ref="I4:I67" si="1">G4*H4</f>
        <v>14592</v>
      </c>
      <c r="L4" s="25">
        <f>L2*L3</f>
        <v>195168</v>
      </c>
      <c r="M4" s="25">
        <f>M2*M3</f>
        <v>0</v>
      </c>
      <c r="N4" s="25"/>
      <c r="O4" s="25"/>
      <c r="P4" s="25"/>
    </row>
    <row r="5" spans="1:16" x14ac:dyDescent="0.25">
      <c r="A5" s="26" t="s">
        <v>174</v>
      </c>
      <c r="B5" s="119">
        <v>2240</v>
      </c>
      <c r="C5" s="25">
        <v>59</v>
      </c>
      <c r="D5" s="25">
        <f t="shared" si="0"/>
        <v>132160</v>
      </c>
      <c r="E5" s="30"/>
      <c r="F5" s="24" t="s">
        <v>166</v>
      </c>
      <c r="G5" s="24">
        <v>128</v>
      </c>
      <c r="H5" s="25">
        <v>59</v>
      </c>
      <c r="I5" s="317">
        <f t="shared" si="1"/>
        <v>7552</v>
      </c>
    </row>
    <row r="6" spans="1:16" x14ac:dyDescent="0.25">
      <c r="A6" s="24"/>
      <c r="B6" s="27">
        <v>144</v>
      </c>
      <c r="C6" s="25">
        <v>60</v>
      </c>
      <c r="D6" s="25">
        <f t="shared" si="0"/>
        <v>8640</v>
      </c>
      <c r="E6" s="30"/>
      <c r="F6" s="28" t="s">
        <v>171</v>
      </c>
      <c r="G6" s="24">
        <v>128</v>
      </c>
      <c r="H6" s="25">
        <v>59</v>
      </c>
      <c r="I6" s="317">
        <f t="shared" si="1"/>
        <v>7552</v>
      </c>
    </row>
    <row r="7" spans="1:16" x14ac:dyDescent="0.25">
      <c r="A7" s="24"/>
      <c r="B7" s="27"/>
      <c r="C7" s="25"/>
      <c r="D7" s="25">
        <f t="shared" si="0"/>
        <v>0</v>
      </c>
      <c r="E7" s="30"/>
      <c r="F7" s="28" t="s">
        <v>178</v>
      </c>
      <c r="G7" s="27">
        <v>128</v>
      </c>
      <c r="H7" s="25">
        <v>60</v>
      </c>
      <c r="I7" s="317">
        <f t="shared" si="1"/>
        <v>7680</v>
      </c>
    </row>
    <row r="8" spans="1:16" x14ac:dyDescent="0.25">
      <c r="A8" s="24"/>
      <c r="B8" s="27"/>
      <c r="C8" s="25"/>
      <c r="D8" s="25">
        <f t="shared" si="0"/>
        <v>0</v>
      </c>
      <c r="E8" s="30"/>
      <c r="F8" s="28"/>
      <c r="G8" s="27"/>
      <c r="H8" s="25"/>
      <c r="I8" s="317">
        <f t="shared" si="1"/>
        <v>0</v>
      </c>
    </row>
    <row r="9" spans="1:16" x14ac:dyDescent="0.25">
      <c r="A9" s="24"/>
      <c r="B9" s="27"/>
      <c r="C9" s="25"/>
      <c r="D9" s="25">
        <f t="shared" si="0"/>
        <v>0</v>
      </c>
      <c r="E9" s="30"/>
      <c r="F9" s="28"/>
      <c r="G9" s="27"/>
      <c r="H9" s="25"/>
      <c r="I9" s="317">
        <f t="shared" si="1"/>
        <v>0</v>
      </c>
    </row>
    <row r="10" spans="1:16" x14ac:dyDescent="0.25">
      <c r="A10" s="24"/>
      <c r="B10" s="27"/>
      <c r="C10" s="25"/>
      <c r="D10" s="25">
        <f t="shared" si="0"/>
        <v>0</v>
      </c>
      <c r="E10" s="30"/>
      <c r="F10" s="28"/>
      <c r="G10" s="27"/>
      <c r="H10" s="25"/>
      <c r="I10" s="317">
        <f t="shared" si="1"/>
        <v>0</v>
      </c>
    </row>
    <row r="11" spans="1:16" x14ac:dyDescent="0.25">
      <c r="A11" s="24"/>
      <c r="B11" s="27"/>
      <c r="C11" s="25"/>
      <c r="D11" s="25">
        <f t="shared" si="0"/>
        <v>0</v>
      </c>
      <c r="E11" s="30"/>
      <c r="F11" s="28"/>
      <c r="G11" s="27"/>
      <c r="H11" s="25"/>
      <c r="I11" s="317">
        <f t="shared" si="1"/>
        <v>0</v>
      </c>
    </row>
    <row r="12" spans="1:16" x14ac:dyDescent="0.25">
      <c r="A12" s="24"/>
      <c r="B12" s="27"/>
      <c r="C12" s="25"/>
      <c r="D12" s="25">
        <f t="shared" si="0"/>
        <v>0</v>
      </c>
      <c r="E12" s="30"/>
      <c r="F12" s="28"/>
      <c r="G12" s="27"/>
      <c r="H12" s="25"/>
      <c r="I12" s="317">
        <f t="shared" si="1"/>
        <v>0</v>
      </c>
    </row>
    <row r="13" spans="1:16" x14ac:dyDescent="0.25">
      <c r="A13" s="24"/>
      <c r="B13" s="27"/>
      <c r="C13" s="25"/>
      <c r="D13" s="25">
        <f t="shared" si="0"/>
        <v>0</v>
      </c>
      <c r="E13" s="30"/>
      <c r="F13" s="28"/>
      <c r="G13" s="27"/>
      <c r="H13" s="25"/>
      <c r="I13" s="317">
        <f t="shared" si="1"/>
        <v>0</v>
      </c>
    </row>
    <row r="14" spans="1:16" x14ac:dyDescent="0.25">
      <c r="A14" s="24"/>
      <c r="B14" s="27"/>
      <c r="C14" s="25"/>
      <c r="D14" s="25">
        <f t="shared" si="0"/>
        <v>0</v>
      </c>
      <c r="E14" s="30"/>
      <c r="F14" s="28"/>
      <c r="G14" s="215"/>
      <c r="H14" s="25"/>
      <c r="I14" s="317">
        <f t="shared" si="1"/>
        <v>0</v>
      </c>
      <c r="J14" s="136"/>
      <c r="L14" s="134"/>
    </row>
    <row r="15" spans="1:16" x14ac:dyDescent="0.25">
      <c r="A15" s="24"/>
      <c r="B15" s="27"/>
      <c r="C15" s="25"/>
      <c r="D15" s="25">
        <f t="shared" si="0"/>
        <v>0</v>
      </c>
      <c r="E15" s="30"/>
      <c r="F15" s="28"/>
      <c r="G15" s="27"/>
      <c r="H15" s="25"/>
      <c r="I15" s="317">
        <f t="shared" si="1"/>
        <v>0</v>
      </c>
    </row>
    <row r="16" spans="1:16" x14ac:dyDescent="0.25">
      <c r="A16" s="24"/>
      <c r="B16" s="27"/>
      <c r="C16" s="25"/>
      <c r="D16" s="25">
        <f t="shared" si="0"/>
        <v>0</v>
      </c>
      <c r="E16" s="30"/>
      <c r="F16" s="139"/>
      <c r="G16" s="27"/>
      <c r="H16" s="25"/>
      <c r="I16" s="317">
        <f t="shared" si="1"/>
        <v>0</v>
      </c>
    </row>
    <row r="17" spans="1:9" x14ac:dyDescent="0.25">
      <c r="A17" s="24"/>
      <c r="B17" s="27"/>
      <c r="C17" s="25"/>
      <c r="D17" s="25">
        <f t="shared" si="0"/>
        <v>0</v>
      </c>
      <c r="E17" s="30"/>
      <c r="F17" s="139"/>
      <c r="G17" s="27"/>
      <c r="H17" s="25"/>
      <c r="I17" s="317">
        <f t="shared" si="1"/>
        <v>0</v>
      </c>
    </row>
    <row r="18" spans="1:9" x14ac:dyDescent="0.25">
      <c r="A18" s="24"/>
      <c r="B18" s="27"/>
      <c r="C18" s="25"/>
      <c r="D18" s="25">
        <f t="shared" si="0"/>
        <v>0</v>
      </c>
      <c r="E18" s="30"/>
      <c r="F18" s="139"/>
      <c r="G18" s="27"/>
      <c r="H18" s="25"/>
      <c r="I18" s="317">
        <f t="shared" si="1"/>
        <v>0</v>
      </c>
    </row>
    <row r="19" spans="1:9" x14ac:dyDescent="0.25">
      <c r="A19" s="24"/>
      <c r="B19" s="27"/>
      <c r="C19" s="25"/>
      <c r="D19" s="25">
        <f t="shared" si="0"/>
        <v>0</v>
      </c>
      <c r="E19" s="30"/>
      <c r="F19" s="139"/>
      <c r="G19" s="27"/>
      <c r="H19" s="25"/>
      <c r="I19" s="317">
        <f t="shared" si="1"/>
        <v>0</v>
      </c>
    </row>
    <row r="20" spans="1:9" x14ac:dyDescent="0.25">
      <c r="A20" s="24"/>
      <c r="B20" s="27"/>
      <c r="C20" s="25"/>
      <c r="D20" s="25">
        <f t="shared" si="0"/>
        <v>0</v>
      </c>
      <c r="E20" s="30"/>
      <c r="F20" s="139"/>
      <c r="G20" s="27"/>
      <c r="H20" s="25"/>
      <c r="I20" s="317">
        <f t="shared" si="1"/>
        <v>0</v>
      </c>
    </row>
    <row r="21" spans="1:9" x14ac:dyDescent="0.25">
      <c r="A21" s="24"/>
      <c r="B21" s="27"/>
      <c r="C21" s="25"/>
      <c r="D21" s="25">
        <f t="shared" si="0"/>
        <v>0</v>
      </c>
      <c r="E21" s="30"/>
      <c r="F21" s="139"/>
      <c r="G21" s="27"/>
      <c r="H21" s="25"/>
      <c r="I21" s="317">
        <f t="shared" si="1"/>
        <v>0</v>
      </c>
    </row>
    <row r="22" spans="1:9" x14ac:dyDescent="0.25">
      <c r="A22" s="24"/>
      <c r="B22" s="27"/>
      <c r="C22" s="25"/>
      <c r="D22" s="25">
        <f t="shared" si="0"/>
        <v>0</v>
      </c>
      <c r="E22" s="30"/>
      <c r="F22" s="139"/>
      <c r="G22" s="27"/>
      <c r="H22" s="25"/>
      <c r="I22" s="317">
        <f t="shared" si="1"/>
        <v>0</v>
      </c>
    </row>
    <row r="23" spans="1:9" x14ac:dyDescent="0.25">
      <c r="A23" s="24"/>
      <c r="B23" s="27"/>
      <c r="C23" s="25"/>
      <c r="D23" s="25">
        <f t="shared" si="0"/>
        <v>0</v>
      </c>
      <c r="E23" s="30"/>
      <c r="F23" s="139"/>
      <c r="G23" s="27"/>
      <c r="H23" s="25"/>
      <c r="I23" s="317">
        <f t="shared" si="1"/>
        <v>0</v>
      </c>
    </row>
    <row r="24" spans="1:9" x14ac:dyDescent="0.25">
      <c r="A24" s="24"/>
      <c r="B24" s="27"/>
      <c r="C24" s="25"/>
      <c r="D24" s="25">
        <f t="shared" si="0"/>
        <v>0</v>
      </c>
      <c r="E24" s="30"/>
      <c r="F24" s="139"/>
      <c r="G24" s="27"/>
      <c r="H24" s="25"/>
      <c r="I24" s="317">
        <f t="shared" si="1"/>
        <v>0</v>
      </c>
    </row>
    <row r="25" spans="1:9" x14ac:dyDescent="0.25">
      <c r="A25" s="24"/>
      <c r="B25" s="27"/>
      <c r="C25" s="25"/>
      <c r="D25" s="25">
        <f t="shared" si="0"/>
        <v>0</v>
      </c>
      <c r="E25" s="30"/>
      <c r="F25" s="139"/>
      <c r="G25" s="27"/>
      <c r="H25" s="25"/>
      <c r="I25" s="317">
        <f t="shared" si="1"/>
        <v>0</v>
      </c>
    </row>
    <row r="26" spans="1:9" x14ac:dyDescent="0.25">
      <c r="A26" s="24"/>
      <c r="B26" s="27"/>
      <c r="C26" s="25"/>
      <c r="D26" s="25">
        <f t="shared" si="0"/>
        <v>0</v>
      </c>
      <c r="E26" s="30"/>
      <c r="F26" s="24"/>
      <c r="G26" s="27"/>
      <c r="H26" s="25"/>
      <c r="I26" s="317">
        <f t="shared" si="1"/>
        <v>0</v>
      </c>
    </row>
    <row r="27" spans="1:9" x14ac:dyDescent="0.25">
      <c r="A27" s="24"/>
      <c r="B27" s="27"/>
      <c r="C27" s="25"/>
      <c r="D27" s="25">
        <f t="shared" si="0"/>
        <v>0</v>
      </c>
      <c r="E27" s="30"/>
      <c r="F27" s="139"/>
      <c r="G27" s="27"/>
      <c r="H27" s="25"/>
      <c r="I27" s="317">
        <f t="shared" si="1"/>
        <v>0</v>
      </c>
    </row>
    <row r="28" spans="1:9" x14ac:dyDescent="0.25">
      <c r="A28" s="24"/>
      <c r="B28" s="27"/>
      <c r="C28" s="25"/>
      <c r="D28" s="25">
        <f t="shared" si="0"/>
        <v>0</v>
      </c>
      <c r="E28" s="30"/>
      <c r="F28" s="139"/>
      <c r="G28" s="27"/>
      <c r="H28" s="25"/>
      <c r="I28" s="317">
        <f t="shared" si="1"/>
        <v>0</v>
      </c>
    </row>
    <row r="29" spans="1:9" x14ac:dyDescent="0.25">
      <c r="A29" s="24"/>
      <c r="B29" s="27"/>
      <c r="C29" s="25"/>
      <c r="D29" s="25">
        <f t="shared" si="0"/>
        <v>0</v>
      </c>
      <c r="E29" s="30"/>
      <c r="F29" s="139"/>
      <c r="G29" s="27"/>
      <c r="H29" s="25"/>
      <c r="I29" s="317">
        <f t="shared" si="1"/>
        <v>0</v>
      </c>
    </row>
    <row r="30" spans="1:9" x14ac:dyDescent="0.25">
      <c r="A30" s="28"/>
      <c r="B30" s="27"/>
      <c r="C30" s="25"/>
      <c r="D30" s="25">
        <f t="shared" si="0"/>
        <v>0</v>
      </c>
      <c r="E30" s="30"/>
      <c r="F30" s="139"/>
      <c r="G30" s="27"/>
      <c r="H30" s="195"/>
      <c r="I30" s="317">
        <f t="shared" si="1"/>
        <v>0</v>
      </c>
    </row>
    <row r="31" spans="1:9" x14ac:dyDescent="0.25">
      <c r="A31" s="24"/>
      <c r="B31" s="27"/>
      <c r="C31" s="25"/>
      <c r="D31" s="25">
        <f t="shared" si="0"/>
        <v>0</v>
      </c>
      <c r="E31" s="30"/>
      <c r="F31" s="139"/>
      <c r="G31" s="27"/>
      <c r="H31" s="25"/>
      <c r="I31" s="317">
        <f t="shared" si="1"/>
        <v>0</v>
      </c>
    </row>
    <row r="32" spans="1:9" x14ac:dyDescent="0.25">
      <c r="A32" s="24"/>
      <c r="B32" s="27"/>
      <c r="C32" s="25"/>
      <c r="D32" s="25">
        <f t="shared" si="0"/>
        <v>0</v>
      </c>
      <c r="E32" s="30"/>
      <c r="F32" s="139"/>
      <c r="G32" s="27"/>
      <c r="H32" s="25"/>
      <c r="I32" s="317">
        <f t="shared" si="1"/>
        <v>0</v>
      </c>
    </row>
    <row r="33" spans="1:9" x14ac:dyDescent="0.25">
      <c r="A33" s="24"/>
      <c r="B33" s="27"/>
      <c r="C33" s="25"/>
      <c r="D33" s="25">
        <f t="shared" si="0"/>
        <v>0</v>
      </c>
      <c r="E33" s="30"/>
      <c r="F33" s="139"/>
      <c r="G33" s="27"/>
      <c r="H33" s="25"/>
      <c r="I33" s="317">
        <f t="shared" si="1"/>
        <v>0</v>
      </c>
    </row>
    <row r="34" spans="1:9" x14ac:dyDescent="0.25">
      <c r="A34" s="24"/>
      <c r="B34" s="27"/>
      <c r="C34" s="25"/>
      <c r="D34" s="25">
        <f t="shared" si="0"/>
        <v>0</v>
      </c>
      <c r="E34" s="30"/>
      <c r="F34" s="139"/>
      <c r="G34" s="27"/>
      <c r="H34" s="25"/>
      <c r="I34" s="317">
        <f t="shared" si="1"/>
        <v>0</v>
      </c>
    </row>
    <row r="35" spans="1:9" x14ac:dyDescent="0.25">
      <c r="A35" s="24"/>
      <c r="B35" s="27"/>
      <c r="C35" s="25"/>
      <c r="D35" s="25">
        <f t="shared" si="0"/>
        <v>0</v>
      </c>
      <c r="E35" s="30"/>
      <c r="F35" s="139"/>
      <c r="G35" s="27"/>
      <c r="H35" s="25"/>
      <c r="I35" s="317">
        <f t="shared" si="1"/>
        <v>0</v>
      </c>
    </row>
    <row r="36" spans="1:9" x14ac:dyDescent="0.25">
      <c r="A36" s="24"/>
      <c r="B36" s="27"/>
      <c r="C36" s="25"/>
      <c r="D36" s="25">
        <f t="shared" si="0"/>
        <v>0</v>
      </c>
      <c r="E36" s="30"/>
      <c r="F36" s="139"/>
      <c r="G36" s="27"/>
      <c r="H36" s="25"/>
      <c r="I36" s="317">
        <f t="shared" si="1"/>
        <v>0</v>
      </c>
    </row>
    <row r="37" spans="1:9" x14ac:dyDescent="0.25">
      <c r="A37" s="24"/>
      <c r="B37" s="27"/>
      <c r="C37" s="25"/>
      <c r="D37" s="25">
        <f t="shared" si="0"/>
        <v>0</v>
      </c>
      <c r="E37" s="30"/>
      <c r="F37" s="139"/>
      <c r="G37" s="27"/>
      <c r="H37" s="25"/>
      <c r="I37" s="317">
        <f t="shared" si="1"/>
        <v>0</v>
      </c>
    </row>
    <row r="38" spans="1:9" x14ac:dyDescent="0.25">
      <c r="A38" s="24"/>
      <c r="B38" s="27"/>
      <c r="C38" s="25"/>
      <c r="D38" s="25">
        <f t="shared" si="0"/>
        <v>0</v>
      </c>
      <c r="E38" s="30"/>
      <c r="F38" s="139"/>
      <c r="G38" s="27"/>
      <c r="H38" s="25"/>
      <c r="I38" s="317">
        <f t="shared" si="1"/>
        <v>0</v>
      </c>
    </row>
    <row r="39" spans="1:9" x14ac:dyDescent="0.25">
      <c r="A39" s="24"/>
      <c r="B39" s="27"/>
      <c r="C39" s="25"/>
      <c r="D39" s="25">
        <f t="shared" si="0"/>
        <v>0</v>
      </c>
      <c r="E39" s="30"/>
      <c r="F39" s="139"/>
      <c r="G39" s="27"/>
      <c r="H39" s="25"/>
      <c r="I39" s="317">
        <f t="shared" si="1"/>
        <v>0</v>
      </c>
    </row>
    <row r="40" spans="1:9" x14ac:dyDescent="0.25">
      <c r="A40" s="24"/>
      <c r="B40" s="27"/>
      <c r="C40" s="25"/>
      <c r="D40" s="25">
        <f t="shared" si="0"/>
        <v>0</v>
      </c>
      <c r="E40" s="30"/>
      <c r="F40" s="139"/>
      <c r="G40" s="27"/>
      <c r="H40" s="25"/>
      <c r="I40" s="317">
        <f t="shared" si="1"/>
        <v>0</v>
      </c>
    </row>
    <row r="41" spans="1:9" x14ac:dyDescent="0.25">
      <c r="A41" s="24"/>
      <c r="B41" s="27"/>
      <c r="C41" s="25"/>
      <c r="D41" s="25">
        <f t="shared" si="0"/>
        <v>0</v>
      </c>
      <c r="E41" s="30"/>
      <c r="F41" s="139"/>
      <c r="G41" s="27"/>
      <c r="H41" s="25"/>
      <c r="I41" s="317">
        <f t="shared" si="1"/>
        <v>0</v>
      </c>
    </row>
    <row r="42" spans="1:9" x14ac:dyDescent="0.25">
      <c r="A42" s="28"/>
      <c r="B42" s="27"/>
      <c r="C42" s="25"/>
      <c r="D42" s="25">
        <f t="shared" si="0"/>
        <v>0</v>
      </c>
      <c r="E42" s="30"/>
      <c r="F42" s="139"/>
      <c r="G42" s="27"/>
      <c r="H42" s="25"/>
      <c r="I42" s="317">
        <f t="shared" si="1"/>
        <v>0</v>
      </c>
    </row>
    <row r="43" spans="1:9" x14ac:dyDescent="0.25">
      <c r="A43" s="24"/>
      <c r="B43" s="27"/>
      <c r="C43" s="25"/>
      <c r="D43" s="25">
        <f t="shared" si="0"/>
        <v>0</v>
      </c>
      <c r="E43" s="30"/>
      <c r="F43" s="139"/>
      <c r="G43" s="27"/>
      <c r="H43" s="25"/>
      <c r="I43" s="317">
        <f t="shared" si="1"/>
        <v>0</v>
      </c>
    </row>
    <row r="44" spans="1:9" x14ac:dyDescent="0.25">
      <c r="A44" s="24"/>
      <c r="B44" s="27"/>
      <c r="C44" s="25"/>
      <c r="D44" s="25">
        <f t="shared" si="0"/>
        <v>0</v>
      </c>
      <c r="E44" s="30"/>
      <c r="F44" s="139"/>
      <c r="G44" s="27"/>
      <c r="H44" s="25"/>
      <c r="I44" s="317">
        <f t="shared" si="1"/>
        <v>0</v>
      </c>
    </row>
    <row r="45" spans="1:9" x14ac:dyDescent="0.25">
      <c r="A45" s="24"/>
      <c r="B45" s="27"/>
      <c r="C45" s="25"/>
      <c r="D45" s="25">
        <f t="shared" si="0"/>
        <v>0</v>
      </c>
      <c r="E45" s="30"/>
      <c r="F45" s="139"/>
      <c r="G45" s="27"/>
      <c r="H45" s="25"/>
      <c r="I45" s="317">
        <f t="shared" si="1"/>
        <v>0</v>
      </c>
    </row>
    <row r="46" spans="1:9" x14ac:dyDescent="0.25">
      <c r="A46" s="24"/>
      <c r="B46" s="27"/>
      <c r="C46" s="25"/>
      <c r="D46" s="25">
        <f t="shared" si="0"/>
        <v>0</v>
      </c>
      <c r="E46" s="30"/>
      <c r="F46" s="139"/>
      <c r="G46" s="27"/>
      <c r="H46" s="25"/>
      <c r="I46" s="317">
        <f t="shared" si="1"/>
        <v>0</v>
      </c>
    </row>
    <row r="47" spans="1:9" x14ac:dyDescent="0.25">
      <c r="A47" s="24"/>
      <c r="B47" s="27"/>
      <c r="C47" s="25"/>
      <c r="D47" s="25">
        <f t="shared" si="0"/>
        <v>0</v>
      </c>
      <c r="E47" s="30"/>
      <c r="F47" s="139"/>
      <c r="G47" s="27"/>
      <c r="H47" s="25"/>
      <c r="I47" s="317">
        <f t="shared" si="1"/>
        <v>0</v>
      </c>
    </row>
    <row r="48" spans="1:9" x14ac:dyDescent="0.25">
      <c r="A48" s="24"/>
      <c r="B48" s="27"/>
      <c r="C48" s="25"/>
      <c r="D48" s="25">
        <f t="shared" si="0"/>
        <v>0</v>
      </c>
      <c r="E48" s="30"/>
      <c r="F48" s="139"/>
      <c r="G48" s="27"/>
      <c r="H48" s="25"/>
      <c r="I48" s="317">
        <f t="shared" si="1"/>
        <v>0</v>
      </c>
    </row>
    <row r="49" spans="1:9" x14ac:dyDescent="0.25">
      <c r="A49" s="24"/>
      <c r="B49" s="27"/>
      <c r="C49" s="25"/>
      <c r="D49" s="25">
        <f t="shared" si="0"/>
        <v>0</v>
      </c>
      <c r="E49" s="30"/>
      <c r="F49" s="139"/>
      <c r="G49" s="27"/>
      <c r="H49" s="25"/>
      <c r="I49" s="317">
        <f t="shared" si="1"/>
        <v>0</v>
      </c>
    </row>
    <row r="50" spans="1:9" x14ac:dyDescent="0.25">
      <c r="A50" s="28"/>
      <c r="B50" s="27"/>
      <c r="C50" s="25"/>
      <c r="D50" s="25">
        <f t="shared" si="0"/>
        <v>0</v>
      </c>
      <c r="E50" s="30"/>
      <c r="F50" s="139"/>
      <c r="G50" s="27"/>
      <c r="H50" s="25"/>
      <c r="I50" s="317">
        <f t="shared" si="1"/>
        <v>0</v>
      </c>
    </row>
    <row r="51" spans="1:9" x14ac:dyDescent="0.25">
      <c r="A51" s="24"/>
      <c r="B51" s="27"/>
      <c r="C51" s="25"/>
      <c r="D51" s="25">
        <f t="shared" si="0"/>
        <v>0</v>
      </c>
      <c r="E51" s="30"/>
      <c r="F51" s="139"/>
      <c r="G51" s="27"/>
      <c r="H51" s="25"/>
      <c r="I51" s="317">
        <f t="shared" si="1"/>
        <v>0</v>
      </c>
    </row>
    <row r="52" spans="1:9" x14ac:dyDescent="0.25">
      <c r="A52" s="24"/>
      <c r="B52" s="27"/>
      <c r="C52" s="25"/>
      <c r="D52" s="25">
        <f t="shared" si="0"/>
        <v>0</v>
      </c>
      <c r="E52" s="30"/>
      <c r="F52" s="139"/>
      <c r="G52" s="27"/>
      <c r="H52" s="25"/>
      <c r="I52" s="317">
        <f t="shared" si="1"/>
        <v>0</v>
      </c>
    </row>
    <row r="53" spans="1:9" x14ac:dyDescent="0.25">
      <c r="A53" s="24"/>
      <c r="B53" s="27"/>
      <c r="C53" s="25"/>
      <c r="D53" s="25">
        <f t="shared" si="0"/>
        <v>0</v>
      </c>
      <c r="E53" s="30"/>
      <c r="F53" s="139"/>
      <c r="G53" s="27"/>
      <c r="H53" s="25"/>
      <c r="I53" s="317">
        <f t="shared" si="1"/>
        <v>0</v>
      </c>
    </row>
    <row r="54" spans="1:9" x14ac:dyDescent="0.25">
      <c r="A54" s="24"/>
      <c r="B54" s="27"/>
      <c r="C54" s="25"/>
      <c r="D54" s="25">
        <f t="shared" si="0"/>
        <v>0</v>
      </c>
      <c r="E54" s="30"/>
      <c r="F54" s="139"/>
      <c r="G54" s="27"/>
      <c r="H54" s="25"/>
      <c r="I54" s="317">
        <f t="shared" si="1"/>
        <v>0</v>
      </c>
    </row>
    <row r="55" spans="1:9" x14ac:dyDescent="0.25">
      <c r="A55" s="24"/>
      <c r="B55" s="27"/>
      <c r="C55" s="25"/>
      <c r="D55" s="25">
        <f t="shared" si="0"/>
        <v>0</v>
      </c>
      <c r="E55" s="30"/>
      <c r="F55" s="139"/>
      <c r="G55" s="27"/>
      <c r="H55" s="25"/>
      <c r="I55" s="317">
        <f t="shared" si="1"/>
        <v>0</v>
      </c>
    </row>
    <row r="56" spans="1:9" x14ac:dyDescent="0.25">
      <c r="A56" s="24"/>
      <c r="B56" s="27"/>
      <c r="C56" s="25"/>
      <c r="D56" s="25">
        <f t="shared" si="0"/>
        <v>0</v>
      </c>
      <c r="E56" s="30"/>
      <c r="F56" s="139"/>
      <c r="G56" s="27"/>
      <c r="H56" s="25"/>
      <c r="I56" s="317">
        <f t="shared" si="1"/>
        <v>0</v>
      </c>
    </row>
    <row r="57" spans="1:9" x14ac:dyDescent="0.25">
      <c r="A57" s="24"/>
      <c r="B57" s="27"/>
      <c r="C57" s="25"/>
      <c r="D57" s="25">
        <f t="shared" si="0"/>
        <v>0</v>
      </c>
      <c r="E57" s="30"/>
      <c r="F57" s="139"/>
      <c r="G57" s="27"/>
      <c r="H57" s="25"/>
      <c r="I57" s="317">
        <f t="shared" si="1"/>
        <v>0</v>
      </c>
    </row>
    <row r="58" spans="1:9" x14ac:dyDescent="0.25">
      <c r="A58" s="24"/>
      <c r="B58" s="27"/>
      <c r="C58" s="25"/>
      <c r="D58" s="25">
        <f t="shared" si="0"/>
        <v>0</v>
      </c>
      <c r="E58" s="30"/>
      <c r="F58" s="139"/>
      <c r="G58" s="27"/>
      <c r="H58" s="25"/>
      <c r="I58" s="317">
        <f t="shared" si="1"/>
        <v>0</v>
      </c>
    </row>
    <row r="59" spans="1:9" x14ac:dyDescent="0.25">
      <c r="A59" s="24"/>
      <c r="B59" s="27"/>
      <c r="C59" s="25"/>
      <c r="D59" s="25">
        <f t="shared" si="0"/>
        <v>0</v>
      </c>
      <c r="E59" s="30"/>
      <c r="F59" s="139"/>
      <c r="G59" s="27"/>
      <c r="H59" s="25"/>
      <c r="I59" s="317">
        <f t="shared" si="1"/>
        <v>0</v>
      </c>
    </row>
    <row r="60" spans="1:9" x14ac:dyDescent="0.25">
      <c r="A60" s="24"/>
      <c r="B60" s="27"/>
      <c r="C60" s="25"/>
      <c r="D60" s="25">
        <f t="shared" si="0"/>
        <v>0</v>
      </c>
      <c r="E60" s="30"/>
      <c r="F60" s="139"/>
      <c r="G60" s="27"/>
      <c r="H60" s="25"/>
      <c r="I60" s="317">
        <f t="shared" si="1"/>
        <v>0</v>
      </c>
    </row>
    <row r="61" spans="1:9" x14ac:dyDescent="0.25">
      <c r="A61" s="24"/>
      <c r="B61" s="27"/>
      <c r="C61" s="25"/>
      <c r="D61" s="25">
        <f t="shared" si="0"/>
        <v>0</v>
      </c>
      <c r="E61" s="30"/>
      <c r="F61" s="139"/>
      <c r="G61" s="27"/>
      <c r="H61" s="25"/>
      <c r="I61" s="317">
        <f t="shared" si="1"/>
        <v>0</v>
      </c>
    </row>
    <row r="62" spans="1:9" x14ac:dyDescent="0.25">
      <c r="A62" s="24"/>
      <c r="B62" s="27"/>
      <c r="C62" s="25"/>
      <c r="D62" s="25">
        <f t="shared" si="0"/>
        <v>0</v>
      </c>
      <c r="E62" s="30"/>
      <c r="F62" s="139"/>
      <c r="G62" s="27"/>
      <c r="H62" s="25"/>
      <c r="I62" s="317">
        <f t="shared" si="1"/>
        <v>0</v>
      </c>
    </row>
    <row r="63" spans="1:9" x14ac:dyDescent="0.25">
      <c r="A63" s="24"/>
      <c r="B63" s="27"/>
      <c r="C63" s="25"/>
      <c r="D63" s="25">
        <f t="shared" si="0"/>
        <v>0</v>
      </c>
      <c r="E63" s="30"/>
      <c r="F63" s="139"/>
      <c r="G63" s="27"/>
      <c r="H63" s="25"/>
      <c r="I63" s="317">
        <f t="shared" si="1"/>
        <v>0</v>
      </c>
    </row>
    <row r="64" spans="1:9" x14ac:dyDescent="0.25">
      <c r="A64" s="28"/>
      <c r="B64" s="27"/>
      <c r="C64" s="25"/>
      <c r="D64" s="25">
        <f t="shared" si="0"/>
        <v>0</v>
      </c>
      <c r="E64" s="30"/>
      <c r="F64" s="139"/>
      <c r="G64" s="27"/>
      <c r="H64" s="25"/>
      <c r="I64" s="317">
        <f t="shared" si="1"/>
        <v>0</v>
      </c>
    </row>
    <row r="65" spans="1:9" x14ac:dyDescent="0.25">
      <c r="A65" s="28"/>
      <c r="B65" s="27"/>
      <c r="C65" s="25"/>
      <c r="D65" s="25">
        <f t="shared" si="0"/>
        <v>0</v>
      </c>
      <c r="E65" s="30"/>
      <c r="F65" s="139"/>
      <c r="G65" s="27"/>
      <c r="H65" s="25"/>
      <c r="I65" s="317">
        <f t="shared" si="1"/>
        <v>0</v>
      </c>
    </row>
    <row r="66" spans="1:9" x14ac:dyDescent="0.25">
      <c r="A66" s="24"/>
      <c r="B66" s="27"/>
      <c r="C66" s="25"/>
      <c r="D66" s="25">
        <f t="shared" si="0"/>
        <v>0</v>
      </c>
      <c r="E66" s="30"/>
      <c r="F66" s="139"/>
      <c r="G66" s="27"/>
      <c r="H66" s="25"/>
      <c r="I66" s="317">
        <f t="shared" si="1"/>
        <v>0</v>
      </c>
    </row>
    <row r="67" spans="1:9" x14ac:dyDescent="0.25">
      <c r="A67" s="24"/>
      <c r="B67" s="27"/>
      <c r="C67" s="25"/>
      <c r="D67" s="25">
        <f t="shared" si="0"/>
        <v>0</v>
      </c>
      <c r="E67" s="30"/>
      <c r="F67" s="139"/>
      <c r="G67" s="27"/>
      <c r="H67" s="25"/>
      <c r="I67" s="317">
        <f t="shared" si="1"/>
        <v>0</v>
      </c>
    </row>
    <row r="68" spans="1:9" x14ac:dyDescent="0.25">
      <c r="A68" s="24"/>
      <c r="B68" s="27"/>
      <c r="C68" s="25"/>
      <c r="D68" s="25">
        <f t="shared" ref="D68:D94" si="2">B68*C68</f>
        <v>0</v>
      </c>
      <c r="E68" s="30"/>
      <c r="F68" s="139"/>
      <c r="G68" s="27"/>
      <c r="H68" s="25"/>
      <c r="I68" s="317">
        <f t="shared" ref="I68:I93" si="3">G68*H68</f>
        <v>0</v>
      </c>
    </row>
    <row r="69" spans="1:9" x14ac:dyDescent="0.25">
      <c r="A69" s="24"/>
      <c r="B69" s="27"/>
      <c r="C69" s="25"/>
      <c r="D69" s="25">
        <f t="shared" si="2"/>
        <v>0</v>
      </c>
      <c r="E69" s="30"/>
      <c r="F69" s="139"/>
      <c r="G69" s="27"/>
      <c r="H69" s="25"/>
      <c r="I69" s="317">
        <f t="shared" si="3"/>
        <v>0</v>
      </c>
    </row>
    <row r="70" spans="1:9" x14ac:dyDescent="0.25">
      <c r="A70" s="24"/>
      <c r="B70" s="27"/>
      <c r="C70" s="25"/>
      <c r="D70" s="25">
        <f t="shared" si="2"/>
        <v>0</v>
      </c>
      <c r="E70" s="30"/>
      <c r="F70" s="139"/>
      <c r="G70" s="27"/>
      <c r="H70" s="25"/>
      <c r="I70" s="317">
        <f t="shared" si="3"/>
        <v>0</v>
      </c>
    </row>
    <row r="71" spans="1:9" x14ac:dyDescent="0.25">
      <c r="A71" s="24"/>
      <c r="B71" s="27"/>
      <c r="C71" s="25"/>
      <c r="D71" s="25">
        <f t="shared" si="2"/>
        <v>0</v>
      </c>
      <c r="E71" s="30"/>
      <c r="F71" s="139"/>
      <c r="G71" s="27"/>
      <c r="H71" s="25"/>
      <c r="I71" s="317">
        <f t="shared" si="3"/>
        <v>0</v>
      </c>
    </row>
    <row r="72" spans="1:9" x14ac:dyDescent="0.25">
      <c r="A72" s="24"/>
      <c r="B72" s="27"/>
      <c r="C72" s="25"/>
      <c r="D72" s="25">
        <f t="shared" si="2"/>
        <v>0</v>
      </c>
      <c r="E72" s="30"/>
      <c r="F72" s="139"/>
      <c r="G72" s="27"/>
      <c r="H72" s="25"/>
      <c r="I72" s="317">
        <f t="shared" si="3"/>
        <v>0</v>
      </c>
    </row>
    <row r="73" spans="1:9" x14ac:dyDescent="0.25">
      <c r="A73" s="24"/>
      <c r="B73" s="27"/>
      <c r="C73" s="25"/>
      <c r="D73" s="25">
        <f t="shared" si="2"/>
        <v>0</v>
      </c>
      <c r="E73" s="30"/>
      <c r="F73" s="139"/>
      <c r="G73" s="27"/>
      <c r="H73" s="25"/>
      <c r="I73" s="317">
        <f t="shared" si="3"/>
        <v>0</v>
      </c>
    </row>
    <row r="74" spans="1:9" x14ac:dyDescent="0.25">
      <c r="A74" s="24"/>
      <c r="B74" s="27"/>
      <c r="C74" s="25"/>
      <c r="D74" s="25">
        <f t="shared" si="2"/>
        <v>0</v>
      </c>
      <c r="E74" s="30"/>
      <c r="F74" s="139"/>
      <c r="G74" s="27"/>
      <c r="H74" s="25"/>
      <c r="I74" s="317">
        <f t="shared" si="3"/>
        <v>0</v>
      </c>
    </row>
    <row r="75" spans="1:9" x14ac:dyDescent="0.25">
      <c r="A75" s="28"/>
      <c r="B75" s="27"/>
      <c r="C75" s="25"/>
      <c r="D75" s="25">
        <f t="shared" si="2"/>
        <v>0</v>
      </c>
      <c r="E75" s="30"/>
      <c r="F75" s="139"/>
      <c r="G75" s="27"/>
      <c r="H75" s="25"/>
      <c r="I75" s="317">
        <f t="shared" si="3"/>
        <v>0</v>
      </c>
    </row>
    <row r="76" spans="1:9" x14ac:dyDescent="0.25">
      <c r="A76" s="24"/>
      <c r="B76" s="27"/>
      <c r="C76" s="25"/>
      <c r="D76" s="25">
        <f t="shared" si="2"/>
        <v>0</v>
      </c>
      <c r="E76" s="30"/>
      <c r="F76" s="139"/>
      <c r="G76" s="27"/>
      <c r="H76" s="25"/>
      <c r="I76" s="317">
        <f t="shared" si="3"/>
        <v>0</v>
      </c>
    </row>
    <row r="77" spans="1:9" x14ac:dyDescent="0.25">
      <c r="A77" s="24"/>
      <c r="B77" s="27"/>
      <c r="C77" s="25"/>
      <c r="D77" s="25">
        <f t="shared" si="2"/>
        <v>0</v>
      </c>
      <c r="E77" s="30"/>
      <c r="F77" s="139"/>
      <c r="G77" s="27"/>
      <c r="H77" s="25"/>
      <c r="I77" s="317">
        <f t="shared" si="3"/>
        <v>0</v>
      </c>
    </row>
    <row r="78" spans="1:9" x14ac:dyDescent="0.25">
      <c r="A78" s="24"/>
      <c r="B78" s="27"/>
      <c r="C78" s="25"/>
      <c r="D78" s="25">
        <f t="shared" si="2"/>
        <v>0</v>
      </c>
      <c r="E78" s="30"/>
      <c r="F78" s="139"/>
      <c r="G78" s="27"/>
      <c r="H78" s="25"/>
      <c r="I78" s="317">
        <f t="shared" si="3"/>
        <v>0</v>
      </c>
    </row>
    <row r="79" spans="1:9" x14ac:dyDescent="0.25">
      <c r="A79" s="24"/>
      <c r="B79" s="27"/>
      <c r="C79" s="25"/>
      <c r="D79" s="25">
        <f t="shared" si="2"/>
        <v>0</v>
      </c>
      <c r="E79" s="30"/>
      <c r="F79" s="139"/>
      <c r="G79" s="27"/>
      <c r="H79" s="25"/>
      <c r="I79" s="317">
        <f t="shared" si="3"/>
        <v>0</v>
      </c>
    </row>
    <row r="80" spans="1:9" x14ac:dyDescent="0.25">
      <c r="A80" s="24"/>
      <c r="B80" s="27"/>
      <c r="C80" s="25"/>
      <c r="D80" s="25">
        <f t="shared" si="2"/>
        <v>0</v>
      </c>
      <c r="E80" s="30"/>
      <c r="F80" s="139"/>
      <c r="G80" s="27"/>
      <c r="H80" s="25"/>
      <c r="I80" s="317">
        <f t="shared" si="3"/>
        <v>0</v>
      </c>
    </row>
    <row r="81" spans="1:9" x14ac:dyDescent="0.25">
      <c r="A81" s="24"/>
      <c r="B81" s="27"/>
      <c r="C81" s="25"/>
      <c r="D81" s="25">
        <f t="shared" si="2"/>
        <v>0</v>
      </c>
      <c r="E81" s="30"/>
      <c r="F81" s="139"/>
      <c r="G81" s="27"/>
      <c r="H81" s="25"/>
      <c r="I81" s="317">
        <f t="shared" si="3"/>
        <v>0</v>
      </c>
    </row>
    <row r="82" spans="1:9" x14ac:dyDescent="0.25">
      <c r="A82" s="24"/>
      <c r="B82" s="27"/>
      <c r="C82" s="25"/>
      <c r="D82" s="25">
        <f t="shared" si="2"/>
        <v>0</v>
      </c>
      <c r="E82" s="30"/>
      <c r="F82" s="139"/>
      <c r="G82" s="27"/>
      <c r="H82" s="25"/>
      <c r="I82" s="317">
        <f t="shared" si="3"/>
        <v>0</v>
      </c>
    </row>
    <row r="83" spans="1:9" x14ac:dyDescent="0.25">
      <c r="A83" s="24"/>
      <c r="B83" s="27"/>
      <c r="C83" s="25"/>
      <c r="D83" s="25">
        <f t="shared" si="2"/>
        <v>0</v>
      </c>
      <c r="E83" s="30"/>
      <c r="F83" s="139"/>
      <c r="G83" s="27"/>
      <c r="H83" s="25"/>
      <c r="I83" s="317">
        <f t="shared" si="3"/>
        <v>0</v>
      </c>
    </row>
    <row r="84" spans="1:9" x14ac:dyDescent="0.25">
      <c r="A84" s="24"/>
      <c r="B84" s="27"/>
      <c r="C84" s="25"/>
      <c r="D84" s="25">
        <f t="shared" si="2"/>
        <v>0</v>
      </c>
      <c r="E84" s="30"/>
      <c r="F84" s="139"/>
      <c r="G84" s="27"/>
      <c r="H84" s="25"/>
      <c r="I84" s="317">
        <f t="shared" si="3"/>
        <v>0</v>
      </c>
    </row>
    <row r="85" spans="1:9" x14ac:dyDescent="0.25">
      <c r="A85" s="24"/>
      <c r="B85" s="27"/>
      <c r="C85" s="25"/>
      <c r="D85" s="25">
        <f t="shared" si="2"/>
        <v>0</v>
      </c>
      <c r="E85" s="30"/>
      <c r="F85" s="139"/>
      <c r="G85" s="27"/>
      <c r="H85" s="25"/>
      <c r="I85" s="317">
        <f t="shared" si="3"/>
        <v>0</v>
      </c>
    </row>
    <row r="86" spans="1:9" x14ac:dyDescent="0.25">
      <c r="A86" s="24"/>
      <c r="B86" s="27"/>
      <c r="C86" s="25"/>
      <c r="D86" s="25">
        <f t="shared" si="2"/>
        <v>0</v>
      </c>
      <c r="E86" s="30"/>
      <c r="F86" s="139"/>
      <c r="G86" s="27"/>
      <c r="H86" s="25"/>
      <c r="I86" s="317">
        <f t="shared" si="3"/>
        <v>0</v>
      </c>
    </row>
    <row r="87" spans="1:9" x14ac:dyDescent="0.25">
      <c r="A87" s="24"/>
      <c r="B87" s="27"/>
      <c r="C87" s="25"/>
      <c r="D87" s="25">
        <f t="shared" si="2"/>
        <v>0</v>
      </c>
      <c r="E87" s="30"/>
      <c r="F87" s="139"/>
      <c r="G87" s="27"/>
      <c r="H87" s="25"/>
      <c r="I87" s="317">
        <f t="shared" si="3"/>
        <v>0</v>
      </c>
    </row>
    <row r="88" spans="1:9" x14ac:dyDescent="0.25">
      <c r="A88" s="24"/>
      <c r="B88" s="27"/>
      <c r="C88" s="25"/>
      <c r="D88" s="25">
        <f t="shared" si="2"/>
        <v>0</v>
      </c>
      <c r="E88" s="30"/>
      <c r="F88" s="139"/>
      <c r="G88" s="27"/>
      <c r="H88" s="25"/>
      <c r="I88" s="317">
        <f t="shared" si="3"/>
        <v>0</v>
      </c>
    </row>
    <row r="89" spans="1:9" x14ac:dyDescent="0.25">
      <c r="A89" s="24"/>
      <c r="B89" s="27"/>
      <c r="C89" s="25"/>
      <c r="D89" s="25">
        <f t="shared" si="2"/>
        <v>0</v>
      </c>
      <c r="E89" s="30"/>
      <c r="F89" s="139"/>
      <c r="G89" s="27"/>
      <c r="H89" s="25"/>
      <c r="I89" s="317">
        <f t="shared" si="3"/>
        <v>0</v>
      </c>
    </row>
    <row r="90" spans="1:9" x14ac:dyDescent="0.25">
      <c r="A90" s="24"/>
      <c r="B90" s="27"/>
      <c r="C90" s="25"/>
      <c r="D90" s="25">
        <f t="shared" si="2"/>
        <v>0</v>
      </c>
      <c r="E90" s="30"/>
      <c r="F90" s="139"/>
      <c r="G90" s="27"/>
      <c r="H90" s="25"/>
      <c r="I90" s="317">
        <f t="shared" si="3"/>
        <v>0</v>
      </c>
    </row>
    <row r="91" spans="1:9" x14ac:dyDescent="0.25">
      <c r="A91" s="24"/>
      <c r="B91" s="27"/>
      <c r="C91" s="25"/>
      <c r="D91" s="25">
        <f t="shared" si="2"/>
        <v>0</v>
      </c>
      <c r="E91" s="30"/>
      <c r="F91" s="139"/>
      <c r="G91" s="27"/>
      <c r="H91" s="25"/>
      <c r="I91" s="317">
        <f t="shared" si="3"/>
        <v>0</v>
      </c>
    </row>
    <row r="92" spans="1:9" x14ac:dyDescent="0.25">
      <c r="A92" s="24"/>
      <c r="B92" s="27"/>
      <c r="C92" s="25"/>
      <c r="D92" s="25">
        <f t="shared" si="2"/>
        <v>0</v>
      </c>
      <c r="E92" s="30"/>
      <c r="F92" s="139"/>
      <c r="G92" s="27"/>
      <c r="H92" s="25"/>
      <c r="I92" s="317">
        <f t="shared" si="3"/>
        <v>0</v>
      </c>
    </row>
    <row r="93" spans="1:9" x14ac:dyDescent="0.25">
      <c r="A93" s="24"/>
      <c r="B93" s="27"/>
      <c r="C93" s="25"/>
      <c r="D93" s="25">
        <f t="shared" si="2"/>
        <v>0</v>
      </c>
      <c r="E93" s="30"/>
      <c r="F93" s="24"/>
      <c r="G93" s="27"/>
      <c r="H93" s="25"/>
      <c r="I93" s="317">
        <f t="shared" si="3"/>
        <v>0</v>
      </c>
    </row>
    <row r="94" spans="1:9" x14ac:dyDescent="0.25">
      <c r="A94" s="24"/>
      <c r="B94" s="27"/>
      <c r="C94" s="25"/>
      <c r="D94" s="25">
        <f t="shared" si="2"/>
        <v>0</v>
      </c>
      <c r="E94" s="30"/>
      <c r="F94" s="24"/>
      <c r="G94" s="27"/>
      <c r="H94" s="25"/>
      <c r="I94" s="25"/>
    </row>
    <row r="95" spans="1:9" x14ac:dyDescent="0.25">
      <c r="A95" s="24"/>
      <c r="B95" s="27">
        <f>SUM(B3:B94)</f>
        <v>4192</v>
      </c>
      <c r="C95" s="25"/>
      <c r="D95" s="25"/>
      <c r="E95" s="30"/>
      <c r="F95" s="24"/>
      <c r="G95" s="27">
        <f>SUM(G3:G94)</f>
        <v>768</v>
      </c>
      <c r="H95" s="25"/>
      <c r="I95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2"/>
  <sheetViews>
    <sheetView topLeftCell="F1" workbookViewId="0">
      <pane ySplit="1" topLeftCell="A201" activePane="bottomLeft" state="frozen"/>
      <selection pane="bottomLeft" activeCell="S228" sqref="S228"/>
    </sheetView>
  </sheetViews>
  <sheetFormatPr defaultColWidth="8.85546875" defaultRowHeight="15" x14ac:dyDescent="0.25"/>
  <cols>
    <col min="1" max="1" width="11.140625" style="203" customWidth="1"/>
    <col min="2" max="3" width="12.5703125" style="203" customWidth="1"/>
    <col min="4" max="5" width="11.7109375" style="203" customWidth="1"/>
    <col min="6" max="8" width="12" style="203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4" width="12.42578125" style="203" customWidth="1"/>
    <col min="15" max="16" width="11.85546875" style="203" customWidth="1"/>
    <col min="17" max="19" width="11.7109375" style="203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 t="s">
        <v>120</v>
      </c>
      <c r="D1" s="173" t="s">
        <v>26</v>
      </c>
      <c r="E1" s="173" t="s">
        <v>121</v>
      </c>
      <c r="F1" s="173" t="s">
        <v>27</v>
      </c>
      <c r="G1" s="173" t="s">
        <v>122</v>
      </c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 t="s">
        <v>120</v>
      </c>
      <c r="O1" s="173" t="s">
        <v>26</v>
      </c>
      <c r="P1" s="173" t="s">
        <v>121</v>
      </c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 t="s">
        <v>120</v>
      </c>
      <c r="AA1" s="173" t="s">
        <v>121</v>
      </c>
      <c r="AB1" s="173" t="s">
        <v>122</v>
      </c>
      <c r="AC1" s="173" t="s">
        <v>139</v>
      </c>
    </row>
    <row r="2" spans="1:31" x14ac:dyDescent="0.25">
      <c r="A2" s="199" t="s">
        <v>20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199" t="s">
        <v>20</v>
      </c>
      <c r="M2" s="200"/>
      <c r="N2" s="200"/>
      <c r="O2" s="200"/>
      <c r="P2" s="200"/>
      <c r="Q2" s="200"/>
      <c r="R2" s="200"/>
      <c r="S2" s="200"/>
      <c r="T2" s="201"/>
      <c r="U2" s="201"/>
      <c r="W2" s="204">
        <f>0+B221-M221</f>
        <v>50</v>
      </c>
      <c r="X2" s="204">
        <f>0+D221-O221</f>
        <v>0</v>
      </c>
      <c r="Y2" s="204">
        <f>0+F221-Q221</f>
        <v>0</v>
      </c>
      <c r="Z2" s="204">
        <f>0+C221-N221</f>
        <v>0</v>
      </c>
      <c r="AA2" s="204">
        <f>0+E221-P221</f>
        <v>75</v>
      </c>
      <c r="AB2" s="204">
        <f>0+G221-R221</f>
        <v>0</v>
      </c>
      <c r="AC2" s="204">
        <f>0+H221-S221</f>
        <v>0</v>
      </c>
      <c r="AD2" s="205"/>
      <c r="AE2" s="205"/>
    </row>
    <row r="3" spans="1:31" x14ac:dyDescent="0.25">
      <c r="A3" s="206">
        <v>45510</v>
      </c>
      <c r="B3" s="204">
        <v>2000</v>
      </c>
      <c r="C3" s="204"/>
      <c r="D3" s="204"/>
      <c r="E3" s="204"/>
      <c r="F3" s="204"/>
      <c r="G3" s="204"/>
      <c r="H3" s="204"/>
      <c r="I3" s="201">
        <v>49</v>
      </c>
      <c r="J3" s="201">
        <f>B3*I3+C3*I3+D3*I3+E3*I3+F3*I3+G3*I3+H3*I3</f>
        <v>98000</v>
      </c>
      <c r="K3" s="202"/>
      <c r="L3" s="206"/>
      <c r="M3" s="204">
        <v>5</v>
      </c>
      <c r="N3" s="204"/>
      <c r="O3" s="204"/>
      <c r="P3" s="204"/>
      <c r="Q3" s="204"/>
      <c r="R3" s="204"/>
      <c r="S3" s="204"/>
      <c r="T3" s="201">
        <v>49</v>
      </c>
      <c r="U3" s="201">
        <f>M3*T3+N3*T3+O3*T3+P3*T3+Q3*T3+R3*T3+S3*T3</f>
        <v>245</v>
      </c>
      <c r="W3" s="201">
        <v>47</v>
      </c>
      <c r="X3" s="201">
        <v>185</v>
      </c>
      <c r="Y3" s="201">
        <v>185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2000</v>
      </c>
      <c r="E4" s="204"/>
      <c r="F4" s="204"/>
      <c r="G4" s="204"/>
      <c r="H4" s="204"/>
      <c r="I4" s="201">
        <v>185</v>
      </c>
      <c r="J4" s="201">
        <f t="shared" ref="J4:J67" si="0">B4*I4+C4*I4+D4*I4+E4*I4+F4*I4+G4*I4+H4*I4</f>
        <v>370000</v>
      </c>
      <c r="K4" s="202"/>
      <c r="L4" s="200"/>
      <c r="M4" s="204"/>
      <c r="N4" s="204"/>
      <c r="O4" s="204">
        <v>9</v>
      </c>
      <c r="P4" s="204"/>
      <c r="Q4" s="204">
        <v>2.2999999999999998</v>
      </c>
      <c r="R4" s="204"/>
      <c r="S4" s="204"/>
      <c r="T4" s="201">
        <v>185</v>
      </c>
      <c r="U4" s="201">
        <f t="shared" ref="U4:U67" si="1">M4*T4+N4*T4+O4*T4+P4*T4+Q4*T4+R4*T4+S4*T4</f>
        <v>2090.5</v>
      </c>
      <c r="W4" s="201">
        <f>W2*W3</f>
        <v>2350</v>
      </c>
      <c r="X4" s="201">
        <f t="shared" ref="X4:AC4" si="2">X2*X3</f>
        <v>0</v>
      </c>
      <c r="Y4" s="201">
        <f t="shared" si="2"/>
        <v>0</v>
      </c>
      <c r="Z4" s="201">
        <f t="shared" si="2"/>
        <v>0</v>
      </c>
      <c r="AA4" s="201">
        <f t="shared" si="2"/>
        <v>13725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1200</v>
      </c>
      <c r="G5" s="204"/>
      <c r="H5" s="204"/>
      <c r="I5" s="201">
        <v>185</v>
      </c>
      <c r="J5" s="201">
        <f t="shared" si="0"/>
        <v>222000</v>
      </c>
      <c r="K5" s="202"/>
      <c r="L5" s="206">
        <v>45535</v>
      </c>
      <c r="M5" s="204">
        <v>12</v>
      </c>
      <c r="N5" s="204"/>
      <c r="O5" s="204"/>
      <c r="P5" s="204"/>
      <c r="Q5" s="204"/>
      <c r="R5" s="204"/>
      <c r="S5" s="204"/>
      <c r="T5" s="201">
        <v>49</v>
      </c>
      <c r="U5" s="201">
        <f t="shared" si="1"/>
        <v>588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02"/>
      <c r="L6" s="200"/>
      <c r="M6" s="204"/>
      <c r="N6" s="204"/>
      <c r="O6" s="204">
        <v>9</v>
      </c>
      <c r="P6" s="204"/>
      <c r="Q6" s="204">
        <v>7</v>
      </c>
      <c r="R6" s="204"/>
      <c r="S6" s="204"/>
      <c r="T6" s="201">
        <v>185</v>
      </c>
      <c r="U6" s="201">
        <f t="shared" si="1"/>
        <v>2960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02"/>
      <c r="L7" s="206">
        <v>45545</v>
      </c>
      <c r="M7" s="204">
        <v>1</v>
      </c>
      <c r="N7" s="204"/>
      <c r="O7" s="204"/>
      <c r="P7" s="204"/>
      <c r="Q7" s="204"/>
      <c r="R7" s="204"/>
      <c r="S7" s="204"/>
      <c r="T7" s="201">
        <v>49</v>
      </c>
      <c r="U7" s="201">
        <f t="shared" si="1"/>
        <v>49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02"/>
      <c r="L8" s="200"/>
      <c r="M8" s="204"/>
      <c r="N8" s="204"/>
      <c r="O8" s="204">
        <v>2</v>
      </c>
      <c r="P8" s="204"/>
      <c r="Q8" s="204">
        <v>2</v>
      </c>
      <c r="R8" s="204"/>
      <c r="S8" s="204"/>
      <c r="T8" s="201">
        <v>185</v>
      </c>
      <c r="U8" s="201">
        <f t="shared" si="1"/>
        <v>740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02"/>
      <c r="L9" s="206">
        <v>45551</v>
      </c>
      <c r="M9" s="204">
        <v>5</v>
      </c>
      <c r="N9" s="204"/>
      <c r="O9" s="204"/>
      <c r="P9" s="204"/>
      <c r="Q9" s="204"/>
      <c r="R9" s="204"/>
      <c r="S9" s="204"/>
      <c r="T9" s="201">
        <v>49</v>
      </c>
      <c r="U9" s="201">
        <f t="shared" si="1"/>
        <v>245</v>
      </c>
    </row>
    <row r="10" spans="1:31" x14ac:dyDescent="0.25">
      <c r="A10" s="200"/>
      <c r="B10" s="204"/>
      <c r="C10" s="204"/>
      <c r="D10" s="204"/>
      <c r="E10" s="204"/>
      <c r="F10" s="204"/>
      <c r="G10" s="204"/>
      <c r="H10" s="204"/>
      <c r="I10" s="201"/>
      <c r="J10" s="201">
        <f t="shared" si="0"/>
        <v>0</v>
      </c>
      <c r="K10" s="202"/>
      <c r="L10" s="200"/>
      <c r="M10" s="204"/>
      <c r="N10" s="204"/>
      <c r="O10" s="204">
        <v>3</v>
      </c>
      <c r="P10" s="204"/>
      <c r="Q10" s="204">
        <v>3</v>
      </c>
      <c r="R10" s="204"/>
      <c r="S10" s="204"/>
      <c r="T10" s="201">
        <v>185</v>
      </c>
      <c r="U10" s="201">
        <f t="shared" si="1"/>
        <v>1110</v>
      </c>
    </row>
    <row r="11" spans="1:31" x14ac:dyDescent="0.25">
      <c r="A11" s="200"/>
      <c r="B11" s="204"/>
      <c r="C11" s="204"/>
      <c r="D11" s="204"/>
      <c r="E11" s="204"/>
      <c r="F11" s="204"/>
      <c r="G11" s="204"/>
      <c r="H11" s="204"/>
      <c r="I11" s="201"/>
      <c r="J11" s="201">
        <f t="shared" si="0"/>
        <v>0</v>
      </c>
      <c r="K11" s="202"/>
      <c r="L11" s="206">
        <v>45558</v>
      </c>
      <c r="M11" s="204">
        <v>12.2</v>
      </c>
      <c r="N11" s="204"/>
      <c r="O11" s="204"/>
      <c r="P11" s="204"/>
      <c r="Q11" s="204"/>
      <c r="R11" s="204"/>
      <c r="S11" s="204"/>
      <c r="T11" s="201">
        <v>49</v>
      </c>
      <c r="U11" s="201">
        <f t="shared" si="1"/>
        <v>597.79999999999995</v>
      </c>
    </row>
    <row r="12" spans="1:31" x14ac:dyDescent="0.25">
      <c r="A12" s="200"/>
      <c r="B12" s="204"/>
      <c r="C12" s="204"/>
      <c r="D12" s="204"/>
      <c r="E12" s="204"/>
      <c r="F12" s="204"/>
      <c r="G12" s="204"/>
      <c r="H12" s="204"/>
      <c r="I12" s="201"/>
      <c r="J12" s="201">
        <f t="shared" si="0"/>
        <v>0</v>
      </c>
      <c r="K12" s="202"/>
      <c r="L12" s="200"/>
      <c r="M12" s="204"/>
      <c r="N12" s="204"/>
      <c r="O12" s="204">
        <v>3.6</v>
      </c>
      <c r="P12" s="204"/>
      <c r="Q12" s="204">
        <v>4.5999999999999996</v>
      </c>
      <c r="R12" s="204"/>
      <c r="S12" s="204"/>
      <c r="T12" s="201">
        <v>185</v>
      </c>
      <c r="U12" s="201">
        <f t="shared" si="1"/>
        <v>1517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>
        <v>45561</v>
      </c>
      <c r="M13" s="204">
        <v>10.6</v>
      </c>
      <c r="N13" s="204"/>
      <c r="O13" s="204"/>
      <c r="P13" s="204"/>
      <c r="Q13" s="204"/>
      <c r="R13" s="204"/>
      <c r="S13" s="204"/>
      <c r="T13" s="201">
        <v>49</v>
      </c>
      <c r="U13" s="201">
        <f t="shared" si="1"/>
        <v>519.4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3.6</v>
      </c>
      <c r="P14" s="204"/>
      <c r="Q14" s="204">
        <v>6.2</v>
      </c>
      <c r="R14" s="204"/>
      <c r="S14" s="204"/>
      <c r="T14" s="201">
        <v>185</v>
      </c>
      <c r="U14" s="201">
        <f t="shared" si="1"/>
        <v>1813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>
        <v>45566</v>
      </c>
      <c r="M15" s="204">
        <v>1</v>
      </c>
      <c r="N15" s="204"/>
      <c r="O15" s="204"/>
      <c r="P15" s="204"/>
      <c r="Q15" s="204"/>
      <c r="R15" s="204"/>
      <c r="S15" s="204"/>
      <c r="T15" s="201">
        <v>49</v>
      </c>
      <c r="U15" s="201">
        <f t="shared" si="1"/>
        <v>49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/>
      <c r="N16" s="204"/>
      <c r="O16" s="204">
        <v>1</v>
      </c>
      <c r="P16" s="204"/>
      <c r="Q16" s="204">
        <v>1</v>
      </c>
      <c r="R16" s="204"/>
      <c r="S16" s="204"/>
      <c r="T16" s="201">
        <v>185</v>
      </c>
      <c r="U16" s="201">
        <f t="shared" si="1"/>
        <v>370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>
        <v>45567</v>
      </c>
      <c r="M17" s="204">
        <v>14.6</v>
      </c>
      <c r="N17" s="204"/>
      <c r="O17" s="204"/>
      <c r="P17" s="204"/>
      <c r="Q17" s="204"/>
      <c r="R17" s="204"/>
      <c r="S17" s="204"/>
      <c r="T17" s="201">
        <v>49</v>
      </c>
      <c r="U17" s="201">
        <f t="shared" si="1"/>
        <v>715.4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/>
      <c r="M18" s="204"/>
      <c r="N18" s="204"/>
      <c r="O18" s="229">
        <v>8</v>
      </c>
      <c r="P18" s="204"/>
      <c r="Q18" s="204">
        <v>4</v>
      </c>
      <c r="R18" s="204"/>
      <c r="S18" s="204"/>
      <c r="T18" s="201">
        <v>185</v>
      </c>
      <c r="U18" s="201">
        <f t="shared" si="1"/>
        <v>2220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>
        <v>45568</v>
      </c>
      <c r="M19" s="204">
        <v>33</v>
      </c>
      <c r="N19" s="204"/>
      <c r="O19" s="204"/>
      <c r="P19" s="204"/>
      <c r="Q19" s="204"/>
      <c r="R19" s="204"/>
      <c r="S19" s="204"/>
      <c r="T19" s="201">
        <v>49</v>
      </c>
      <c r="U19" s="201">
        <f t="shared" si="1"/>
        <v>1617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200"/>
      <c r="M20" s="204"/>
      <c r="N20" s="204"/>
      <c r="O20" s="204">
        <v>10.8</v>
      </c>
      <c r="P20" s="204"/>
      <c r="Q20" s="204">
        <v>25.8</v>
      </c>
      <c r="R20" s="204"/>
      <c r="S20" s="204"/>
      <c r="T20" s="201">
        <v>185</v>
      </c>
      <c r="U20" s="201">
        <f t="shared" si="1"/>
        <v>6771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>
        <v>45569</v>
      </c>
      <c r="M21" s="204">
        <v>55.6</v>
      </c>
      <c r="N21" s="204"/>
      <c r="O21" s="204"/>
      <c r="P21" s="204"/>
      <c r="Q21" s="204"/>
      <c r="R21" s="204"/>
      <c r="S21" s="204"/>
      <c r="T21" s="201">
        <v>49</v>
      </c>
      <c r="U21" s="201">
        <f t="shared" si="1"/>
        <v>2724.4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29">
        <v>0</v>
      </c>
      <c r="P22" s="204"/>
      <c r="Q22" s="229">
        <v>69.099999999999994</v>
      </c>
      <c r="R22" s="204"/>
      <c r="S22" s="204"/>
      <c r="T22" s="201">
        <v>185</v>
      </c>
      <c r="U22" s="201">
        <f t="shared" si="1"/>
        <v>12783.499999999998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>
        <v>45572</v>
      </c>
      <c r="M23" s="204">
        <v>52.5</v>
      </c>
      <c r="N23" s="204"/>
      <c r="O23" s="204"/>
      <c r="P23" s="204"/>
      <c r="Q23" s="204"/>
      <c r="R23" s="204"/>
      <c r="S23" s="204"/>
      <c r="T23" s="201">
        <v>49</v>
      </c>
      <c r="U23" s="201">
        <f t="shared" si="1"/>
        <v>2572.5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/>
      <c r="M24" s="204"/>
      <c r="N24" s="204"/>
      <c r="O24" s="204">
        <v>15</v>
      </c>
      <c r="P24" s="204"/>
      <c r="Q24" s="204">
        <v>36</v>
      </c>
      <c r="R24" s="204"/>
      <c r="S24" s="204"/>
      <c r="T24" s="201">
        <v>185</v>
      </c>
      <c r="U24" s="201">
        <f t="shared" si="1"/>
        <v>9435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>
        <v>45576</v>
      </c>
      <c r="M25" s="204">
        <v>22.5</v>
      </c>
      <c r="N25" s="204"/>
      <c r="O25" s="204"/>
      <c r="P25" s="204"/>
      <c r="Q25" s="204"/>
      <c r="R25" s="204"/>
      <c r="S25" s="204"/>
      <c r="T25" s="201"/>
      <c r="U25" s="201">
        <f t="shared" si="1"/>
        <v>0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/>
      <c r="M26" s="204"/>
      <c r="N26" s="204"/>
      <c r="O26" s="204">
        <v>10</v>
      </c>
      <c r="P26" s="204"/>
      <c r="Q26" s="204"/>
      <c r="R26" s="204"/>
      <c r="S26" s="204"/>
      <c r="T26" s="201">
        <v>185</v>
      </c>
      <c r="U26" s="201">
        <f t="shared" si="1"/>
        <v>1850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>
        <v>45580</v>
      </c>
      <c r="M27" s="204">
        <v>24.8</v>
      </c>
      <c r="N27" s="204"/>
      <c r="O27" s="204"/>
      <c r="P27" s="204"/>
      <c r="Q27" s="204"/>
      <c r="R27" s="204"/>
      <c r="S27" s="204"/>
      <c r="T27" s="201">
        <v>49</v>
      </c>
      <c r="U27" s="201">
        <f t="shared" si="1"/>
        <v>1215.2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11.2</v>
      </c>
      <c r="P28" s="204"/>
      <c r="Q28" s="204">
        <v>27.2</v>
      </c>
      <c r="R28" s="204"/>
      <c r="S28" s="204"/>
      <c r="T28" s="201">
        <v>185</v>
      </c>
      <c r="U28" s="201">
        <f t="shared" si="1"/>
        <v>7104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>
        <v>45581</v>
      </c>
      <c r="M29" s="204">
        <v>49.6</v>
      </c>
      <c r="N29" s="204"/>
      <c r="O29" s="204"/>
      <c r="P29" s="204"/>
      <c r="Q29" s="204"/>
      <c r="R29" s="204"/>
      <c r="S29" s="204"/>
      <c r="T29" s="201">
        <v>49</v>
      </c>
      <c r="U29" s="201">
        <f t="shared" si="1"/>
        <v>2430.4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>
        <v>22.4</v>
      </c>
      <c r="P30" s="204"/>
      <c r="Q30" s="204">
        <v>54.4</v>
      </c>
      <c r="R30" s="204"/>
      <c r="S30" s="204"/>
      <c r="T30" s="201">
        <v>185</v>
      </c>
      <c r="U30" s="201">
        <f t="shared" si="1"/>
        <v>14208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>
        <v>45582</v>
      </c>
      <c r="M31" s="204">
        <v>48</v>
      </c>
      <c r="N31" s="204"/>
      <c r="O31" s="204"/>
      <c r="P31" s="204"/>
      <c r="Q31" s="204"/>
      <c r="R31" s="204"/>
      <c r="S31" s="204"/>
      <c r="T31" s="201">
        <v>49</v>
      </c>
      <c r="U31" s="201">
        <f t="shared" si="1"/>
        <v>2352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>
        <v>22.4</v>
      </c>
      <c r="P32" s="204"/>
      <c r="Q32" s="204">
        <v>56</v>
      </c>
      <c r="R32" s="204"/>
      <c r="S32" s="204"/>
      <c r="T32" s="201">
        <v>185</v>
      </c>
      <c r="U32" s="201">
        <f t="shared" si="1"/>
        <v>14504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>
        <v>45583</v>
      </c>
      <c r="M33" s="204">
        <v>11</v>
      </c>
      <c r="N33" s="204"/>
      <c r="O33" s="204"/>
      <c r="P33" s="204"/>
      <c r="Q33" s="204"/>
      <c r="R33" s="204"/>
      <c r="S33" s="204"/>
      <c r="T33" s="201">
        <v>49</v>
      </c>
      <c r="U33" s="201">
        <f t="shared" si="1"/>
        <v>539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>
        <v>6.1</v>
      </c>
      <c r="P34" s="204"/>
      <c r="Q34" s="204">
        <v>14.5</v>
      </c>
      <c r="R34" s="204"/>
      <c r="S34" s="204"/>
      <c r="T34" s="201">
        <v>185</v>
      </c>
      <c r="U34" s="201">
        <f t="shared" si="1"/>
        <v>3811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>
        <v>45587</v>
      </c>
      <c r="M35" s="204">
        <v>11</v>
      </c>
      <c r="N35" s="204"/>
      <c r="O35" s="204"/>
      <c r="P35" s="204"/>
      <c r="Q35" s="204"/>
      <c r="R35" s="204"/>
      <c r="S35" s="204"/>
      <c r="T35" s="201">
        <v>49</v>
      </c>
      <c r="U35" s="201">
        <f t="shared" si="1"/>
        <v>539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>
        <v>6.1</v>
      </c>
      <c r="P36" s="204"/>
      <c r="Q36" s="204">
        <v>14.5</v>
      </c>
      <c r="R36" s="204"/>
      <c r="S36" s="204"/>
      <c r="T36" s="201">
        <v>185</v>
      </c>
      <c r="U36" s="201">
        <f t="shared" si="1"/>
        <v>3811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>
        <v>45589</v>
      </c>
      <c r="M37" s="204">
        <v>33</v>
      </c>
      <c r="N37" s="204"/>
      <c r="O37" s="204"/>
      <c r="P37" s="204"/>
      <c r="Q37" s="204"/>
      <c r="R37" s="204"/>
      <c r="S37" s="204"/>
      <c r="T37" s="201">
        <v>49</v>
      </c>
      <c r="U37" s="201">
        <f t="shared" si="1"/>
        <v>1617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>
        <v>18.3</v>
      </c>
      <c r="P38" s="204"/>
      <c r="Q38" s="204">
        <v>43.5</v>
      </c>
      <c r="R38" s="204"/>
      <c r="S38" s="204"/>
      <c r="T38" s="201">
        <v>185</v>
      </c>
      <c r="U38" s="201">
        <f t="shared" si="1"/>
        <v>11433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>
        <v>45594</v>
      </c>
      <c r="M39" s="204">
        <v>297.60000000000002</v>
      </c>
      <c r="N39" s="204"/>
      <c r="O39" s="204"/>
      <c r="P39" s="204"/>
      <c r="Q39" s="204"/>
      <c r="R39" s="204"/>
      <c r="S39" s="204"/>
      <c r="T39" s="201">
        <v>49</v>
      </c>
      <c r="U39" s="201">
        <f t="shared" si="1"/>
        <v>14582.400000000001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>
        <v>38.5</v>
      </c>
      <c r="P40" s="204"/>
      <c r="Q40" s="204">
        <v>153.9</v>
      </c>
      <c r="R40" s="204"/>
      <c r="S40" s="204"/>
      <c r="T40" s="201">
        <v>185</v>
      </c>
      <c r="U40" s="201">
        <f t="shared" si="1"/>
        <v>35594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>
        <v>45595</v>
      </c>
      <c r="M41" s="204">
        <v>100</v>
      </c>
      <c r="N41" s="204"/>
      <c r="O41" s="204"/>
      <c r="P41" s="204"/>
      <c r="Q41" s="204"/>
      <c r="R41" s="204"/>
      <c r="S41" s="204"/>
      <c r="T41" s="201">
        <v>49</v>
      </c>
      <c r="U41" s="201">
        <f t="shared" si="1"/>
        <v>4900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>
        <v>75</v>
      </c>
      <c r="R42" s="204"/>
      <c r="S42" s="204"/>
      <c r="T42" s="201">
        <v>185</v>
      </c>
      <c r="U42" s="201">
        <f t="shared" si="1"/>
        <v>13875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>
        <v>45597</v>
      </c>
      <c r="M43" s="204">
        <v>100</v>
      </c>
      <c r="N43" s="204"/>
      <c r="O43" s="204"/>
      <c r="P43" s="204"/>
      <c r="Q43" s="204"/>
      <c r="R43" s="204"/>
      <c r="S43" s="204"/>
      <c r="T43" s="201">
        <v>49</v>
      </c>
      <c r="U43" s="201">
        <f t="shared" si="1"/>
        <v>4900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>
        <v>25</v>
      </c>
      <c r="P44" s="204"/>
      <c r="Q44" s="204">
        <v>50</v>
      </c>
      <c r="R44" s="204"/>
      <c r="S44" s="204"/>
      <c r="T44" s="201">
        <v>185</v>
      </c>
      <c r="U44" s="201">
        <f t="shared" si="1"/>
        <v>13875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>
        <v>45601</v>
      </c>
      <c r="M45" s="204">
        <v>50</v>
      </c>
      <c r="N45" s="204"/>
      <c r="O45" s="204"/>
      <c r="P45" s="204"/>
      <c r="Q45" s="204"/>
      <c r="R45" s="204"/>
      <c r="S45" s="204"/>
      <c r="T45" s="201">
        <v>49</v>
      </c>
      <c r="U45" s="201">
        <f t="shared" si="1"/>
        <v>2450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>
        <v>25</v>
      </c>
      <c r="P46" s="204"/>
      <c r="Q46" s="204">
        <v>125</v>
      </c>
      <c r="R46" s="204"/>
      <c r="S46" s="204"/>
      <c r="T46" s="201">
        <v>185</v>
      </c>
      <c r="U46" s="201">
        <f t="shared" si="1"/>
        <v>27750</v>
      </c>
    </row>
    <row r="47" spans="1:21" x14ac:dyDescent="0.25">
      <c r="A47" s="206">
        <v>45603</v>
      </c>
      <c r="B47" s="204"/>
      <c r="C47" s="204"/>
      <c r="D47" s="204"/>
      <c r="E47" s="204"/>
      <c r="F47" s="204">
        <v>1000</v>
      </c>
      <c r="G47" s="204"/>
      <c r="H47" s="204"/>
      <c r="I47" s="201">
        <v>185</v>
      </c>
      <c r="J47" s="201">
        <f t="shared" si="0"/>
        <v>185000</v>
      </c>
      <c r="K47" s="202"/>
      <c r="L47" s="206">
        <v>45604</v>
      </c>
      <c r="M47" s="204">
        <v>75</v>
      </c>
      <c r="N47" s="204"/>
      <c r="O47" s="204"/>
      <c r="P47" s="204"/>
      <c r="Q47" s="204"/>
      <c r="R47" s="204"/>
      <c r="S47" s="204"/>
      <c r="T47" s="201">
        <v>49</v>
      </c>
      <c r="U47" s="201">
        <f t="shared" si="1"/>
        <v>3675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>
        <v>25</v>
      </c>
      <c r="P48" s="204"/>
      <c r="Q48" s="204"/>
      <c r="R48" s="204"/>
      <c r="S48" s="204"/>
      <c r="T48" s="201">
        <v>185</v>
      </c>
      <c r="U48" s="201">
        <f t="shared" si="1"/>
        <v>4625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>
        <v>45618</v>
      </c>
      <c r="M49" s="204"/>
      <c r="N49" s="204"/>
      <c r="O49" s="204">
        <v>50</v>
      </c>
      <c r="P49" s="204"/>
      <c r="Q49" s="204">
        <v>75</v>
      </c>
      <c r="R49" s="204"/>
      <c r="S49" s="204"/>
      <c r="T49" s="201">
        <v>185</v>
      </c>
      <c r="U49" s="201">
        <f t="shared" si="1"/>
        <v>23125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>
        <v>45630</v>
      </c>
      <c r="M50" s="204">
        <v>50</v>
      </c>
      <c r="N50" s="204"/>
      <c r="O50" s="204"/>
      <c r="P50" s="204"/>
      <c r="Q50" s="204"/>
      <c r="R50" s="204"/>
      <c r="S50" s="204"/>
      <c r="T50" s="201">
        <v>49</v>
      </c>
      <c r="U50" s="201">
        <f t="shared" si="1"/>
        <v>2450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>
        <v>25</v>
      </c>
      <c r="P51" s="204"/>
      <c r="Q51" s="204">
        <v>25</v>
      </c>
      <c r="R51" s="204"/>
      <c r="S51" s="204"/>
      <c r="T51" s="201">
        <v>185</v>
      </c>
      <c r="U51" s="201">
        <f t="shared" si="1"/>
        <v>9250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>
        <v>45631</v>
      </c>
      <c r="M52" s="204">
        <v>50</v>
      </c>
      <c r="N52" s="204"/>
      <c r="O52" s="204"/>
      <c r="P52" s="204"/>
      <c r="Q52" s="204"/>
      <c r="R52" s="204"/>
      <c r="S52" s="204"/>
      <c r="T52" s="201">
        <v>49</v>
      </c>
      <c r="U52" s="201">
        <f t="shared" si="1"/>
        <v>2450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>
        <v>25</v>
      </c>
      <c r="R53" s="204"/>
      <c r="S53" s="204"/>
      <c r="T53" s="201">
        <v>185</v>
      </c>
      <c r="U53" s="201">
        <f t="shared" si="1"/>
        <v>4625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>
        <v>45632</v>
      </c>
      <c r="M54" s="204">
        <v>75</v>
      </c>
      <c r="N54" s="204"/>
      <c r="O54" s="204"/>
      <c r="P54" s="204"/>
      <c r="Q54" s="204"/>
      <c r="R54" s="204"/>
      <c r="S54" s="204"/>
      <c r="T54" s="201">
        <v>49</v>
      </c>
      <c r="U54" s="201">
        <f t="shared" si="1"/>
        <v>3675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>
        <v>50</v>
      </c>
      <c r="R55" s="204"/>
      <c r="S55" s="204"/>
      <c r="T55" s="201">
        <v>185</v>
      </c>
      <c r="U55" s="201">
        <f t="shared" si="1"/>
        <v>9250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>
        <v>45635</v>
      </c>
      <c r="M56" s="204">
        <v>125</v>
      </c>
      <c r="N56" s="204"/>
      <c r="O56" s="204"/>
      <c r="P56" s="204"/>
      <c r="Q56" s="204"/>
      <c r="R56" s="204"/>
      <c r="S56" s="204"/>
      <c r="T56" s="201">
        <v>49</v>
      </c>
      <c r="U56" s="201">
        <f t="shared" si="1"/>
        <v>6125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>
        <v>25</v>
      </c>
      <c r="P57" s="204"/>
      <c r="Q57" s="204">
        <v>25</v>
      </c>
      <c r="R57" s="204"/>
      <c r="S57" s="204"/>
      <c r="T57" s="201">
        <v>185</v>
      </c>
      <c r="U57" s="201">
        <f t="shared" si="1"/>
        <v>9250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>
        <v>45636</v>
      </c>
      <c r="M58" s="204">
        <v>50</v>
      </c>
      <c r="N58" s="204"/>
      <c r="O58" s="204"/>
      <c r="P58" s="204"/>
      <c r="Q58" s="204"/>
      <c r="R58" s="204"/>
      <c r="S58" s="204"/>
      <c r="T58" s="201">
        <v>49</v>
      </c>
      <c r="U58" s="201">
        <f t="shared" si="1"/>
        <v>2450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>
        <v>50</v>
      </c>
      <c r="P59" s="204"/>
      <c r="Q59" s="204">
        <v>25</v>
      </c>
      <c r="R59" s="204"/>
      <c r="S59" s="204"/>
      <c r="T59" s="201">
        <v>185</v>
      </c>
      <c r="U59" s="201">
        <f t="shared" si="1"/>
        <v>13875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>
        <v>45637</v>
      </c>
      <c r="M60" s="204">
        <v>75</v>
      </c>
      <c r="N60" s="204"/>
      <c r="O60" s="204"/>
      <c r="P60" s="204"/>
      <c r="Q60" s="204"/>
      <c r="R60" s="204"/>
      <c r="S60" s="204"/>
      <c r="T60" s="201">
        <v>49</v>
      </c>
      <c r="U60" s="201">
        <f t="shared" si="1"/>
        <v>3675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>
        <v>50</v>
      </c>
      <c r="R61" s="204"/>
      <c r="S61" s="204"/>
      <c r="T61" s="201">
        <v>185</v>
      </c>
      <c r="U61" s="201">
        <f t="shared" si="1"/>
        <v>9250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>
        <v>45638</v>
      </c>
      <c r="M62" s="204">
        <v>25</v>
      </c>
      <c r="N62" s="204"/>
      <c r="O62" s="204"/>
      <c r="P62" s="204"/>
      <c r="Q62" s="204"/>
      <c r="R62" s="204"/>
      <c r="S62" s="204"/>
      <c r="T62" s="201">
        <v>49</v>
      </c>
      <c r="U62" s="201">
        <f t="shared" si="1"/>
        <v>1225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>
        <v>50</v>
      </c>
      <c r="R63" s="204"/>
      <c r="S63" s="204"/>
      <c r="T63" s="201">
        <v>185</v>
      </c>
      <c r="U63" s="201">
        <f t="shared" si="1"/>
        <v>9250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>
        <v>45639</v>
      </c>
      <c r="M64" s="204">
        <v>50</v>
      </c>
      <c r="N64" s="204"/>
      <c r="O64" s="204"/>
      <c r="P64" s="204"/>
      <c r="Q64" s="204"/>
      <c r="R64" s="204"/>
      <c r="S64" s="204"/>
      <c r="T64" s="201">
        <v>49</v>
      </c>
      <c r="U64" s="201">
        <f t="shared" si="1"/>
        <v>2450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>
        <v>75</v>
      </c>
      <c r="P65" s="204"/>
      <c r="Q65" s="204">
        <v>75</v>
      </c>
      <c r="R65" s="204"/>
      <c r="S65" s="204"/>
      <c r="T65" s="201">
        <v>185</v>
      </c>
      <c r="U65" s="201">
        <f t="shared" si="1"/>
        <v>27750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>
        <v>45642</v>
      </c>
      <c r="M66" s="204">
        <v>25</v>
      </c>
      <c r="N66" s="204"/>
      <c r="O66" s="204"/>
      <c r="P66" s="204"/>
      <c r="Q66" s="204"/>
      <c r="R66" s="204"/>
      <c r="S66" s="204"/>
      <c r="T66" s="201">
        <v>49</v>
      </c>
      <c r="U66" s="201">
        <f t="shared" si="1"/>
        <v>1225</v>
      </c>
    </row>
    <row r="67" spans="1:21" x14ac:dyDescent="0.25">
      <c r="A67" s="206">
        <v>45645</v>
      </c>
      <c r="B67" s="204">
        <v>2000</v>
      </c>
      <c r="C67" s="204"/>
      <c r="D67" s="204"/>
      <c r="E67" s="204"/>
      <c r="F67" s="204"/>
      <c r="G67" s="204"/>
      <c r="H67" s="204"/>
      <c r="I67" s="201">
        <v>49</v>
      </c>
      <c r="J67" s="201">
        <f t="shared" si="0"/>
        <v>98000</v>
      </c>
      <c r="K67" s="202"/>
      <c r="L67" s="200"/>
      <c r="M67" s="204"/>
      <c r="N67" s="204"/>
      <c r="O67" s="204"/>
      <c r="P67" s="204"/>
      <c r="Q67" s="204">
        <v>25</v>
      </c>
      <c r="R67" s="204"/>
      <c r="S67" s="204"/>
      <c r="T67" s="201">
        <v>185</v>
      </c>
      <c r="U67" s="201">
        <f t="shared" si="1"/>
        <v>4625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31" si="3">B68*I68+C68*I68+D68*I68+E68*I68+F68*I68+G68*I68+H68*I68</f>
        <v>0</v>
      </c>
      <c r="K68" s="202"/>
      <c r="L68" s="206">
        <v>45643</v>
      </c>
      <c r="M68" s="204">
        <v>25</v>
      </c>
      <c r="N68" s="204"/>
      <c r="O68" s="204"/>
      <c r="P68" s="204"/>
      <c r="Q68" s="204"/>
      <c r="R68" s="204"/>
      <c r="S68" s="204"/>
      <c r="T68" s="201">
        <v>49</v>
      </c>
      <c r="U68" s="201">
        <f t="shared" ref="U68:U131" si="4">M68*T68+N68*T68+O68*T68+P68*T68+Q68*T68+R68*T68+S68*T68</f>
        <v>1225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>
        <v>50</v>
      </c>
      <c r="R69" s="204"/>
      <c r="S69" s="204"/>
      <c r="T69" s="201">
        <v>185</v>
      </c>
      <c r="U69" s="201">
        <f t="shared" si="4"/>
        <v>9250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>
        <v>45644</v>
      </c>
      <c r="M70" s="204">
        <v>75</v>
      </c>
      <c r="N70" s="204"/>
      <c r="O70" s="204"/>
      <c r="P70" s="204"/>
      <c r="Q70" s="204"/>
      <c r="R70" s="204"/>
      <c r="S70" s="204"/>
      <c r="T70" s="201">
        <v>49</v>
      </c>
      <c r="U70" s="201">
        <f t="shared" si="4"/>
        <v>3675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>
        <v>25</v>
      </c>
      <c r="R71" s="204"/>
      <c r="S71" s="204"/>
      <c r="T71" s="201">
        <v>185</v>
      </c>
      <c r="U71" s="201">
        <f t="shared" si="4"/>
        <v>4625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>
        <v>45645</v>
      </c>
      <c r="M72" s="204">
        <v>25</v>
      </c>
      <c r="N72" s="204"/>
      <c r="O72" s="204"/>
      <c r="P72" s="204"/>
      <c r="Q72" s="204"/>
      <c r="R72" s="204"/>
      <c r="S72" s="204"/>
      <c r="T72" s="201">
        <v>49</v>
      </c>
      <c r="U72" s="201">
        <f t="shared" si="4"/>
        <v>1225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>
        <v>25</v>
      </c>
      <c r="P73" s="204"/>
      <c r="Q73" s="204"/>
      <c r="R73" s="204"/>
      <c r="S73" s="204"/>
      <c r="T73" s="201">
        <v>185</v>
      </c>
      <c r="U73" s="201">
        <f t="shared" si="4"/>
        <v>4625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>
        <v>45649</v>
      </c>
      <c r="M74" s="204">
        <v>125</v>
      </c>
      <c r="N74" s="204"/>
      <c r="O74" s="204"/>
      <c r="P74" s="204"/>
      <c r="Q74" s="204"/>
      <c r="R74" s="204"/>
      <c r="S74" s="204"/>
      <c r="T74" s="201">
        <v>49</v>
      </c>
      <c r="U74" s="201">
        <f t="shared" si="4"/>
        <v>6125</v>
      </c>
    </row>
    <row r="75" spans="1:21" x14ac:dyDescent="0.25">
      <c r="A75" s="200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>
        <v>75</v>
      </c>
      <c r="R75" s="204"/>
      <c r="S75" s="204"/>
      <c r="T75" s="201">
        <v>185</v>
      </c>
      <c r="U75" s="201">
        <f t="shared" si="4"/>
        <v>13875</v>
      </c>
    </row>
    <row r="76" spans="1:21" x14ac:dyDescent="0.25">
      <c r="A76" s="200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8">
        <v>45650</v>
      </c>
      <c r="M76" s="204">
        <v>75</v>
      </c>
      <c r="N76" s="204"/>
      <c r="O76" s="204"/>
      <c r="P76" s="204"/>
      <c r="Q76" s="204"/>
      <c r="R76" s="204"/>
      <c r="S76" s="204"/>
      <c r="T76" s="201">
        <v>49</v>
      </c>
      <c r="U76" s="201">
        <f t="shared" si="4"/>
        <v>3675</v>
      </c>
    </row>
    <row r="77" spans="1:21" x14ac:dyDescent="0.25">
      <c r="A77" s="200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0"/>
      <c r="M77" s="204"/>
      <c r="N77" s="204"/>
      <c r="O77" s="229">
        <v>50</v>
      </c>
      <c r="P77" s="204"/>
      <c r="Q77" s="229">
        <v>100</v>
      </c>
      <c r="R77" s="204"/>
      <c r="S77" s="204"/>
      <c r="T77" s="201">
        <v>185</v>
      </c>
      <c r="U77" s="201">
        <f t="shared" si="4"/>
        <v>27750</v>
      </c>
    </row>
    <row r="78" spans="1:21" x14ac:dyDescent="0.25">
      <c r="A78" s="209" t="s">
        <v>108</v>
      </c>
      <c r="B78" s="210"/>
      <c r="C78" s="210"/>
      <c r="D78" s="210"/>
      <c r="E78" s="210"/>
      <c r="F78" s="210"/>
      <c r="G78" s="210"/>
      <c r="H78" s="210"/>
      <c r="I78" s="211"/>
      <c r="J78" s="201">
        <f t="shared" si="3"/>
        <v>0</v>
      </c>
      <c r="K78" s="211"/>
      <c r="L78" s="209" t="s">
        <v>108</v>
      </c>
      <c r="M78" s="210"/>
      <c r="N78" s="210"/>
      <c r="O78" s="210"/>
      <c r="P78" s="210"/>
      <c r="Q78" s="210"/>
      <c r="R78" s="210"/>
      <c r="S78" s="210"/>
      <c r="T78" s="211"/>
      <c r="U78" s="201">
        <f t="shared" si="4"/>
        <v>0</v>
      </c>
    </row>
    <row r="79" spans="1:21" x14ac:dyDescent="0.25">
      <c r="A79" s="200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>
        <v>45666</v>
      </c>
      <c r="M79" s="204">
        <v>100</v>
      </c>
      <c r="N79" s="204"/>
      <c r="O79" s="204"/>
      <c r="P79" s="204"/>
      <c r="Q79" s="204"/>
      <c r="R79" s="204"/>
      <c r="S79" s="204"/>
      <c r="T79" s="201">
        <v>49</v>
      </c>
      <c r="U79" s="201">
        <f t="shared" si="4"/>
        <v>4900</v>
      </c>
    </row>
    <row r="80" spans="1:21" x14ac:dyDescent="0.25">
      <c r="A80" s="200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>
        <v>25</v>
      </c>
      <c r="P80" s="204"/>
      <c r="Q80" s="204">
        <v>75</v>
      </c>
      <c r="R80" s="204"/>
      <c r="S80" s="204"/>
      <c r="T80" s="201">
        <v>185</v>
      </c>
      <c r="U80" s="201">
        <f t="shared" si="4"/>
        <v>18500</v>
      </c>
    </row>
    <row r="81" spans="1:21" x14ac:dyDescent="0.25">
      <c r="A81" s="200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>
        <v>45667</v>
      </c>
      <c r="M81" s="204">
        <v>50</v>
      </c>
      <c r="N81" s="204"/>
      <c r="O81" s="204"/>
      <c r="P81" s="204"/>
      <c r="Q81" s="204"/>
      <c r="R81" s="204"/>
      <c r="S81" s="204"/>
      <c r="T81" s="201">
        <v>49</v>
      </c>
      <c r="U81" s="201">
        <f t="shared" si="4"/>
        <v>2450</v>
      </c>
    </row>
    <row r="82" spans="1:21" x14ac:dyDescent="0.25">
      <c r="A82" s="200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>
        <v>25</v>
      </c>
      <c r="P82" s="204"/>
      <c r="Q82" s="204">
        <v>25</v>
      </c>
      <c r="R82" s="204"/>
      <c r="S82" s="204"/>
      <c r="T82" s="201">
        <v>185</v>
      </c>
      <c r="U82" s="201">
        <f t="shared" si="4"/>
        <v>9250</v>
      </c>
    </row>
    <row r="83" spans="1:21" x14ac:dyDescent="0.25">
      <c r="A83" s="200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>
        <v>45671</v>
      </c>
      <c r="M83" s="204"/>
      <c r="N83" s="204"/>
      <c r="O83" s="204">
        <v>25</v>
      </c>
      <c r="P83" s="204"/>
      <c r="Q83" s="204">
        <v>50</v>
      </c>
      <c r="R83" s="204"/>
      <c r="S83" s="204"/>
      <c r="T83" s="201">
        <v>185</v>
      </c>
      <c r="U83" s="201">
        <f t="shared" si="4"/>
        <v>13875</v>
      </c>
    </row>
    <row r="84" spans="1:21" x14ac:dyDescent="0.25">
      <c r="A84" s="200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>
        <v>50</v>
      </c>
      <c r="N84" s="204"/>
      <c r="O84" s="204"/>
      <c r="P84" s="204"/>
      <c r="Q84" s="204"/>
      <c r="R84" s="204"/>
      <c r="S84" s="204"/>
      <c r="T84" s="201">
        <v>49</v>
      </c>
      <c r="U84" s="201">
        <f t="shared" si="4"/>
        <v>2450</v>
      </c>
    </row>
    <row r="85" spans="1:21" x14ac:dyDescent="0.25">
      <c r="A85" s="200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>
        <v>45672</v>
      </c>
      <c r="M85" s="204"/>
      <c r="N85" s="204"/>
      <c r="O85" s="204">
        <v>25</v>
      </c>
      <c r="P85" s="204"/>
      <c r="Q85" s="204">
        <v>50</v>
      </c>
      <c r="R85" s="204"/>
      <c r="S85" s="204"/>
      <c r="T85" s="201">
        <v>185</v>
      </c>
      <c r="U85" s="201">
        <f t="shared" si="4"/>
        <v>13875</v>
      </c>
    </row>
    <row r="86" spans="1:21" x14ac:dyDescent="0.25">
      <c r="A86" s="200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>
        <v>50</v>
      </c>
      <c r="N86" s="204"/>
      <c r="O86" s="204"/>
      <c r="P86" s="204"/>
      <c r="Q86" s="204"/>
      <c r="R86" s="204"/>
      <c r="S86" s="204"/>
      <c r="T86" s="201">
        <v>49</v>
      </c>
      <c r="U86" s="201">
        <f t="shared" si="4"/>
        <v>2450</v>
      </c>
    </row>
    <row r="87" spans="1:21" x14ac:dyDescent="0.25">
      <c r="A87" s="200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>
        <v>45673</v>
      </c>
      <c r="M87" s="204"/>
      <c r="N87" s="204"/>
      <c r="O87" s="204">
        <v>50</v>
      </c>
      <c r="P87" s="204"/>
      <c r="Q87" s="204">
        <v>75</v>
      </c>
      <c r="R87" s="204"/>
      <c r="S87" s="204"/>
      <c r="T87" s="201">
        <v>185</v>
      </c>
      <c r="U87" s="201">
        <f t="shared" si="4"/>
        <v>23125</v>
      </c>
    </row>
    <row r="88" spans="1:21" x14ac:dyDescent="0.25">
      <c r="A88" s="200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>
        <v>75</v>
      </c>
      <c r="N88" s="204"/>
      <c r="O88" s="204"/>
      <c r="P88" s="204"/>
      <c r="Q88" s="204"/>
      <c r="R88" s="204"/>
      <c r="S88" s="204"/>
      <c r="T88" s="201">
        <v>49</v>
      </c>
      <c r="U88" s="201">
        <f t="shared" si="4"/>
        <v>3675</v>
      </c>
    </row>
    <row r="89" spans="1:21" x14ac:dyDescent="0.25">
      <c r="A89" s="206">
        <v>45677</v>
      </c>
      <c r="B89" s="204"/>
      <c r="C89" s="204"/>
      <c r="D89" s="204"/>
      <c r="E89" s="204"/>
      <c r="F89" s="204">
        <v>2000</v>
      </c>
      <c r="G89" s="204"/>
      <c r="H89" s="204"/>
      <c r="I89" s="201">
        <v>185</v>
      </c>
      <c r="J89" s="201">
        <f t="shared" si="3"/>
        <v>370000</v>
      </c>
      <c r="K89" s="202"/>
      <c r="L89" s="206">
        <v>45678</v>
      </c>
      <c r="M89" s="204">
        <v>25</v>
      </c>
      <c r="N89" s="204"/>
      <c r="O89" s="204"/>
      <c r="P89" s="204"/>
      <c r="Q89" s="204"/>
      <c r="R89" s="204"/>
      <c r="S89" s="204"/>
      <c r="T89" s="201">
        <v>49</v>
      </c>
      <c r="U89" s="201">
        <f t="shared" si="4"/>
        <v>1225</v>
      </c>
    </row>
    <row r="90" spans="1:21" x14ac:dyDescent="0.25">
      <c r="A90" s="206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>
        <v>45680</v>
      </c>
      <c r="M90" s="204"/>
      <c r="N90" s="204"/>
      <c r="O90" s="204">
        <v>25</v>
      </c>
      <c r="P90" s="204"/>
      <c r="Q90" s="204">
        <v>25</v>
      </c>
      <c r="R90" s="204"/>
      <c r="S90" s="204"/>
      <c r="T90" s="201">
        <v>185</v>
      </c>
      <c r="U90" s="201">
        <f t="shared" si="4"/>
        <v>9250</v>
      </c>
    </row>
    <row r="91" spans="1:21" x14ac:dyDescent="0.25">
      <c r="A91" s="206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0"/>
      <c r="M91" s="204">
        <v>25</v>
      </c>
      <c r="N91" s="204"/>
      <c r="O91" s="204"/>
      <c r="P91" s="204"/>
      <c r="Q91" s="204"/>
      <c r="R91" s="204"/>
      <c r="S91" s="204"/>
      <c r="T91" s="201">
        <v>49</v>
      </c>
      <c r="U91" s="201">
        <f t="shared" si="4"/>
        <v>1225</v>
      </c>
    </row>
    <row r="92" spans="1:21" x14ac:dyDescent="0.25">
      <c r="A92" s="206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>
        <v>45681</v>
      </c>
      <c r="M92" s="204">
        <v>25</v>
      </c>
      <c r="N92" s="204"/>
      <c r="O92" s="204"/>
      <c r="P92" s="204"/>
      <c r="Q92" s="204"/>
      <c r="R92" s="204"/>
      <c r="S92" s="204"/>
      <c r="T92" s="201">
        <v>49</v>
      </c>
      <c r="U92" s="201">
        <f t="shared" si="4"/>
        <v>1225</v>
      </c>
    </row>
    <row r="93" spans="1:21" x14ac:dyDescent="0.25">
      <c r="A93" s="206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>
        <v>45684</v>
      </c>
      <c r="M93" s="204"/>
      <c r="N93" s="204"/>
      <c r="O93" s="204">
        <v>50</v>
      </c>
      <c r="P93" s="204"/>
      <c r="Q93" s="204">
        <v>100</v>
      </c>
      <c r="R93" s="204"/>
      <c r="S93" s="204"/>
      <c r="T93" s="201">
        <v>185</v>
      </c>
      <c r="U93" s="201">
        <f t="shared" si="4"/>
        <v>27750</v>
      </c>
    </row>
    <row r="94" spans="1:21" x14ac:dyDescent="0.25">
      <c r="A94" s="206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0"/>
      <c r="M94" s="204">
        <v>100</v>
      </c>
      <c r="N94" s="204"/>
      <c r="O94" s="204"/>
      <c r="P94" s="204"/>
      <c r="Q94" s="204"/>
      <c r="R94" s="204"/>
      <c r="S94" s="204"/>
      <c r="T94" s="201">
        <v>49</v>
      </c>
      <c r="U94" s="201">
        <f t="shared" si="4"/>
        <v>4900</v>
      </c>
    </row>
    <row r="95" spans="1:21" x14ac:dyDescent="0.25">
      <c r="A95" s="206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>
        <v>45685</v>
      </c>
      <c r="M95" s="204"/>
      <c r="N95" s="204"/>
      <c r="O95" s="204">
        <v>25</v>
      </c>
      <c r="P95" s="204"/>
      <c r="Q95" s="204">
        <v>50</v>
      </c>
      <c r="R95" s="204"/>
      <c r="S95" s="204"/>
      <c r="T95" s="201">
        <v>185</v>
      </c>
      <c r="U95" s="201">
        <f t="shared" si="4"/>
        <v>13875</v>
      </c>
    </row>
    <row r="96" spans="1:21" x14ac:dyDescent="0.25">
      <c r="A96" s="206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0"/>
      <c r="M96" s="204">
        <v>75</v>
      </c>
      <c r="N96" s="204"/>
      <c r="O96" s="204"/>
      <c r="P96" s="204"/>
      <c r="Q96" s="204"/>
      <c r="R96" s="204"/>
      <c r="S96" s="204"/>
      <c r="T96" s="201">
        <v>49</v>
      </c>
      <c r="U96" s="201">
        <f t="shared" si="4"/>
        <v>3675</v>
      </c>
    </row>
    <row r="97" spans="1:21" x14ac:dyDescent="0.25">
      <c r="A97" s="206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>
        <v>45686</v>
      </c>
      <c r="M97" s="204"/>
      <c r="N97" s="204"/>
      <c r="O97" s="204">
        <v>25</v>
      </c>
      <c r="P97" s="204"/>
      <c r="Q97" s="204">
        <v>75</v>
      </c>
      <c r="R97" s="204"/>
      <c r="S97" s="204"/>
      <c r="T97" s="201">
        <v>185</v>
      </c>
      <c r="U97" s="201">
        <f t="shared" si="4"/>
        <v>18500</v>
      </c>
    </row>
    <row r="98" spans="1:21" x14ac:dyDescent="0.25">
      <c r="A98" s="206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0"/>
      <c r="M98" s="204">
        <v>75</v>
      </c>
      <c r="N98" s="204"/>
      <c r="O98" s="204"/>
      <c r="P98" s="204"/>
      <c r="Q98" s="204"/>
      <c r="R98" s="204"/>
      <c r="S98" s="204"/>
      <c r="T98" s="201">
        <v>49</v>
      </c>
      <c r="U98" s="201">
        <f t="shared" si="4"/>
        <v>3675</v>
      </c>
    </row>
    <row r="99" spans="1:21" x14ac:dyDescent="0.25">
      <c r="A99" s="206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>
        <v>45687</v>
      </c>
      <c r="M99" s="204"/>
      <c r="N99" s="204"/>
      <c r="O99" s="204">
        <v>50</v>
      </c>
      <c r="P99" s="204"/>
      <c r="Q99" s="204">
        <v>25</v>
      </c>
      <c r="R99" s="204"/>
      <c r="S99" s="204"/>
      <c r="T99" s="201">
        <v>185</v>
      </c>
      <c r="U99" s="201">
        <f t="shared" si="4"/>
        <v>13875</v>
      </c>
    </row>
    <row r="100" spans="1:21" x14ac:dyDescent="0.25">
      <c r="A100" s="206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0"/>
      <c r="M100" s="204">
        <v>100</v>
      </c>
      <c r="N100" s="204"/>
      <c r="O100" s="204"/>
      <c r="P100" s="204"/>
      <c r="Q100" s="204"/>
      <c r="R100" s="204"/>
      <c r="S100" s="204"/>
      <c r="T100" s="201">
        <v>49</v>
      </c>
      <c r="U100" s="201">
        <f t="shared" si="4"/>
        <v>4900</v>
      </c>
    </row>
    <row r="101" spans="1:21" x14ac:dyDescent="0.25">
      <c r="A101" s="206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>
        <v>45688</v>
      </c>
      <c r="M101" s="204"/>
      <c r="N101" s="204"/>
      <c r="O101" s="204"/>
      <c r="P101" s="204"/>
      <c r="Q101" s="204">
        <v>25</v>
      </c>
      <c r="R101" s="204"/>
      <c r="S101" s="204"/>
      <c r="T101" s="201">
        <v>185</v>
      </c>
      <c r="U101" s="201">
        <f t="shared" si="4"/>
        <v>4625</v>
      </c>
    </row>
    <row r="102" spans="1:21" x14ac:dyDescent="0.25">
      <c r="A102" s="206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0"/>
      <c r="M102" s="204">
        <v>50</v>
      </c>
      <c r="N102" s="204"/>
      <c r="O102" s="204"/>
      <c r="P102" s="204"/>
      <c r="Q102" s="204"/>
      <c r="R102" s="204"/>
      <c r="S102" s="204"/>
      <c r="T102" s="201">
        <v>49</v>
      </c>
      <c r="U102" s="201">
        <f t="shared" si="4"/>
        <v>2450</v>
      </c>
    </row>
    <row r="103" spans="1:21" x14ac:dyDescent="0.25">
      <c r="A103" s="206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12">
        <v>45691</v>
      </c>
      <c r="M103" s="210"/>
      <c r="N103" s="210"/>
      <c r="O103" s="210">
        <v>50</v>
      </c>
      <c r="P103" s="210"/>
      <c r="Q103" s="210">
        <v>75</v>
      </c>
      <c r="R103" s="210"/>
      <c r="S103" s="210"/>
      <c r="T103" s="211">
        <v>185</v>
      </c>
      <c r="U103" s="201">
        <f t="shared" si="4"/>
        <v>23125</v>
      </c>
    </row>
    <row r="104" spans="1:21" x14ac:dyDescent="0.25">
      <c r="A104" s="206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0"/>
      <c r="M104" s="204">
        <v>125</v>
      </c>
      <c r="N104" s="204"/>
      <c r="O104" s="204"/>
      <c r="P104" s="204"/>
      <c r="Q104" s="204"/>
      <c r="R104" s="204"/>
      <c r="S104" s="204"/>
      <c r="T104" s="201">
        <v>49</v>
      </c>
      <c r="U104" s="201">
        <f t="shared" si="4"/>
        <v>6125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>
        <v>45692</v>
      </c>
      <c r="M105" s="204"/>
      <c r="N105" s="204"/>
      <c r="O105" s="204">
        <v>50</v>
      </c>
      <c r="P105" s="204"/>
      <c r="Q105" s="204">
        <v>100</v>
      </c>
      <c r="R105" s="204"/>
      <c r="S105" s="204"/>
      <c r="T105" s="201">
        <v>185</v>
      </c>
      <c r="U105" s="201">
        <f t="shared" si="4"/>
        <v>27750</v>
      </c>
    </row>
    <row r="106" spans="1:21" x14ac:dyDescent="0.25">
      <c r="A106" s="200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>
        <v>150</v>
      </c>
      <c r="N106" s="204"/>
      <c r="O106" s="204"/>
      <c r="P106" s="204"/>
      <c r="Q106" s="204"/>
      <c r="R106" s="204"/>
      <c r="S106" s="204"/>
      <c r="T106" s="201">
        <v>49</v>
      </c>
      <c r="U106" s="201">
        <f t="shared" si="4"/>
        <v>7350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>
        <v>75</v>
      </c>
      <c r="R107" s="204"/>
      <c r="S107" s="204"/>
      <c r="T107" s="201">
        <v>185</v>
      </c>
      <c r="U107" s="201">
        <f t="shared" si="4"/>
        <v>13875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>
        <v>45694</v>
      </c>
      <c r="M108" s="204">
        <v>125</v>
      </c>
      <c r="N108" s="204"/>
      <c r="O108" s="204"/>
      <c r="P108" s="204"/>
      <c r="Q108" s="204"/>
      <c r="R108" s="204"/>
      <c r="S108" s="204"/>
      <c r="T108" s="201">
        <v>49</v>
      </c>
      <c r="U108" s="201">
        <f t="shared" si="4"/>
        <v>6125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>
        <v>25</v>
      </c>
      <c r="P109" s="204"/>
      <c r="Q109" s="204">
        <v>75</v>
      </c>
      <c r="R109" s="204"/>
      <c r="S109" s="204"/>
      <c r="T109" s="201">
        <v>185</v>
      </c>
      <c r="U109" s="201">
        <f t="shared" si="4"/>
        <v>18500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>
        <v>45698</v>
      </c>
      <c r="M110" s="204"/>
      <c r="N110" s="204"/>
      <c r="O110" s="204">
        <v>25</v>
      </c>
      <c r="P110" s="204"/>
      <c r="Q110" s="204">
        <v>50</v>
      </c>
      <c r="R110" s="204"/>
      <c r="S110" s="204"/>
      <c r="T110" s="201">
        <v>185</v>
      </c>
      <c r="U110" s="201">
        <f t="shared" si="4"/>
        <v>13875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>
        <v>25</v>
      </c>
      <c r="N111" s="204"/>
      <c r="O111" s="204"/>
      <c r="P111" s="204"/>
      <c r="Q111" s="204"/>
      <c r="R111" s="204"/>
      <c r="S111" s="204"/>
      <c r="T111" s="201">
        <v>49</v>
      </c>
      <c r="U111" s="201">
        <f t="shared" si="4"/>
        <v>1225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>
        <v>45699</v>
      </c>
      <c r="M112" s="204"/>
      <c r="N112" s="204"/>
      <c r="O112" s="204">
        <v>50</v>
      </c>
      <c r="P112" s="204"/>
      <c r="Q112" s="204">
        <v>125</v>
      </c>
      <c r="R112" s="204"/>
      <c r="S112" s="204"/>
      <c r="T112" s="201">
        <v>185</v>
      </c>
      <c r="U112" s="201">
        <f t="shared" si="4"/>
        <v>32375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>
        <v>100</v>
      </c>
      <c r="N113" s="204"/>
      <c r="O113" s="204"/>
      <c r="P113" s="204"/>
      <c r="Q113" s="204"/>
      <c r="R113" s="204"/>
      <c r="S113" s="204"/>
      <c r="T113" s="201">
        <v>49</v>
      </c>
      <c r="U113" s="201">
        <f t="shared" si="4"/>
        <v>4900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>
        <v>45700</v>
      </c>
      <c r="M114" s="204"/>
      <c r="N114" s="204"/>
      <c r="O114" s="204">
        <v>25</v>
      </c>
      <c r="P114" s="204"/>
      <c r="Q114" s="204">
        <v>75</v>
      </c>
      <c r="R114" s="204"/>
      <c r="S114" s="204"/>
      <c r="T114" s="201">
        <v>185</v>
      </c>
      <c r="U114" s="201">
        <f t="shared" si="4"/>
        <v>18500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>
        <v>100</v>
      </c>
      <c r="N115" s="204"/>
      <c r="O115" s="204"/>
      <c r="P115" s="204"/>
      <c r="Q115" s="204"/>
      <c r="R115" s="204"/>
      <c r="S115" s="204"/>
      <c r="T115" s="201">
        <v>49</v>
      </c>
      <c r="U115" s="201">
        <f t="shared" si="4"/>
        <v>4900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si="3"/>
        <v>0</v>
      </c>
      <c r="K116" s="202"/>
      <c r="L116" s="206">
        <v>45701</v>
      </c>
      <c r="M116" s="204"/>
      <c r="N116" s="204"/>
      <c r="O116" s="204">
        <v>25</v>
      </c>
      <c r="P116" s="204"/>
      <c r="Q116" s="204">
        <v>50</v>
      </c>
      <c r="R116" s="204"/>
      <c r="S116" s="204"/>
      <c r="T116" s="201">
        <v>185</v>
      </c>
      <c r="U116" s="201">
        <f t="shared" si="4"/>
        <v>13875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3"/>
        <v>0</v>
      </c>
      <c r="K117" s="202"/>
      <c r="L117" s="206"/>
      <c r="M117" s="204">
        <v>50</v>
      </c>
      <c r="N117" s="204"/>
      <c r="O117" s="204"/>
      <c r="P117" s="204"/>
      <c r="Q117" s="204"/>
      <c r="R117" s="204"/>
      <c r="S117" s="204"/>
      <c r="T117" s="201">
        <v>49</v>
      </c>
      <c r="U117" s="201">
        <f t="shared" si="4"/>
        <v>2450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3"/>
        <v>0</v>
      </c>
      <c r="K118" s="202"/>
      <c r="L118" s="206">
        <v>45702</v>
      </c>
      <c r="M118" s="204"/>
      <c r="N118" s="204"/>
      <c r="O118" s="204">
        <v>25</v>
      </c>
      <c r="P118" s="204"/>
      <c r="Q118" s="204">
        <v>50</v>
      </c>
      <c r="R118" s="204"/>
      <c r="S118" s="204"/>
      <c r="T118" s="201">
        <v>185</v>
      </c>
      <c r="U118" s="201">
        <f t="shared" si="4"/>
        <v>13875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3"/>
        <v>0</v>
      </c>
      <c r="K119" s="202"/>
      <c r="L119" s="206"/>
      <c r="M119" s="204">
        <v>50</v>
      </c>
      <c r="N119" s="204"/>
      <c r="O119" s="204"/>
      <c r="P119" s="204"/>
      <c r="Q119" s="204"/>
      <c r="R119" s="204"/>
      <c r="S119" s="204"/>
      <c r="T119" s="201">
        <v>49</v>
      </c>
      <c r="U119" s="201">
        <f t="shared" si="4"/>
        <v>2450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3"/>
        <v>0</v>
      </c>
      <c r="K120" s="202"/>
      <c r="L120" s="206">
        <v>45705</v>
      </c>
      <c r="M120" s="204"/>
      <c r="N120" s="204"/>
      <c r="O120" s="204">
        <v>25</v>
      </c>
      <c r="P120" s="204"/>
      <c r="Q120" s="204">
        <v>50</v>
      </c>
      <c r="R120" s="204"/>
      <c r="S120" s="204"/>
      <c r="T120" s="201">
        <v>185</v>
      </c>
      <c r="U120" s="201">
        <f t="shared" si="4"/>
        <v>13875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3"/>
        <v>0</v>
      </c>
      <c r="K121" s="202"/>
      <c r="L121" s="206"/>
      <c r="M121" s="204">
        <v>50</v>
      </c>
      <c r="N121" s="204"/>
      <c r="O121" s="204"/>
      <c r="P121" s="204"/>
      <c r="Q121" s="204"/>
      <c r="R121" s="204"/>
      <c r="S121" s="204"/>
      <c r="T121" s="201">
        <v>49</v>
      </c>
      <c r="U121" s="201">
        <f t="shared" si="4"/>
        <v>2450</v>
      </c>
    </row>
    <row r="122" spans="1:21" x14ac:dyDescent="0.25">
      <c r="A122" s="206">
        <v>45706</v>
      </c>
      <c r="B122" s="204"/>
      <c r="C122" s="204">
        <v>3000</v>
      </c>
      <c r="D122" s="204"/>
      <c r="E122" s="204"/>
      <c r="F122" s="204"/>
      <c r="G122" s="204"/>
      <c r="H122" s="204"/>
      <c r="I122" s="201">
        <v>48</v>
      </c>
      <c r="J122" s="201">
        <f t="shared" si="3"/>
        <v>144000</v>
      </c>
      <c r="K122" s="202"/>
      <c r="L122" s="206">
        <v>45706</v>
      </c>
      <c r="M122" s="204"/>
      <c r="N122" s="204">
        <v>25</v>
      </c>
      <c r="O122" s="204"/>
      <c r="P122" s="204"/>
      <c r="Q122" s="204"/>
      <c r="R122" s="204"/>
      <c r="S122" s="204"/>
      <c r="T122" s="201">
        <v>48</v>
      </c>
      <c r="U122" s="201">
        <f t="shared" si="4"/>
        <v>1200</v>
      </c>
    </row>
    <row r="123" spans="1:21" x14ac:dyDescent="0.25">
      <c r="A123" s="200"/>
      <c r="B123" s="204"/>
      <c r="C123" s="204"/>
      <c r="D123" s="204"/>
      <c r="E123" s="204">
        <v>1000</v>
      </c>
      <c r="F123" s="204"/>
      <c r="G123" s="204">
        <v>1000</v>
      </c>
      <c r="H123" s="204"/>
      <c r="I123" s="201">
        <v>183</v>
      </c>
      <c r="J123" s="201">
        <f t="shared" si="3"/>
        <v>366000</v>
      </c>
      <c r="K123" s="202"/>
      <c r="L123" s="206"/>
      <c r="M123" s="204"/>
      <c r="N123" s="204"/>
      <c r="O123" s="204"/>
      <c r="P123" s="204">
        <v>25</v>
      </c>
      <c r="Q123" s="204"/>
      <c r="R123" s="204">
        <v>25</v>
      </c>
      <c r="S123" s="204"/>
      <c r="T123" s="201">
        <v>183</v>
      </c>
      <c r="U123" s="201">
        <f t="shared" si="4"/>
        <v>9150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3"/>
        <v>0</v>
      </c>
      <c r="K124" s="202"/>
      <c r="L124" s="206"/>
      <c r="M124" s="204"/>
      <c r="N124" s="204"/>
      <c r="O124" s="204">
        <v>50</v>
      </c>
      <c r="P124" s="204"/>
      <c r="Q124" s="204">
        <v>100</v>
      </c>
      <c r="R124" s="204"/>
      <c r="S124" s="204"/>
      <c r="T124" s="201">
        <v>185</v>
      </c>
      <c r="U124" s="201">
        <f t="shared" si="4"/>
        <v>27750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3"/>
        <v>0</v>
      </c>
      <c r="K125" s="202"/>
      <c r="L125" s="206"/>
      <c r="M125" s="204">
        <v>125</v>
      </c>
      <c r="N125" s="204"/>
      <c r="O125" s="204"/>
      <c r="P125" s="204"/>
      <c r="Q125" s="204"/>
      <c r="R125" s="204"/>
      <c r="S125" s="204"/>
      <c r="T125" s="201">
        <v>49</v>
      </c>
      <c r="U125" s="201">
        <f t="shared" si="4"/>
        <v>6125</v>
      </c>
    </row>
    <row r="126" spans="1:21" x14ac:dyDescent="0.25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3"/>
        <v>0</v>
      </c>
      <c r="K126" s="202"/>
      <c r="L126" s="206">
        <v>45707</v>
      </c>
      <c r="M126" s="204"/>
      <c r="N126" s="204"/>
      <c r="O126" s="204">
        <v>25</v>
      </c>
      <c r="P126" s="204"/>
      <c r="Q126" s="204">
        <v>50</v>
      </c>
      <c r="R126" s="204"/>
      <c r="S126" s="204"/>
      <c r="T126" s="201">
        <v>185</v>
      </c>
      <c r="U126" s="201">
        <f t="shared" si="4"/>
        <v>13875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3"/>
        <v>0</v>
      </c>
      <c r="K127" s="202"/>
      <c r="L127" s="206"/>
      <c r="M127" s="204">
        <v>75</v>
      </c>
      <c r="N127" s="204"/>
      <c r="O127" s="204"/>
      <c r="P127" s="204"/>
      <c r="Q127" s="204"/>
      <c r="R127" s="204"/>
      <c r="S127" s="204"/>
      <c r="T127" s="201">
        <v>49</v>
      </c>
      <c r="U127" s="201">
        <f t="shared" si="4"/>
        <v>3675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3"/>
        <v>0</v>
      </c>
      <c r="K128" s="202"/>
      <c r="L128" s="206">
        <v>45708</v>
      </c>
      <c r="M128" s="204"/>
      <c r="N128" s="204"/>
      <c r="O128" s="204">
        <v>25</v>
      </c>
      <c r="P128" s="204"/>
      <c r="Q128" s="204">
        <v>50</v>
      </c>
      <c r="R128" s="204"/>
      <c r="S128" s="204"/>
      <c r="T128" s="201">
        <v>185</v>
      </c>
      <c r="U128" s="201">
        <f t="shared" si="4"/>
        <v>13875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3"/>
        <v>0</v>
      </c>
      <c r="K129" s="202"/>
      <c r="L129" s="206">
        <v>45709</v>
      </c>
      <c r="M129" s="204"/>
      <c r="N129" s="204"/>
      <c r="O129" s="204">
        <v>25</v>
      </c>
      <c r="P129" s="204"/>
      <c r="Q129" s="204">
        <v>75</v>
      </c>
      <c r="R129" s="204"/>
      <c r="S129" s="204"/>
      <c r="T129" s="201">
        <v>185</v>
      </c>
      <c r="U129" s="201">
        <f t="shared" si="4"/>
        <v>18500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3"/>
        <v>0</v>
      </c>
      <c r="K130" s="202"/>
      <c r="L130" s="206"/>
      <c r="M130" s="204">
        <v>125</v>
      </c>
      <c r="N130" s="204"/>
      <c r="O130" s="204"/>
      <c r="P130" s="204"/>
      <c r="Q130" s="204"/>
      <c r="R130" s="204"/>
      <c r="S130" s="204"/>
      <c r="T130" s="201">
        <v>49</v>
      </c>
      <c r="U130" s="201">
        <f t="shared" si="4"/>
        <v>6125</v>
      </c>
    </row>
    <row r="131" spans="1:21" x14ac:dyDescent="0.25">
      <c r="A131" s="200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3"/>
        <v>0</v>
      </c>
      <c r="K131" s="202"/>
      <c r="L131" s="206">
        <v>45712</v>
      </c>
      <c r="M131" s="204"/>
      <c r="N131" s="204"/>
      <c r="O131" s="204">
        <v>50</v>
      </c>
      <c r="P131" s="204"/>
      <c r="Q131" s="204"/>
      <c r="R131" s="204">
        <v>100</v>
      </c>
      <c r="S131" s="204"/>
      <c r="T131" s="201">
        <v>185</v>
      </c>
      <c r="U131" s="201">
        <f t="shared" si="4"/>
        <v>27750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ref="J132:J220" si="5">B132*I132+C132*I132+D132*I132+E132*I132+F132*I132+G132*I132+H132*I132</f>
        <v>0</v>
      </c>
      <c r="K132" s="202"/>
      <c r="L132" s="206"/>
      <c r="M132" s="204">
        <v>150</v>
      </c>
      <c r="N132" s="204"/>
      <c r="O132" s="204"/>
      <c r="P132" s="204"/>
      <c r="Q132" s="204"/>
      <c r="R132" s="204"/>
      <c r="S132" s="204"/>
      <c r="T132" s="201">
        <v>49</v>
      </c>
      <c r="U132" s="201">
        <f t="shared" ref="U132:U220" si="6">M132*T132+N132*T132+O132*T132+P132*T132+Q132*T132+R132*T132+S132*T132</f>
        <v>7350</v>
      </c>
    </row>
    <row r="133" spans="1:21" x14ac:dyDescent="0.25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02"/>
      <c r="L133" s="206">
        <v>45713</v>
      </c>
      <c r="M133" s="204"/>
      <c r="N133" s="204">
        <v>150</v>
      </c>
      <c r="O133" s="204"/>
      <c r="P133" s="204"/>
      <c r="Q133" s="204"/>
      <c r="R133" s="204"/>
      <c r="S133" s="204"/>
      <c r="T133" s="201">
        <v>48</v>
      </c>
      <c r="U133" s="201">
        <f t="shared" si="6"/>
        <v>7200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02"/>
      <c r="L134" s="206"/>
      <c r="M134" s="204"/>
      <c r="N134" s="204"/>
      <c r="O134" s="204">
        <v>50</v>
      </c>
      <c r="P134" s="204"/>
      <c r="Q134" s="204">
        <v>125</v>
      </c>
      <c r="R134" s="204"/>
      <c r="S134" s="204"/>
      <c r="T134" s="201">
        <v>185</v>
      </c>
      <c r="U134" s="201">
        <f t="shared" si="6"/>
        <v>32375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02"/>
      <c r="L135" s="206"/>
      <c r="M135" s="204">
        <v>75</v>
      </c>
      <c r="N135" s="204"/>
      <c r="O135" s="204"/>
      <c r="P135" s="204"/>
      <c r="Q135" s="204"/>
      <c r="R135" s="204"/>
      <c r="S135" s="204"/>
      <c r="T135" s="201">
        <v>49</v>
      </c>
      <c r="U135" s="201">
        <f t="shared" si="6"/>
        <v>3675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02"/>
      <c r="L136" s="206">
        <v>45714</v>
      </c>
      <c r="M136" s="204"/>
      <c r="N136" s="204">
        <v>50</v>
      </c>
      <c r="O136" s="204"/>
      <c r="P136" s="204"/>
      <c r="Q136" s="204"/>
      <c r="R136" s="204"/>
      <c r="S136" s="204"/>
      <c r="T136" s="201">
        <v>48</v>
      </c>
      <c r="U136" s="201">
        <f t="shared" si="6"/>
        <v>2400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02"/>
      <c r="L137" s="200"/>
      <c r="M137" s="204"/>
      <c r="N137" s="204"/>
      <c r="O137" s="204">
        <v>50</v>
      </c>
      <c r="P137" s="204"/>
      <c r="Q137" s="204">
        <v>125</v>
      </c>
      <c r="R137" s="204"/>
      <c r="S137" s="204"/>
      <c r="T137" s="201">
        <v>185</v>
      </c>
      <c r="U137" s="201">
        <f t="shared" si="6"/>
        <v>32375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02"/>
      <c r="L138" s="206">
        <v>45715</v>
      </c>
      <c r="M138" s="204"/>
      <c r="N138" s="204">
        <v>125</v>
      </c>
      <c r="O138" s="204"/>
      <c r="P138" s="204"/>
      <c r="Q138" s="204"/>
      <c r="R138" s="204"/>
      <c r="S138" s="204"/>
      <c r="T138" s="201">
        <v>48</v>
      </c>
      <c r="U138" s="201">
        <f t="shared" si="6"/>
        <v>6000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02"/>
      <c r="L139" s="200"/>
      <c r="M139" s="204"/>
      <c r="N139" s="204"/>
      <c r="O139" s="204">
        <v>50</v>
      </c>
      <c r="P139" s="204"/>
      <c r="Q139" s="204">
        <v>75</v>
      </c>
      <c r="R139" s="204"/>
      <c r="S139" s="204"/>
      <c r="T139" s="201">
        <v>185</v>
      </c>
      <c r="U139" s="201">
        <f t="shared" si="6"/>
        <v>23125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02"/>
      <c r="L140" s="206">
        <v>45716</v>
      </c>
      <c r="M140" s="204"/>
      <c r="N140" s="204">
        <v>200</v>
      </c>
      <c r="O140" s="204"/>
      <c r="P140" s="204"/>
      <c r="Q140" s="204"/>
      <c r="R140" s="204"/>
      <c r="S140" s="204"/>
      <c r="T140" s="201">
        <v>48</v>
      </c>
      <c r="U140" s="201">
        <f t="shared" si="6"/>
        <v>9600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02"/>
      <c r="L141" s="200"/>
      <c r="M141" s="204"/>
      <c r="N141" s="204"/>
      <c r="O141" s="204">
        <v>125</v>
      </c>
      <c r="P141" s="204"/>
      <c r="Q141" s="204">
        <v>200</v>
      </c>
      <c r="R141" s="204"/>
      <c r="S141" s="204"/>
      <c r="T141" s="201">
        <v>185</v>
      </c>
      <c r="U141" s="201">
        <f t="shared" si="6"/>
        <v>60125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02"/>
      <c r="L142" s="259" t="s">
        <v>135</v>
      </c>
      <c r="M142" s="260"/>
      <c r="N142" s="260"/>
      <c r="O142" s="260"/>
      <c r="P142" s="260"/>
      <c r="Q142" s="260"/>
      <c r="R142" s="260"/>
      <c r="S142" s="260"/>
      <c r="T142" s="261"/>
      <c r="U142" s="261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45719</v>
      </c>
      <c r="M143" s="265"/>
      <c r="N143" s="265"/>
      <c r="O143" s="265">
        <v>125</v>
      </c>
      <c r="P143" s="265"/>
      <c r="Q143" s="265">
        <v>25</v>
      </c>
      <c r="R143" s="265"/>
      <c r="S143" s="265"/>
      <c r="T143" s="266">
        <v>185</v>
      </c>
      <c r="U143" s="267">
        <f t="shared" si="6"/>
        <v>27750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68">
        <v>45720</v>
      </c>
      <c r="M144" s="228">
        <v>0</v>
      </c>
      <c r="N144" s="204">
        <v>200</v>
      </c>
      <c r="O144" s="204"/>
      <c r="P144" s="204"/>
      <c r="Q144" s="204"/>
      <c r="R144" s="204"/>
      <c r="S144" s="204"/>
      <c r="T144" s="201">
        <v>48</v>
      </c>
      <c r="U144" s="269">
        <f t="shared" si="6"/>
        <v>9600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>
        <v>25</v>
      </c>
      <c r="P145" s="204"/>
      <c r="Q145" s="204">
        <v>100</v>
      </c>
      <c r="R145" s="204"/>
      <c r="S145" s="204"/>
      <c r="T145" s="201">
        <v>185</v>
      </c>
      <c r="U145" s="269">
        <f t="shared" si="6"/>
        <v>23125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45721</v>
      </c>
      <c r="M146" s="204"/>
      <c r="N146" s="204"/>
      <c r="O146" s="204">
        <v>50</v>
      </c>
      <c r="P146" s="204"/>
      <c r="Q146" s="204">
        <v>50</v>
      </c>
      <c r="R146" s="204"/>
      <c r="S146" s="204"/>
      <c r="T146" s="201">
        <v>185</v>
      </c>
      <c r="U146" s="269">
        <f t="shared" si="6"/>
        <v>18500</v>
      </c>
    </row>
    <row r="147" spans="1:21" x14ac:dyDescent="0.25">
      <c r="A147" s="206">
        <v>45723</v>
      </c>
      <c r="B147" s="204"/>
      <c r="C147" s="204"/>
      <c r="D147" s="204"/>
      <c r="E147" s="204"/>
      <c r="F147" s="204"/>
      <c r="G147" s="204">
        <v>2000</v>
      </c>
      <c r="H147" s="204"/>
      <c r="I147" s="201">
        <v>183</v>
      </c>
      <c r="J147" s="201">
        <f t="shared" si="5"/>
        <v>366000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>
        <v>1000</v>
      </c>
      <c r="C148" s="204"/>
      <c r="D148" s="204"/>
      <c r="E148" s="204"/>
      <c r="F148" s="204"/>
      <c r="G148" s="204"/>
      <c r="H148" s="204"/>
      <c r="I148" s="201">
        <v>47</v>
      </c>
      <c r="J148" s="201">
        <f t="shared" si="5"/>
        <v>47000</v>
      </c>
      <c r="K148" s="258"/>
      <c r="L148" s="270"/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ht="15.75" thickBot="1" x14ac:dyDescent="0.3">
      <c r="A149" s="200"/>
      <c r="B149" s="204"/>
      <c r="C149" s="204"/>
      <c r="D149" s="204"/>
      <c r="E149" s="204"/>
      <c r="F149" s="204"/>
      <c r="G149" s="204"/>
      <c r="H149" s="204">
        <v>180</v>
      </c>
      <c r="I149" s="201">
        <v>37</v>
      </c>
      <c r="J149" s="201">
        <f t="shared" si="5"/>
        <v>6660</v>
      </c>
      <c r="K149" s="258"/>
      <c r="L149" s="271"/>
      <c r="M149" s="272"/>
      <c r="N149" s="272"/>
      <c r="O149" s="272"/>
      <c r="P149" s="272"/>
      <c r="Q149" s="272"/>
      <c r="R149" s="272"/>
      <c r="S149" s="272"/>
      <c r="T149" s="273"/>
      <c r="U149" s="274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4">
        <v>45726</v>
      </c>
      <c r="M150" s="265"/>
      <c r="N150" s="265">
        <v>250</v>
      </c>
      <c r="O150" s="265"/>
      <c r="P150" s="265"/>
      <c r="Q150" s="265"/>
      <c r="R150" s="265"/>
      <c r="S150" s="265"/>
      <c r="T150" s="266">
        <v>48</v>
      </c>
      <c r="U150" s="267">
        <f t="shared" si="6"/>
        <v>12000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>
        <v>100</v>
      </c>
      <c r="P151" s="204"/>
      <c r="Q151" s="204">
        <v>200</v>
      </c>
      <c r="R151" s="204"/>
      <c r="S151" s="204"/>
      <c r="T151" s="201">
        <v>185</v>
      </c>
      <c r="U151" s="269">
        <f t="shared" si="6"/>
        <v>55500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45727</v>
      </c>
      <c r="M152" s="204"/>
      <c r="N152" s="204"/>
      <c r="O152" s="204"/>
      <c r="P152" s="204"/>
      <c r="Q152" s="204">
        <v>225</v>
      </c>
      <c r="R152" s="204"/>
      <c r="S152" s="204"/>
      <c r="T152" s="201">
        <v>185</v>
      </c>
      <c r="U152" s="269">
        <f t="shared" si="6"/>
        <v>41625</v>
      </c>
    </row>
    <row r="153" spans="1:21" x14ac:dyDescent="0.25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0"/>
      <c r="M153" s="204">
        <v>150</v>
      </c>
      <c r="N153" s="204"/>
      <c r="O153" s="204"/>
      <c r="P153" s="204"/>
      <c r="Q153" s="204"/>
      <c r="R153" s="204"/>
      <c r="S153" s="204"/>
      <c r="T153" s="201">
        <v>47</v>
      </c>
      <c r="U153" s="269">
        <f t="shared" si="6"/>
        <v>7050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8">
        <v>45729</v>
      </c>
      <c r="M154" s="204"/>
      <c r="N154" s="204"/>
      <c r="O154" s="204"/>
      <c r="P154" s="204"/>
      <c r="Q154" s="204">
        <v>50</v>
      </c>
      <c r="R154" s="204"/>
      <c r="S154" s="204"/>
      <c r="T154" s="201">
        <v>185</v>
      </c>
      <c r="U154" s="269">
        <f t="shared" si="6"/>
        <v>9250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>
        <v>75</v>
      </c>
      <c r="S155" s="204"/>
      <c r="T155" s="201">
        <v>183</v>
      </c>
      <c r="U155" s="269">
        <f t="shared" si="6"/>
        <v>13725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70"/>
      <c r="M156" s="204"/>
      <c r="N156" s="204">
        <v>125</v>
      </c>
      <c r="O156" s="204"/>
      <c r="P156" s="204"/>
      <c r="Q156" s="204"/>
      <c r="R156" s="204"/>
      <c r="S156" s="204"/>
      <c r="T156" s="201">
        <v>48</v>
      </c>
      <c r="U156" s="269">
        <f t="shared" si="6"/>
        <v>6000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68">
        <v>45730</v>
      </c>
      <c r="M157" s="204"/>
      <c r="N157" s="204">
        <v>175</v>
      </c>
      <c r="O157" s="204"/>
      <c r="P157" s="204"/>
      <c r="Q157" s="204"/>
      <c r="R157" s="204"/>
      <c r="S157" s="204"/>
      <c r="T157" s="201">
        <v>48</v>
      </c>
      <c r="U157" s="269">
        <f t="shared" si="6"/>
        <v>8400</v>
      </c>
    </row>
    <row r="158" spans="1:21" ht="15.75" thickBot="1" x14ac:dyDescent="0.3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302"/>
      <c r="M158" s="303"/>
      <c r="N158" s="303"/>
      <c r="O158" s="303"/>
      <c r="P158" s="303"/>
      <c r="Q158" s="303"/>
      <c r="R158" s="303">
        <v>125</v>
      </c>
      <c r="S158" s="303"/>
      <c r="T158" s="304">
        <v>183</v>
      </c>
      <c r="U158" s="305">
        <f t="shared" si="6"/>
        <v>22875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64">
        <v>45733</v>
      </c>
      <c r="M159" s="265"/>
      <c r="N159" s="265">
        <v>125</v>
      </c>
      <c r="O159" s="265"/>
      <c r="P159" s="265"/>
      <c r="Q159" s="265"/>
      <c r="R159" s="265"/>
      <c r="S159" s="265"/>
      <c r="T159" s="266">
        <v>48</v>
      </c>
      <c r="U159" s="267">
        <f t="shared" si="6"/>
        <v>6000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70"/>
      <c r="M160" s="204"/>
      <c r="N160" s="204"/>
      <c r="O160" s="204">
        <v>25</v>
      </c>
      <c r="P160" s="204">
        <v>25</v>
      </c>
      <c r="Q160" s="204"/>
      <c r="R160" s="204">
        <v>150</v>
      </c>
      <c r="S160" s="204"/>
      <c r="T160" s="201">
        <v>183</v>
      </c>
      <c r="U160" s="269">
        <f t="shared" si="6"/>
        <v>36600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>
        <v>25</v>
      </c>
      <c r="P161" s="204"/>
      <c r="Q161" s="204"/>
      <c r="R161" s="204"/>
      <c r="S161" s="204"/>
      <c r="T161" s="201">
        <v>185</v>
      </c>
      <c r="U161" s="269">
        <f t="shared" si="6"/>
        <v>4625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45734</v>
      </c>
      <c r="M162" s="204"/>
      <c r="N162" s="204">
        <v>125</v>
      </c>
      <c r="O162" s="204"/>
      <c r="P162" s="204"/>
      <c r="Q162" s="204"/>
      <c r="R162" s="204"/>
      <c r="S162" s="204"/>
      <c r="T162" s="201">
        <v>48</v>
      </c>
      <c r="U162" s="269">
        <f t="shared" si="6"/>
        <v>6000</v>
      </c>
    </row>
    <row r="163" spans="1:21" x14ac:dyDescent="0.25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0"/>
      <c r="M163" s="204"/>
      <c r="N163" s="204"/>
      <c r="O163" s="204"/>
      <c r="P163" s="204">
        <v>75</v>
      </c>
      <c r="Q163" s="204"/>
      <c r="R163" s="204">
        <v>125</v>
      </c>
      <c r="S163" s="204"/>
      <c r="T163" s="201">
        <v>183</v>
      </c>
      <c r="U163" s="269">
        <f t="shared" si="6"/>
        <v>36600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58"/>
      <c r="L164" s="268">
        <v>45735</v>
      </c>
      <c r="M164" s="204"/>
      <c r="N164" s="204">
        <v>125</v>
      </c>
      <c r="O164" s="204"/>
      <c r="P164" s="204"/>
      <c r="Q164" s="204"/>
      <c r="R164" s="204"/>
      <c r="S164" s="204"/>
      <c r="T164" s="201">
        <v>48</v>
      </c>
      <c r="U164" s="269">
        <f t="shared" si="6"/>
        <v>6000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58"/>
      <c r="L165" s="270"/>
      <c r="M165" s="204"/>
      <c r="N165" s="204"/>
      <c r="O165" s="204"/>
      <c r="P165" s="204">
        <v>75</v>
      </c>
      <c r="Q165" s="204"/>
      <c r="R165" s="204">
        <v>125</v>
      </c>
      <c r="S165" s="204"/>
      <c r="T165" s="201">
        <v>183</v>
      </c>
      <c r="U165" s="269">
        <f t="shared" si="6"/>
        <v>36600</v>
      </c>
    </row>
    <row r="166" spans="1:21" x14ac:dyDescent="0.25">
      <c r="A166" s="200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58"/>
      <c r="L166" s="268">
        <v>45736</v>
      </c>
      <c r="M166" s="204"/>
      <c r="N166" s="204">
        <v>150</v>
      </c>
      <c r="O166" s="204"/>
      <c r="P166" s="204"/>
      <c r="Q166" s="204"/>
      <c r="R166" s="204"/>
      <c r="S166" s="204"/>
      <c r="T166" s="201">
        <v>48</v>
      </c>
      <c r="U166" s="269">
        <f t="shared" si="6"/>
        <v>7200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58"/>
      <c r="L167" s="270"/>
      <c r="M167" s="204"/>
      <c r="N167" s="204"/>
      <c r="O167" s="204"/>
      <c r="P167" s="204">
        <v>50</v>
      </c>
      <c r="Q167" s="204"/>
      <c r="R167" s="204">
        <v>150</v>
      </c>
      <c r="S167" s="204"/>
      <c r="T167" s="201">
        <v>183</v>
      </c>
      <c r="U167" s="269">
        <f t="shared" si="6"/>
        <v>36600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58"/>
      <c r="L168" s="268">
        <v>45737</v>
      </c>
      <c r="M168" s="204"/>
      <c r="N168" s="204">
        <v>125</v>
      </c>
      <c r="O168" s="204"/>
      <c r="P168" s="204"/>
      <c r="Q168" s="204"/>
      <c r="R168" s="204"/>
      <c r="S168" s="204"/>
      <c r="T168" s="201">
        <v>48</v>
      </c>
      <c r="U168" s="269">
        <f t="shared" si="6"/>
        <v>6000</v>
      </c>
    </row>
    <row r="169" spans="1:21" ht="15.75" thickBot="1" x14ac:dyDescent="0.3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58"/>
      <c r="L169" s="271"/>
      <c r="M169" s="272"/>
      <c r="N169" s="272"/>
      <c r="O169" s="272"/>
      <c r="P169" s="272">
        <v>75</v>
      </c>
      <c r="Q169" s="272"/>
      <c r="R169" s="272">
        <v>125</v>
      </c>
      <c r="S169" s="272"/>
      <c r="T169" s="273">
        <v>183</v>
      </c>
      <c r="U169" s="274">
        <f t="shared" si="6"/>
        <v>36600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58"/>
      <c r="L170" s="264">
        <v>45740</v>
      </c>
      <c r="M170" s="265"/>
      <c r="N170" s="265">
        <v>150</v>
      </c>
      <c r="O170" s="265"/>
      <c r="P170" s="265"/>
      <c r="Q170" s="265"/>
      <c r="R170" s="265"/>
      <c r="S170" s="265"/>
      <c r="T170" s="266">
        <v>48</v>
      </c>
      <c r="U170" s="267">
        <f t="shared" si="6"/>
        <v>7200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58"/>
      <c r="L171" s="270"/>
      <c r="M171" s="204"/>
      <c r="N171" s="204"/>
      <c r="O171" s="204"/>
      <c r="P171" s="204">
        <v>50</v>
      </c>
      <c r="Q171" s="204"/>
      <c r="R171" s="204">
        <v>150</v>
      </c>
      <c r="S171" s="204"/>
      <c r="T171" s="201">
        <v>183</v>
      </c>
      <c r="U171" s="318">
        <f t="shared" si="6"/>
        <v>36600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58"/>
      <c r="L172" s="268">
        <v>45741</v>
      </c>
      <c r="M172" s="204"/>
      <c r="N172" s="204">
        <v>150</v>
      </c>
      <c r="O172" s="204"/>
      <c r="P172" s="204"/>
      <c r="Q172" s="204"/>
      <c r="R172" s="204"/>
      <c r="S172" s="204"/>
      <c r="T172" s="201">
        <v>48</v>
      </c>
      <c r="U172" s="318">
        <f t="shared" si="6"/>
        <v>7200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58"/>
      <c r="L173" s="270"/>
      <c r="M173" s="204"/>
      <c r="N173" s="204"/>
      <c r="O173" s="204"/>
      <c r="P173" s="204">
        <v>75</v>
      </c>
      <c r="Q173" s="204"/>
      <c r="R173" s="204">
        <v>150</v>
      </c>
      <c r="S173" s="204"/>
      <c r="T173" s="201">
        <v>183</v>
      </c>
      <c r="U173" s="318">
        <f t="shared" si="6"/>
        <v>41175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58"/>
      <c r="L174" s="268">
        <v>45742</v>
      </c>
      <c r="M174" s="204"/>
      <c r="N174" s="204">
        <v>75</v>
      </c>
      <c r="O174" s="204"/>
      <c r="P174" s="204"/>
      <c r="Q174" s="204"/>
      <c r="R174" s="204"/>
      <c r="S174" s="204"/>
      <c r="T174" s="201">
        <v>48</v>
      </c>
      <c r="U174" s="318">
        <f t="shared" si="6"/>
        <v>3600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58"/>
      <c r="L175" s="270"/>
      <c r="M175" s="204"/>
      <c r="N175" s="204"/>
      <c r="O175" s="204"/>
      <c r="P175" s="204">
        <v>50</v>
      </c>
      <c r="Q175" s="204"/>
      <c r="R175" s="204">
        <v>125</v>
      </c>
      <c r="S175" s="204"/>
      <c r="T175" s="201">
        <v>183</v>
      </c>
      <c r="U175" s="318">
        <f t="shared" si="6"/>
        <v>32025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58"/>
      <c r="L176" s="268">
        <v>45744</v>
      </c>
      <c r="M176" s="204"/>
      <c r="N176" s="204">
        <v>125</v>
      </c>
      <c r="O176" s="204"/>
      <c r="P176" s="204"/>
      <c r="Q176" s="204"/>
      <c r="R176" s="204"/>
      <c r="S176" s="204"/>
      <c r="T176" s="201">
        <v>48</v>
      </c>
      <c r="U176" s="318">
        <f t="shared" si="6"/>
        <v>6000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58"/>
      <c r="L177" s="270"/>
      <c r="M177" s="204"/>
      <c r="N177" s="204"/>
      <c r="O177" s="204"/>
      <c r="P177" s="204">
        <v>50</v>
      </c>
      <c r="Q177" s="204"/>
      <c r="R177" s="204">
        <v>125</v>
      </c>
      <c r="S177" s="204"/>
      <c r="T177" s="201">
        <v>183</v>
      </c>
      <c r="U177" s="318">
        <f t="shared" si="6"/>
        <v>32025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58"/>
      <c r="L178" s="268">
        <v>45747</v>
      </c>
      <c r="M178" s="204"/>
      <c r="N178" s="204">
        <v>100</v>
      </c>
      <c r="O178" s="204"/>
      <c r="P178" s="204"/>
      <c r="Q178" s="204"/>
      <c r="R178" s="204"/>
      <c r="S178" s="204"/>
      <c r="T178" s="201">
        <v>48</v>
      </c>
      <c r="U178" s="318">
        <f t="shared" si="6"/>
        <v>4800</v>
      </c>
    </row>
    <row r="179" spans="1:21" ht="15.75" thickBot="1" x14ac:dyDescent="0.3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58"/>
      <c r="L179" s="271"/>
      <c r="M179" s="272"/>
      <c r="N179" s="272"/>
      <c r="O179" s="272"/>
      <c r="P179" s="272">
        <v>25</v>
      </c>
      <c r="Q179" s="272"/>
      <c r="R179" s="272">
        <v>25</v>
      </c>
      <c r="S179" s="272"/>
      <c r="T179" s="273">
        <v>183</v>
      </c>
      <c r="U179" s="319">
        <f t="shared" si="6"/>
        <v>9150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58"/>
      <c r="L180" s="264">
        <v>45748</v>
      </c>
      <c r="M180" s="265"/>
      <c r="N180" s="265">
        <v>125</v>
      </c>
      <c r="O180" s="265"/>
      <c r="P180" s="265"/>
      <c r="Q180" s="265"/>
      <c r="R180" s="265"/>
      <c r="S180" s="265"/>
      <c r="T180" s="266">
        <v>48</v>
      </c>
      <c r="U180" s="267">
        <f t="shared" si="6"/>
        <v>6000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58"/>
      <c r="L181" s="270"/>
      <c r="M181" s="204"/>
      <c r="N181" s="204"/>
      <c r="O181" s="204"/>
      <c r="P181" s="204">
        <v>25</v>
      </c>
      <c r="Q181" s="204"/>
      <c r="R181" s="204">
        <v>125</v>
      </c>
      <c r="S181" s="204"/>
      <c r="T181" s="201">
        <v>183</v>
      </c>
      <c r="U181" s="318">
        <f t="shared" si="6"/>
        <v>27450</v>
      </c>
    </row>
    <row r="182" spans="1:21" x14ac:dyDescent="0.25">
      <c r="A182" s="206">
        <v>45750</v>
      </c>
      <c r="B182" s="204">
        <v>1000</v>
      </c>
      <c r="C182" s="204"/>
      <c r="D182" s="204"/>
      <c r="E182" s="204"/>
      <c r="F182" s="204"/>
      <c r="G182" s="204"/>
      <c r="H182" s="204"/>
      <c r="I182" s="201">
        <v>47</v>
      </c>
      <c r="J182" s="201">
        <f t="shared" si="5"/>
        <v>47000</v>
      </c>
      <c r="K182" s="258"/>
      <c r="L182" s="268"/>
      <c r="M182" s="204"/>
      <c r="N182" s="204"/>
      <c r="O182" s="204"/>
      <c r="P182" s="204"/>
      <c r="Q182" s="204"/>
      <c r="R182" s="204"/>
      <c r="S182" s="204">
        <v>45</v>
      </c>
      <c r="T182" s="201">
        <v>37</v>
      </c>
      <c r="U182" s="318">
        <f t="shared" si="6"/>
        <v>1665</v>
      </c>
    </row>
    <row r="183" spans="1:21" x14ac:dyDescent="0.25">
      <c r="A183" s="200"/>
      <c r="B183" s="204"/>
      <c r="C183" s="204"/>
      <c r="D183" s="204"/>
      <c r="E183" s="204">
        <v>1000</v>
      </c>
      <c r="F183" s="204"/>
      <c r="G183" s="204">
        <v>500</v>
      </c>
      <c r="H183" s="204"/>
      <c r="I183" s="201">
        <v>183</v>
      </c>
      <c r="J183" s="201">
        <f t="shared" si="5"/>
        <v>274500</v>
      </c>
      <c r="K183" s="258"/>
      <c r="L183" s="268">
        <v>45750</v>
      </c>
      <c r="M183" s="204"/>
      <c r="N183" s="204">
        <v>175</v>
      </c>
      <c r="O183" s="204"/>
      <c r="P183" s="204"/>
      <c r="Q183" s="204"/>
      <c r="R183" s="204"/>
      <c r="S183" s="204"/>
      <c r="T183" s="201">
        <v>48</v>
      </c>
      <c r="U183" s="318">
        <f t="shared" si="6"/>
        <v>8400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58"/>
      <c r="L184" s="270"/>
      <c r="M184" s="204"/>
      <c r="N184" s="204"/>
      <c r="O184" s="204"/>
      <c r="P184" s="204">
        <v>75</v>
      </c>
      <c r="Q184" s="204"/>
      <c r="R184" s="204">
        <v>125</v>
      </c>
      <c r="S184" s="204"/>
      <c r="T184" s="201">
        <v>183</v>
      </c>
      <c r="U184" s="318">
        <f t="shared" si="6"/>
        <v>36600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58"/>
      <c r="L185" s="268">
        <v>45751</v>
      </c>
      <c r="M185" s="204"/>
      <c r="N185" s="204">
        <v>75</v>
      </c>
      <c r="O185" s="204"/>
      <c r="P185" s="204"/>
      <c r="Q185" s="204"/>
      <c r="R185" s="204"/>
      <c r="S185" s="204"/>
      <c r="T185" s="201">
        <v>48</v>
      </c>
      <c r="U185" s="318">
        <f t="shared" si="6"/>
        <v>3600</v>
      </c>
    </row>
    <row r="186" spans="1:21" ht="15.75" thickBot="1" x14ac:dyDescent="0.3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58"/>
      <c r="L186" s="271"/>
      <c r="M186" s="272"/>
      <c r="N186" s="272"/>
      <c r="O186" s="272"/>
      <c r="P186" s="272">
        <v>75</v>
      </c>
      <c r="Q186" s="272"/>
      <c r="R186" s="272">
        <v>125</v>
      </c>
      <c r="S186" s="272"/>
      <c r="T186" s="273">
        <v>183</v>
      </c>
      <c r="U186" s="319">
        <f t="shared" si="6"/>
        <v>36600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58"/>
      <c r="L187" s="264">
        <v>45754</v>
      </c>
      <c r="M187" s="265"/>
      <c r="N187" s="265"/>
      <c r="O187" s="265"/>
      <c r="P187" s="265">
        <v>125</v>
      </c>
      <c r="Q187" s="265"/>
      <c r="R187" s="265">
        <v>250</v>
      </c>
      <c r="S187" s="265"/>
      <c r="T187" s="266">
        <v>183</v>
      </c>
      <c r="U187" s="267">
        <f t="shared" si="6"/>
        <v>68625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58"/>
      <c r="L188" s="270"/>
      <c r="M188" s="204">
        <v>125</v>
      </c>
      <c r="N188" s="204"/>
      <c r="O188" s="204"/>
      <c r="P188" s="204"/>
      <c r="Q188" s="204"/>
      <c r="R188" s="204"/>
      <c r="S188" s="204"/>
      <c r="T188" s="201">
        <v>47</v>
      </c>
      <c r="U188" s="318">
        <f t="shared" si="6"/>
        <v>5875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58"/>
      <c r="L189" s="270"/>
      <c r="M189" s="204"/>
      <c r="N189" s="204"/>
      <c r="O189" s="204"/>
      <c r="P189" s="204"/>
      <c r="Q189" s="204"/>
      <c r="R189" s="204"/>
      <c r="S189" s="204">
        <v>45</v>
      </c>
      <c r="T189" s="201">
        <v>37</v>
      </c>
      <c r="U189" s="318">
        <f t="shared" si="6"/>
        <v>1665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58"/>
      <c r="L190" s="270"/>
      <c r="M190" s="204"/>
      <c r="N190" s="204">
        <v>75</v>
      </c>
      <c r="O190" s="204"/>
      <c r="P190" s="204"/>
      <c r="Q190" s="204"/>
      <c r="R190" s="204"/>
      <c r="S190" s="204"/>
      <c r="T190" s="201">
        <v>48</v>
      </c>
      <c r="U190" s="318">
        <f t="shared" si="6"/>
        <v>3600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/>
      <c r="K191" s="258"/>
      <c r="L191" s="268">
        <v>45755</v>
      </c>
      <c r="M191" s="204"/>
      <c r="N191" s="204"/>
      <c r="O191" s="204"/>
      <c r="P191" s="204">
        <v>75</v>
      </c>
      <c r="Q191" s="204"/>
      <c r="R191" s="204">
        <v>125</v>
      </c>
      <c r="S191" s="204"/>
      <c r="T191" s="201">
        <v>183</v>
      </c>
      <c r="U191" s="318">
        <f t="shared" si="6"/>
        <v>36600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/>
      <c r="K192" s="258"/>
      <c r="L192" s="270"/>
      <c r="M192" s="204">
        <v>125</v>
      </c>
      <c r="N192" s="204"/>
      <c r="O192" s="204"/>
      <c r="P192" s="204"/>
      <c r="Q192" s="204"/>
      <c r="R192" s="204"/>
      <c r="S192" s="204"/>
      <c r="T192" s="201">
        <v>47</v>
      </c>
      <c r="U192" s="318">
        <f t="shared" si="6"/>
        <v>5875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/>
      <c r="K193" s="258"/>
      <c r="L193" s="270"/>
      <c r="M193" s="204"/>
      <c r="N193" s="204"/>
      <c r="O193" s="204"/>
      <c r="P193" s="204"/>
      <c r="Q193" s="204"/>
      <c r="R193" s="204"/>
      <c r="S193" s="204">
        <v>45</v>
      </c>
      <c r="T193" s="201">
        <v>37</v>
      </c>
      <c r="U193" s="318">
        <f t="shared" si="6"/>
        <v>1665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/>
      <c r="K194" s="258"/>
      <c r="L194" s="268">
        <v>45756</v>
      </c>
      <c r="M194" s="204"/>
      <c r="N194" s="204"/>
      <c r="O194" s="204"/>
      <c r="P194" s="204"/>
      <c r="Q194" s="204"/>
      <c r="R194" s="204">
        <v>75</v>
      </c>
      <c r="S194" s="204"/>
      <c r="T194" s="201">
        <v>183</v>
      </c>
      <c r="U194" s="318">
        <f t="shared" si="6"/>
        <v>13725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/>
      <c r="K195" s="258"/>
      <c r="L195" s="270"/>
      <c r="M195" s="204">
        <v>100</v>
      </c>
      <c r="N195" s="204"/>
      <c r="O195" s="204"/>
      <c r="P195" s="204"/>
      <c r="Q195" s="204"/>
      <c r="R195" s="204"/>
      <c r="S195" s="204"/>
      <c r="T195" s="201">
        <v>47</v>
      </c>
      <c r="U195" s="318">
        <f t="shared" si="6"/>
        <v>4700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/>
      <c r="K196" s="258"/>
      <c r="L196" s="268">
        <v>45757</v>
      </c>
      <c r="M196" s="204"/>
      <c r="N196" s="204"/>
      <c r="O196" s="204"/>
      <c r="P196" s="204">
        <v>50</v>
      </c>
      <c r="Q196" s="204"/>
      <c r="R196" s="204">
        <v>50</v>
      </c>
      <c r="S196" s="204"/>
      <c r="T196" s="201">
        <v>183</v>
      </c>
      <c r="U196" s="318">
        <f t="shared" si="6"/>
        <v>18300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/>
      <c r="K197" s="258"/>
      <c r="L197" s="270"/>
      <c r="M197" s="204">
        <v>100</v>
      </c>
      <c r="N197" s="204"/>
      <c r="O197" s="204"/>
      <c r="P197" s="204"/>
      <c r="Q197" s="204"/>
      <c r="R197" s="204"/>
      <c r="S197" s="204"/>
      <c r="T197" s="201">
        <v>47</v>
      </c>
      <c r="U197" s="318">
        <f t="shared" si="6"/>
        <v>4700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/>
      <c r="K198" s="258"/>
      <c r="L198" s="270"/>
      <c r="M198" s="204"/>
      <c r="N198" s="204"/>
      <c r="O198" s="204"/>
      <c r="P198" s="204"/>
      <c r="Q198" s="204"/>
      <c r="R198" s="204"/>
      <c r="S198" s="204">
        <v>45</v>
      </c>
      <c r="T198" s="201">
        <v>37</v>
      </c>
      <c r="U198" s="318">
        <f t="shared" si="6"/>
        <v>1665</v>
      </c>
    </row>
    <row r="199" spans="1:21" x14ac:dyDescent="0.25">
      <c r="A199" s="200"/>
      <c r="B199" s="204"/>
      <c r="C199" s="204"/>
      <c r="D199" s="204"/>
      <c r="E199" s="204"/>
      <c r="F199" s="204"/>
      <c r="G199" s="204"/>
      <c r="H199" s="204"/>
      <c r="I199" s="201"/>
      <c r="J199" s="201"/>
      <c r="K199" s="258"/>
      <c r="L199" s="270" t="s">
        <v>150</v>
      </c>
      <c r="M199" s="204"/>
      <c r="N199" s="204"/>
      <c r="O199" s="204"/>
      <c r="P199" s="204">
        <v>150</v>
      </c>
      <c r="Q199" s="204"/>
      <c r="R199" s="204">
        <v>400</v>
      </c>
      <c r="S199" s="204"/>
      <c r="T199" s="201">
        <v>183</v>
      </c>
      <c r="U199" s="318">
        <f t="shared" si="6"/>
        <v>100650</v>
      </c>
    </row>
    <row r="200" spans="1:21" x14ac:dyDescent="0.25">
      <c r="A200" s="200"/>
      <c r="B200" s="204"/>
      <c r="C200" s="204"/>
      <c r="D200" s="204"/>
      <c r="E200" s="204"/>
      <c r="F200" s="204"/>
      <c r="G200" s="204"/>
      <c r="H200" s="204"/>
      <c r="I200" s="201"/>
      <c r="J200" s="201"/>
      <c r="K200" s="258"/>
      <c r="L200" s="270"/>
      <c r="M200" s="204">
        <v>325</v>
      </c>
      <c r="N200" s="204"/>
      <c r="O200" s="204"/>
      <c r="P200" s="204"/>
      <c r="Q200" s="204"/>
      <c r="R200" s="204"/>
      <c r="S200" s="204"/>
      <c r="T200" s="201">
        <v>47</v>
      </c>
      <c r="U200" s="318">
        <f t="shared" si="6"/>
        <v>15275</v>
      </c>
    </row>
    <row r="201" spans="1:21" x14ac:dyDescent="0.25">
      <c r="A201" s="200"/>
      <c r="B201" s="204"/>
      <c r="C201" s="204"/>
      <c r="D201" s="204"/>
      <c r="E201" s="204"/>
      <c r="F201" s="204"/>
      <c r="G201" s="204"/>
      <c r="H201" s="204"/>
      <c r="I201" s="201"/>
      <c r="J201" s="201"/>
      <c r="K201" s="258"/>
      <c r="L201" s="268">
        <v>45762</v>
      </c>
      <c r="M201" s="204"/>
      <c r="N201" s="204"/>
      <c r="O201" s="204"/>
      <c r="P201" s="204">
        <v>75</v>
      </c>
      <c r="Q201" s="204"/>
      <c r="R201" s="204">
        <v>125</v>
      </c>
      <c r="S201" s="204"/>
      <c r="T201" s="201">
        <v>183</v>
      </c>
      <c r="U201" s="318">
        <f t="shared" si="6"/>
        <v>36600</v>
      </c>
    </row>
    <row r="202" spans="1:21" x14ac:dyDescent="0.25">
      <c r="A202" s="200"/>
      <c r="B202" s="204"/>
      <c r="C202" s="204"/>
      <c r="D202" s="204"/>
      <c r="E202" s="204"/>
      <c r="F202" s="204"/>
      <c r="G202" s="204"/>
      <c r="H202" s="204"/>
      <c r="I202" s="201"/>
      <c r="J202" s="201"/>
      <c r="K202" s="258"/>
      <c r="L202" s="270"/>
      <c r="M202" s="204">
        <v>150</v>
      </c>
      <c r="N202" s="204"/>
      <c r="O202" s="204"/>
      <c r="P202" s="204"/>
      <c r="Q202" s="204"/>
      <c r="R202" s="204"/>
      <c r="S202" s="204"/>
      <c r="T202" s="201">
        <v>47</v>
      </c>
      <c r="U202" s="318">
        <f t="shared" si="6"/>
        <v>7050</v>
      </c>
    </row>
    <row r="203" spans="1:21" x14ac:dyDescent="0.25">
      <c r="A203" s="200"/>
      <c r="B203" s="204"/>
      <c r="C203" s="204"/>
      <c r="D203" s="204"/>
      <c r="E203" s="204"/>
      <c r="F203" s="204"/>
      <c r="G203" s="204"/>
      <c r="H203" s="204"/>
      <c r="I203" s="201"/>
      <c r="J203" s="201"/>
      <c r="K203" s="258"/>
      <c r="L203" s="268">
        <v>45763</v>
      </c>
      <c r="M203" s="204"/>
      <c r="N203" s="204"/>
      <c r="O203" s="204"/>
      <c r="P203" s="204">
        <v>75</v>
      </c>
      <c r="Q203" s="204"/>
      <c r="R203" s="204">
        <v>125</v>
      </c>
      <c r="S203" s="204"/>
      <c r="T203" s="201">
        <v>183</v>
      </c>
      <c r="U203" s="318">
        <f t="shared" si="6"/>
        <v>36600</v>
      </c>
    </row>
    <row r="204" spans="1:21" x14ac:dyDescent="0.25">
      <c r="A204" s="200"/>
      <c r="B204" s="204"/>
      <c r="C204" s="204"/>
      <c r="D204" s="204"/>
      <c r="E204" s="204"/>
      <c r="F204" s="204"/>
      <c r="G204" s="204"/>
      <c r="H204" s="204"/>
      <c r="I204" s="201"/>
      <c r="J204" s="201"/>
      <c r="K204" s="258"/>
      <c r="L204" s="270"/>
      <c r="M204" s="204">
        <v>125</v>
      </c>
      <c r="N204" s="204"/>
      <c r="O204" s="204"/>
      <c r="P204" s="204"/>
      <c r="Q204" s="204"/>
      <c r="R204" s="204"/>
      <c r="S204" s="204"/>
      <c r="T204" s="201">
        <v>47</v>
      </c>
      <c r="U204" s="318">
        <f t="shared" si="6"/>
        <v>5875</v>
      </c>
    </row>
    <row r="205" spans="1:21" x14ac:dyDescent="0.25">
      <c r="A205" s="200"/>
      <c r="B205" s="204"/>
      <c r="C205" s="204"/>
      <c r="D205" s="204"/>
      <c r="E205" s="204"/>
      <c r="F205" s="204"/>
      <c r="G205" s="204"/>
      <c r="H205" s="204"/>
      <c r="I205" s="201"/>
      <c r="J205" s="201"/>
      <c r="K205" s="258"/>
      <c r="L205" s="268">
        <v>45764</v>
      </c>
      <c r="M205" s="204"/>
      <c r="N205" s="204"/>
      <c r="O205" s="204"/>
      <c r="P205" s="204">
        <v>50</v>
      </c>
      <c r="Q205" s="204"/>
      <c r="R205" s="204">
        <v>125</v>
      </c>
      <c r="S205" s="204"/>
      <c r="T205" s="201">
        <v>183</v>
      </c>
      <c r="U205" s="318">
        <f t="shared" si="6"/>
        <v>32025</v>
      </c>
    </row>
    <row r="206" spans="1:21" x14ac:dyDescent="0.25">
      <c r="A206" s="200"/>
      <c r="B206" s="204"/>
      <c r="C206" s="204"/>
      <c r="D206" s="204"/>
      <c r="E206" s="204"/>
      <c r="F206" s="204"/>
      <c r="G206" s="204"/>
      <c r="H206" s="204"/>
      <c r="I206" s="201"/>
      <c r="J206" s="201">
        <f t="shared" si="5"/>
        <v>0</v>
      </c>
      <c r="K206" s="258"/>
      <c r="L206" s="270"/>
      <c r="M206" s="204">
        <v>125</v>
      </c>
      <c r="N206" s="204"/>
      <c r="O206" s="204"/>
      <c r="P206" s="204"/>
      <c r="Q206" s="204"/>
      <c r="R206" s="204"/>
      <c r="S206" s="204"/>
      <c r="T206" s="201">
        <v>47</v>
      </c>
      <c r="U206" s="318">
        <f t="shared" si="6"/>
        <v>5875</v>
      </c>
    </row>
    <row r="207" spans="1:21" x14ac:dyDescent="0.25">
      <c r="A207" s="200"/>
      <c r="B207" s="204"/>
      <c r="C207" s="204"/>
      <c r="D207" s="204"/>
      <c r="E207" s="204"/>
      <c r="F207" s="204"/>
      <c r="G207" s="204"/>
      <c r="H207" s="204"/>
      <c r="I207" s="201"/>
      <c r="J207" s="201">
        <f t="shared" si="5"/>
        <v>0</v>
      </c>
      <c r="K207" s="258"/>
      <c r="L207" s="268">
        <v>45765</v>
      </c>
      <c r="M207" s="204"/>
      <c r="N207" s="204"/>
      <c r="O207" s="204"/>
      <c r="P207" s="204">
        <v>50</v>
      </c>
      <c r="Q207" s="204"/>
      <c r="R207" s="204">
        <v>75</v>
      </c>
      <c r="S207" s="204"/>
      <c r="T207" s="201">
        <v>183</v>
      </c>
      <c r="U207" s="318">
        <f t="shared" si="6"/>
        <v>22875</v>
      </c>
    </row>
    <row r="208" spans="1:21" ht="15.75" thickBot="1" x14ac:dyDescent="0.3">
      <c r="A208" s="200"/>
      <c r="B208" s="204"/>
      <c r="C208" s="204"/>
      <c r="D208" s="204"/>
      <c r="E208" s="204"/>
      <c r="F208" s="204"/>
      <c r="G208" s="204"/>
      <c r="H208" s="204"/>
      <c r="I208" s="201"/>
      <c r="J208" s="201">
        <f t="shared" si="5"/>
        <v>0</v>
      </c>
      <c r="K208" s="258"/>
      <c r="L208" s="271"/>
      <c r="M208" s="272">
        <v>125</v>
      </c>
      <c r="N208" s="272"/>
      <c r="O208" s="272"/>
      <c r="P208" s="272"/>
      <c r="Q208" s="272"/>
      <c r="R208" s="272"/>
      <c r="S208" s="272"/>
      <c r="T208" s="273">
        <v>47</v>
      </c>
      <c r="U208" s="319">
        <f t="shared" si="6"/>
        <v>5875</v>
      </c>
    </row>
    <row r="209" spans="1:21" x14ac:dyDescent="0.25">
      <c r="A209" s="200"/>
      <c r="B209" s="204"/>
      <c r="C209" s="204"/>
      <c r="D209" s="204"/>
      <c r="E209" s="204"/>
      <c r="F209" s="204"/>
      <c r="G209" s="204"/>
      <c r="H209" s="204"/>
      <c r="I209" s="201"/>
      <c r="J209" s="201">
        <f t="shared" si="5"/>
        <v>0</v>
      </c>
      <c r="K209" s="258"/>
      <c r="L209" s="264">
        <v>45768</v>
      </c>
      <c r="M209" s="265"/>
      <c r="N209" s="265"/>
      <c r="O209" s="265"/>
      <c r="P209" s="265">
        <v>150</v>
      </c>
      <c r="Q209" s="265"/>
      <c r="R209" s="265">
        <v>200</v>
      </c>
      <c r="S209" s="265"/>
      <c r="T209" s="266">
        <v>183</v>
      </c>
      <c r="U209" s="267">
        <f t="shared" si="6"/>
        <v>64050</v>
      </c>
    </row>
    <row r="210" spans="1:21" x14ac:dyDescent="0.25">
      <c r="A210" s="200"/>
      <c r="B210" s="204"/>
      <c r="C210" s="204"/>
      <c r="D210" s="204"/>
      <c r="E210" s="204"/>
      <c r="F210" s="204"/>
      <c r="G210" s="204"/>
      <c r="H210" s="204"/>
      <c r="I210" s="201"/>
      <c r="J210" s="201">
        <f t="shared" si="5"/>
        <v>0</v>
      </c>
      <c r="K210" s="258"/>
      <c r="L210" s="270"/>
      <c r="M210" s="204">
        <v>275</v>
      </c>
      <c r="N210" s="204"/>
      <c r="O210" s="204"/>
      <c r="P210" s="204"/>
      <c r="Q210" s="204"/>
      <c r="R210" s="204"/>
      <c r="S210" s="204"/>
      <c r="T210" s="201">
        <v>47</v>
      </c>
      <c r="U210" s="318">
        <f t="shared" si="6"/>
        <v>12925</v>
      </c>
    </row>
    <row r="211" spans="1:21" x14ac:dyDescent="0.25">
      <c r="A211" s="200"/>
      <c r="B211" s="204"/>
      <c r="C211" s="204"/>
      <c r="D211" s="204"/>
      <c r="E211" s="204"/>
      <c r="F211" s="204"/>
      <c r="G211" s="204"/>
      <c r="H211" s="204"/>
      <c r="I211" s="201"/>
      <c r="J211" s="201">
        <f t="shared" si="5"/>
        <v>0</v>
      </c>
      <c r="K211" s="258"/>
      <c r="L211" s="268">
        <v>45772</v>
      </c>
      <c r="M211" s="204">
        <v>125</v>
      </c>
      <c r="N211" s="204"/>
      <c r="O211" s="204"/>
      <c r="P211" s="204"/>
      <c r="Q211" s="204"/>
      <c r="R211" s="204"/>
      <c r="S211" s="204"/>
      <c r="T211" s="201">
        <v>47</v>
      </c>
      <c r="U211" s="318">
        <f t="shared" si="6"/>
        <v>5875</v>
      </c>
    </row>
    <row r="212" spans="1:21" x14ac:dyDescent="0.25">
      <c r="A212" s="200"/>
      <c r="B212" s="204"/>
      <c r="C212" s="204"/>
      <c r="D212" s="204"/>
      <c r="E212" s="204"/>
      <c r="F212" s="204"/>
      <c r="G212" s="204"/>
      <c r="H212" s="204"/>
      <c r="I212" s="201"/>
      <c r="J212" s="201">
        <f t="shared" si="5"/>
        <v>0</v>
      </c>
      <c r="K212" s="258"/>
      <c r="L212" s="268">
        <v>45775</v>
      </c>
      <c r="M212" s="204">
        <v>100</v>
      </c>
      <c r="N212" s="204"/>
      <c r="O212" s="204"/>
      <c r="P212" s="204"/>
      <c r="Q212" s="204"/>
      <c r="R212" s="204"/>
      <c r="S212" s="204"/>
      <c r="T212" s="201">
        <v>47</v>
      </c>
      <c r="U212" s="318">
        <f t="shared" si="6"/>
        <v>4700</v>
      </c>
    </row>
    <row r="213" spans="1:21" x14ac:dyDescent="0.25">
      <c r="A213" s="200"/>
      <c r="B213" s="204"/>
      <c r="C213" s="204"/>
      <c r="D213" s="204"/>
      <c r="E213" s="204"/>
      <c r="F213" s="204"/>
      <c r="G213" s="204"/>
      <c r="H213" s="204"/>
      <c r="I213" s="201"/>
      <c r="J213" s="201">
        <f t="shared" si="5"/>
        <v>0</v>
      </c>
      <c r="K213" s="258"/>
      <c r="L213" s="268"/>
      <c r="M213" s="204"/>
      <c r="N213" s="204"/>
      <c r="O213" s="204"/>
      <c r="P213" s="204">
        <v>150</v>
      </c>
      <c r="Q213" s="204"/>
      <c r="R213" s="204"/>
      <c r="S213" s="204"/>
      <c r="T213" s="201">
        <v>183</v>
      </c>
      <c r="U213" s="318">
        <f t="shared" si="6"/>
        <v>27450</v>
      </c>
    </row>
    <row r="214" spans="1:21" x14ac:dyDescent="0.25">
      <c r="A214" s="200"/>
      <c r="B214" s="204"/>
      <c r="C214" s="204"/>
      <c r="D214" s="204"/>
      <c r="E214" s="204"/>
      <c r="F214" s="204"/>
      <c r="G214" s="204"/>
      <c r="H214" s="204"/>
      <c r="I214" s="201"/>
      <c r="J214" s="201">
        <f t="shared" si="5"/>
        <v>0</v>
      </c>
      <c r="K214" s="258"/>
      <c r="L214" s="268">
        <v>45776</v>
      </c>
      <c r="M214" s="204"/>
      <c r="N214" s="204"/>
      <c r="O214" s="204"/>
      <c r="P214" s="204">
        <v>75</v>
      </c>
      <c r="Q214" s="204"/>
      <c r="R214" s="204"/>
      <c r="S214" s="204"/>
      <c r="T214" s="201">
        <v>183</v>
      </c>
      <c r="U214" s="318">
        <f t="shared" si="6"/>
        <v>13725</v>
      </c>
    </row>
    <row r="215" spans="1:21" ht="15.75" thickBot="1" x14ac:dyDescent="0.3">
      <c r="A215" s="200"/>
      <c r="B215" s="204"/>
      <c r="C215" s="204"/>
      <c r="D215" s="204"/>
      <c r="E215" s="204"/>
      <c r="F215" s="204"/>
      <c r="G215" s="204"/>
      <c r="H215" s="204"/>
      <c r="I215" s="201"/>
      <c r="J215" s="201">
        <f t="shared" si="5"/>
        <v>0</v>
      </c>
      <c r="K215" s="258"/>
      <c r="L215" s="341">
        <v>45777</v>
      </c>
      <c r="M215" s="272"/>
      <c r="N215" s="272"/>
      <c r="O215" s="272"/>
      <c r="P215" s="272">
        <v>75</v>
      </c>
      <c r="Q215" s="272"/>
      <c r="R215" s="272"/>
      <c r="S215" s="272"/>
      <c r="T215" s="273">
        <v>183</v>
      </c>
      <c r="U215" s="319">
        <f t="shared" si="6"/>
        <v>13725</v>
      </c>
    </row>
    <row r="216" spans="1:21" ht="15.75" thickBot="1" x14ac:dyDescent="0.3">
      <c r="A216" s="200"/>
      <c r="B216" s="204"/>
      <c r="C216" s="204"/>
      <c r="D216" s="204"/>
      <c r="E216" s="204"/>
      <c r="F216" s="204"/>
      <c r="G216" s="204"/>
      <c r="H216" s="204"/>
      <c r="I216" s="201"/>
      <c r="J216" s="201">
        <f t="shared" si="5"/>
        <v>0</v>
      </c>
      <c r="K216" s="202"/>
      <c r="L216" s="320" t="s">
        <v>160</v>
      </c>
      <c r="M216" s="262"/>
      <c r="N216" s="262"/>
      <c r="O216" s="262"/>
      <c r="P216" s="262">
        <v>75</v>
      </c>
      <c r="Q216" s="262"/>
      <c r="R216" s="262"/>
      <c r="S216" s="262"/>
      <c r="T216" s="273">
        <v>183</v>
      </c>
      <c r="U216" s="263">
        <f t="shared" si="6"/>
        <v>13725</v>
      </c>
    </row>
    <row r="217" spans="1:21" x14ac:dyDescent="0.25">
      <c r="A217" s="200"/>
      <c r="B217" s="204"/>
      <c r="C217" s="204"/>
      <c r="D217" s="204"/>
      <c r="E217" s="204"/>
      <c r="F217" s="204"/>
      <c r="G217" s="204"/>
      <c r="H217" s="204"/>
      <c r="I217" s="201"/>
      <c r="J217" s="201">
        <f t="shared" si="5"/>
        <v>0</v>
      </c>
      <c r="K217" s="202"/>
      <c r="L217" s="206"/>
      <c r="M217" s="204"/>
      <c r="N217" s="204"/>
      <c r="O217" s="204"/>
      <c r="P217" s="204"/>
      <c r="Q217" s="204"/>
      <c r="R217" s="204"/>
      <c r="S217" s="204"/>
      <c r="T217" s="201"/>
      <c r="U217" s="263">
        <f t="shared" si="6"/>
        <v>0</v>
      </c>
    </row>
    <row r="218" spans="1:21" x14ac:dyDescent="0.25">
      <c r="A218" s="200"/>
      <c r="B218" s="204"/>
      <c r="C218" s="204"/>
      <c r="D218" s="204"/>
      <c r="E218" s="204"/>
      <c r="F218" s="204"/>
      <c r="G218" s="204"/>
      <c r="H218" s="204"/>
      <c r="I218" s="201"/>
      <c r="J218" s="201">
        <f t="shared" si="5"/>
        <v>0</v>
      </c>
      <c r="K218" s="202"/>
      <c r="L218" s="200"/>
      <c r="M218" s="204"/>
      <c r="N218" s="204"/>
      <c r="O218" s="204"/>
      <c r="P218" s="204"/>
      <c r="Q218" s="204"/>
      <c r="R218" s="204"/>
      <c r="S218" s="204"/>
      <c r="T218" s="201"/>
      <c r="U218" s="263">
        <f t="shared" si="6"/>
        <v>0</v>
      </c>
    </row>
    <row r="219" spans="1:21" x14ac:dyDescent="0.25">
      <c r="A219" s="200"/>
      <c r="B219" s="204"/>
      <c r="C219" s="204"/>
      <c r="D219" s="204"/>
      <c r="E219" s="204"/>
      <c r="F219" s="204"/>
      <c r="G219" s="204"/>
      <c r="H219" s="204"/>
      <c r="I219" s="201"/>
      <c r="J219" s="201">
        <f t="shared" si="5"/>
        <v>0</v>
      </c>
      <c r="K219" s="202"/>
      <c r="L219" s="200"/>
      <c r="M219" s="204"/>
      <c r="N219" s="204"/>
      <c r="O219" s="204"/>
      <c r="P219" s="204"/>
      <c r="Q219" s="204"/>
      <c r="R219" s="204"/>
      <c r="S219" s="204"/>
      <c r="T219" s="201"/>
      <c r="U219" s="263">
        <f t="shared" si="6"/>
        <v>0</v>
      </c>
    </row>
    <row r="220" spans="1:21" x14ac:dyDescent="0.25">
      <c r="A220" s="200"/>
      <c r="B220" s="204"/>
      <c r="C220" s="204"/>
      <c r="D220" s="204"/>
      <c r="E220" s="204"/>
      <c r="F220" s="204"/>
      <c r="G220" s="204"/>
      <c r="H220" s="204"/>
      <c r="I220" s="201"/>
      <c r="J220" s="201">
        <f t="shared" si="5"/>
        <v>0</v>
      </c>
      <c r="K220" s="202"/>
      <c r="L220" s="200"/>
      <c r="M220" s="204"/>
      <c r="N220" s="204"/>
      <c r="O220" s="204"/>
      <c r="P220" s="204"/>
      <c r="Q220" s="204"/>
      <c r="R220" s="204"/>
      <c r="S220" s="204"/>
      <c r="T220" s="201"/>
      <c r="U220" s="263">
        <f t="shared" si="6"/>
        <v>0</v>
      </c>
    </row>
    <row r="221" spans="1:21" x14ac:dyDescent="0.25">
      <c r="A221" s="200"/>
      <c r="B221" s="204">
        <f>SUM(B3:B220)</f>
        <v>6000</v>
      </c>
      <c r="C221" s="204">
        <f t="shared" ref="C221:H221" si="7">SUM(C3:C220)</f>
        <v>3000</v>
      </c>
      <c r="D221" s="204">
        <f t="shared" si="7"/>
        <v>2000</v>
      </c>
      <c r="E221" s="204">
        <f t="shared" si="7"/>
        <v>2000</v>
      </c>
      <c r="F221" s="204">
        <f t="shared" si="7"/>
        <v>4200</v>
      </c>
      <c r="G221" s="204">
        <f t="shared" si="7"/>
        <v>3500</v>
      </c>
      <c r="H221" s="204">
        <f t="shared" si="7"/>
        <v>180</v>
      </c>
      <c r="I221" s="201"/>
      <c r="J221" s="201">
        <f>B221*I221+D221*I221+F221*I221</f>
        <v>0</v>
      </c>
      <c r="K221" s="202"/>
      <c r="L221" s="200"/>
      <c r="M221" s="204">
        <f>SUM(M3:M220)</f>
        <v>5950</v>
      </c>
      <c r="N221" s="204">
        <f t="shared" ref="N221:S221" si="8">SUM(N3:N220)</f>
        <v>3000</v>
      </c>
      <c r="O221" s="204">
        <f t="shared" si="8"/>
        <v>2000</v>
      </c>
      <c r="P221" s="204">
        <f t="shared" si="8"/>
        <v>1925</v>
      </c>
      <c r="Q221" s="204">
        <f t="shared" si="8"/>
        <v>4200</v>
      </c>
      <c r="R221" s="204">
        <f t="shared" si="8"/>
        <v>3500</v>
      </c>
      <c r="S221" s="204">
        <f t="shared" si="8"/>
        <v>180</v>
      </c>
      <c r="T221" s="201"/>
      <c r="U221" s="201"/>
    </row>
    <row r="222" spans="1:21" x14ac:dyDescent="0.25">
      <c r="J222" s="201">
        <f>B222*I222+D222*I222+F222*I222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"/>
  <sheetViews>
    <sheetView topLeftCell="B1" workbookViewId="0">
      <pane ySplit="1" topLeftCell="A2" activePane="bottomLeft" state="frozen"/>
      <selection pane="bottomLeft" activeCell="M14" sqref="M14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127</v>
      </c>
      <c r="C1" s="57"/>
      <c r="D1" s="57"/>
      <c r="E1" s="57"/>
      <c r="F1" s="57"/>
      <c r="G1" s="57"/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127</v>
      </c>
      <c r="N1" s="57"/>
      <c r="O1" s="57"/>
      <c r="P1" s="57"/>
      <c r="Q1" s="57"/>
      <c r="R1" s="57"/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/>
      <c r="B2" s="24"/>
      <c r="C2" s="24"/>
      <c r="D2" s="24"/>
      <c r="E2" s="24"/>
      <c r="F2" s="24"/>
      <c r="G2" s="24"/>
      <c r="H2" s="25"/>
      <c r="I2" s="25"/>
      <c r="J2" s="30"/>
      <c r="K2" s="275"/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45714</v>
      </c>
      <c r="B3" s="27">
        <v>25</v>
      </c>
      <c r="C3" s="27"/>
      <c r="D3" s="27"/>
      <c r="E3" s="27"/>
      <c r="F3" s="27"/>
      <c r="G3" s="27"/>
      <c r="H3" s="25">
        <v>165</v>
      </c>
      <c r="I3" s="25">
        <f>B3*H3+C3*H3+D3*H3+E3*H3+F3*H3+G3*H3</f>
        <v>4125</v>
      </c>
      <c r="J3" s="231"/>
      <c r="K3" s="276">
        <v>45726</v>
      </c>
      <c r="L3" s="252" t="s">
        <v>47</v>
      </c>
      <c r="M3" s="253">
        <v>25</v>
      </c>
      <c r="N3" s="253"/>
      <c r="O3" s="253"/>
      <c r="P3" s="253"/>
      <c r="Q3" s="253"/>
      <c r="R3" s="253"/>
      <c r="S3" s="254">
        <v>165</v>
      </c>
      <c r="T3" s="255">
        <f>M3*S3+N3*S3+O3*S3+P3*S3+Q3*S3+R3*S3</f>
        <v>4125</v>
      </c>
      <c r="V3" s="25">
        <v>165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/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/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/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/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/>
      <c r="L8" s="123"/>
      <c r="M8" s="124"/>
      <c r="N8" s="124"/>
      <c r="O8" s="124"/>
      <c r="P8" s="124"/>
      <c r="Q8" s="124"/>
      <c r="R8" s="124"/>
      <c r="S8" s="125"/>
      <c r="T8" s="1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/>
      <c r="L9" s="118"/>
      <c r="M9" s="119"/>
      <c r="N9" s="119"/>
      <c r="O9" s="119"/>
      <c r="P9" s="119"/>
      <c r="Q9" s="119"/>
      <c r="R9" s="119"/>
      <c r="S9" s="120"/>
      <c r="T9" s="120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25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165</v>
      </c>
      <c r="I20" s="25">
        <f>SUM(I3:I19)</f>
        <v>4125</v>
      </c>
      <c r="J20" s="30"/>
      <c r="K20" s="24"/>
      <c r="L20" s="24"/>
      <c r="M20" s="27">
        <f>SUM(M3:M19)</f>
        <v>25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68"/>
  <sheetViews>
    <sheetView workbookViewId="0">
      <pane ySplit="1" topLeftCell="A36" activePane="bottomLeft" state="frozen"/>
      <selection pane="bottomLeft" activeCell="S53" sqref="S53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0.28515625" style="26" customWidth="1"/>
    <col min="5" max="5" width="10.85546875" style="26" customWidth="1"/>
    <col min="6" max="6" width="4.85546875" style="26" bestFit="1" customWidth="1"/>
    <col min="7" max="7" width="12.425781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0.28515625" style="26" customWidth="1"/>
    <col min="13" max="13" width="10.42578125" style="26" customWidth="1"/>
    <col min="14" max="14" width="10" style="26" customWidth="1"/>
    <col min="15" max="15" width="9.85546875" style="26" customWidth="1"/>
    <col min="16" max="16" width="18.85546875" style="26" customWidth="1"/>
    <col min="17" max="17" width="9.4257812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28515625" style="26" customWidth="1"/>
    <col min="22" max="22" width="11.42578125" style="26" customWidth="1"/>
    <col min="23" max="23" width="11.7109375" style="26" customWidth="1"/>
    <col min="24" max="24" width="10.85546875" style="26" customWidth="1"/>
    <col min="25" max="25" width="6.5703125" style="26" bestFit="1" customWidth="1"/>
    <col min="26" max="26" width="12.85546875" style="26" customWidth="1"/>
    <col min="27" max="16384" width="8.85546875" style="26"/>
  </cols>
  <sheetData>
    <row r="1" spans="1:29" s="60" customFormat="1" ht="61.15" customHeight="1" x14ac:dyDescent="0.25">
      <c r="A1" s="355" t="s">
        <v>17</v>
      </c>
      <c r="B1" s="354" t="s">
        <v>73</v>
      </c>
      <c r="C1" s="354" t="s">
        <v>74</v>
      </c>
      <c r="D1" s="354" t="s">
        <v>75</v>
      </c>
      <c r="E1" s="354" t="s">
        <v>142</v>
      </c>
      <c r="F1" s="355"/>
      <c r="G1" s="354" t="s">
        <v>110</v>
      </c>
      <c r="H1" s="356" t="s">
        <v>18</v>
      </c>
      <c r="I1" s="356" t="s">
        <v>19</v>
      </c>
      <c r="J1" s="58"/>
      <c r="K1" s="355" t="s">
        <v>22</v>
      </c>
      <c r="L1" s="354" t="s">
        <v>164</v>
      </c>
      <c r="M1" s="354" t="s">
        <v>74</v>
      </c>
      <c r="N1" s="354" t="s">
        <v>75</v>
      </c>
      <c r="O1" s="354" t="s">
        <v>142</v>
      </c>
      <c r="P1" s="355"/>
      <c r="Q1" s="354" t="s">
        <v>110</v>
      </c>
      <c r="R1" s="58" t="s">
        <v>18</v>
      </c>
      <c r="S1" s="58" t="s">
        <v>19</v>
      </c>
      <c r="T1" s="59"/>
      <c r="U1" s="111" t="s">
        <v>73</v>
      </c>
      <c r="V1" s="111" t="s">
        <v>74</v>
      </c>
      <c r="W1" s="111" t="s">
        <v>75</v>
      </c>
      <c r="X1" s="111" t="s">
        <v>142</v>
      </c>
      <c r="Y1" s="57"/>
      <c r="Z1" s="111" t="s">
        <v>110</v>
      </c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0+B68-L68</f>
        <v>93</v>
      </c>
      <c r="V2" s="27">
        <f t="shared" si="0"/>
        <v>0</v>
      </c>
      <c r="W2" s="27">
        <f t="shared" si="0"/>
        <v>0</v>
      </c>
      <c r="X2" s="27">
        <f t="shared" si="0"/>
        <v>310</v>
      </c>
      <c r="Y2" s="27">
        <f t="shared" si="0"/>
        <v>-25</v>
      </c>
      <c r="Z2" s="27">
        <f t="shared" si="0"/>
        <v>0</v>
      </c>
      <c r="AA2" s="27"/>
      <c r="AB2" s="31"/>
      <c r="AC2" s="31"/>
    </row>
    <row r="3" spans="1:29" x14ac:dyDescent="0.25">
      <c r="A3" s="28">
        <v>45519</v>
      </c>
      <c r="B3" s="27">
        <v>120</v>
      </c>
      <c r="C3" s="27"/>
      <c r="D3" s="27"/>
      <c r="E3" s="27"/>
      <c r="F3" s="27"/>
      <c r="G3" s="27"/>
      <c r="H3" s="112">
        <v>743.28719999999998</v>
      </c>
      <c r="I3" s="25">
        <f>B3*H3+C3*H3+D3*H3+E3*H3+F3*H3+G3*H3</f>
        <v>89194.463999999993</v>
      </c>
      <c r="J3" s="30"/>
      <c r="K3" s="28"/>
      <c r="L3" s="27"/>
      <c r="M3" s="27"/>
      <c r="N3" s="27"/>
      <c r="O3" s="27"/>
      <c r="P3" s="27"/>
      <c r="Q3" s="27"/>
      <c r="R3" s="25"/>
      <c r="S3" s="25">
        <f>L3*R3+M3*R3+N3*R3+O3*R3+P3*R3+Q3*R3</f>
        <v>0</v>
      </c>
      <c r="U3" s="112">
        <v>743.28719999999998</v>
      </c>
      <c r="V3" s="25">
        <v>832.48158333333333</v>
      </c>
      <c r="W3" s="25">
        <v>676.42</v>
      </c>
      <c r="X3" s="25">
        <v>559.19762200000002</v>
      </c>
      <c r="Y3" s="25"/>
      <c r="Z3" s="25">
        <v>642.09699999999998</v>
      </c>
      <c r="AA3" s="25"/>
      <c r="AB3" s="29"/>
    </row>
    <row r="4" spans="1:29" x14ac:dyDescent="0.25">
      <c r="A4" s="28">
        <v>45520</v>
      </c>
      <c r="B4" s="27"/>
      <c r="C4" s="27">
        <v>120</v>
      </c>
      <c r="D4" s="27"/>
      <c r="E4" s="27"/>
      <c r="F4" s="27"/>
      <c r="G4" s="27"/>
      <c r="H4" s="25">
        <f>I4/C4</f>
        <v>832.48158333333333</v>
      </c>
      <c r="I4" s="25">
        <v>99897.79</v>
      </c>
      <c r="J4" s="30"/>
      <c r="K4" s="28">
        <v>45535</v>
      </c>
      <c r="L4" s="141">
        <v>0</v>
      </c>
      <c r="M4" s="27"/>
      <c r="N4" s="27"/>
      <c r="O4" s="27"/>
      <c r="P4" s="27"/>
      <c r="Q4" s="27"/>
      <c r="R4" s="112">
        <v>743.28719999999998</v>
      </c>
      <c r="S4" s="25">
        <f t="shared" ref="S4:S66" si="1">L4*R4+M4*R4+N4*R4+O4*R4+P4*R4+Q4*R4</f>
        <v>0</v>
      </c>
      <c r="U4" s="25">
        <f>U2*U3</f>
        <v>69125.709600000002</v>
      </c>
      <c r="V4" s="25">
        <f t="shared" ref="V4:Z4" si="2">V2*V3</f>
        <v>0</v>
      </c>
      <c r="W4" s="25">
        <f t="shared" si="2"/>
        <v>0</v>
      </c>
      <c r="X4" s="25">
        <f t="shared" si="2"/>
        <v>173351.26282</v>
      </c>
      <c r="Y4" s="25">
        <f t="shared" si="2"/>
        <v>0</v>
      </c>
      <c r="Z4" s="25">
        <f t="shared" si="2"/>
        <v>0</v>
      </c>
      <c r="AA4" s="25"/>
      <c r="AB4" s="29"/>
    </row>
    <row r="5" spans="1:29" x14ac:dyDescent="0.25">
      <c r="A5" s="24"/>
      <c r="B5" s="27"/>
      <c r="C5" s="27"/>
      <c r="D5" s="27"/>
      <c r="E5" s="27"/>
      <c r="F5" s="27"/>
      <c r="G5" s="27"/>
      <c r="H5" s="25"/>
      <c r="I5" s="25">
        <f t="shared" ref="I5:I67" si="3">B5*H5+C5*H5+D5*H5+E5*H5+F5*H5+G5*H5</f>
        <v>0</v>
      </c>
      <c r="J5" s="30"/>
      <c r="K5" s="24"/>
      <c r="L5" s="27"/>
      <c r="M5" s="27">
        <v>0.06</v>
      </c>
      <c r="N5" s="27"/>
      <c r="O5" s="27"/>
      <c r="P5" s="27"/>
      <c r="Q5" s="27"/>
      <c r="R5" s="25">
        <v>832.48158333333333</v>
      </c>
      <c r="S5" s="25">
        <f t="shared" si="1"/>
        <v>49.948895</v>
      </c>
    </row>
    <row r="6" spans="1:29" x14ac:dyDescent="0.25">
      <c r="A6" s="24"/>
      <c r="B6" s="27"/>
      <c r="C6" s="27"/>
      <c r="D6" s="27"/>
      <c r="E6" s="27"/>
      <c r="F6" s="27"/>
      <c r="G6" s="27"/>
      <c r="H6" s="25"/>
      <c r="I6" s="25">
        <f t="shared" si="3"/>
        <v>0</v>
      </c>
      <c r="J6" s="30"/>
      <c r="K6" s="28">
        <v>45545</v>
      </c>
      <c r="L6" s="141">
        <v>0</v>
      </c>
      <c r="M6" s="27"/>
      <c r="N6" s="27"/>
      <c r="O6" s="27"/>
      <c r="P6" s="27"/>
      <c r="Q6" s="27"/>
      <c r="R6" s="112">
        <v>743.28719999999998</v>
      </c>
      <c r="S6" s="25">
        <f t="shared" si="1"/>
        <v>0</v>
      </c>
    </row>
    <row r="7" spans="1:29" x14ac:dyDescent="0.25">
      <c r="A7" s="24"/>
      <c r="B7" s="27"/>
      <c r="C7" s="27"/>
      <c r="D7" s="27"/>
      <c r="E7" s="27"/>
      <c r="F7" s="27"/>
      <c r="G7" s="27"/>
      <c r="H7" s="25"/>
      <c r="I7" s="25">
        <f t="shared" si="3"/>
        <v>0</v>
      </c>
      <c r="J7" s="30"/>
      <c r="K7" s="24"/>
      <c r="L7" s="27"/>
      <c r="M7" s="27">
        <v>0.6</v>
      </c>
      <c r="N7" s="27"/>
      <c r="O7" s="27"/>
      <c r="P7" s="27"/>
      <c r="Q7" s="27"/>
      <c r="R7" s="25">
        <v>832.48158333333333</v>
      </c>
      <c r="S7" s="25">
        <f t="shared" si="1"/>
        <v>499.48894999999999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3"/>
        <v>0</v>
      </c>
      <c r="J8" s="30"/>
      <c r="K8" s="28">
        <v>45551</v>
      </c>
      <c r="L8" s="141">
        <v>-3</v>
      </c>
      <c r="M8" s="27"/>
      <c r="N8" s="27"/>
      <c r="O8" s="27"/>
      <c r="P8" s="27"/>
      <c r="Q8" s="27"/>
      <c r="R8" s="112">
        <v>743.28719999999998</v>
      </c>
      <c r="S8" s="25">
        <f t="shared" si="1"/>
        <v>-2229.8616000000002</v>
      </c>
    </row>
    <row r="9" spans="1:29" x14ac:dyDescent="0.25">
      <c r="A9" s="24"/>
      <c r="B9" s="27"/>
      <c r="C9" s="27"/>
      <c r="D9" s="27"/>
      <c r="E9" s="27"/>
      <c r="F9" s="27"/>
      <c r="G9" s="27"/>
      <c r="H9" s="25"/>
      <c r="I9" s="25">
        <f t="shared" si="3"/>
        <v>0</v>
      </c>
      <c r="J9" s="30"/>
      <c r="K9" s="24"/>
      <c r="L9" s="27"/>
      <c r="M9" s="27">
        <v>0.5</v>
      </c>
      <c r="N9" s="27"/>
      <c r="O9" s="27"/>
      <c r="P9" s="27"/>
      <c r="Q9" s="27"/>
      <c r="R9" s="25">
        <v>832.48158333333333</v>
      </c>
      <c r="S9" s="25">
        <f t="shared" si="1"/>
        <v>416.24079166666667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3"/>
        <v>0</v>
      </c>
      <c r="J10" s="30"/>
      <c r="K10" s="28">
        <v>45561</v>
      </c>
      <c r="L10" s="27"/>
      <c r="M10" s="27">
        <v>1</v>
      </c>
      <c r="N10" s="27"/>
      <c r="O10" s="27"/>
      <c r="P10" s="27"/>
      <c r="Q10" s="27"/>
      <c r="R10" s="25">
        <v>832.48158333333333</v>
      </c>
      <c r="S10" s="25">
        <f t="shared" si="1"/>
        <v>832.48158333333333</v>
      </c>
    </row>
    <row r="11" spans="1:29" x14ac:dyDescent="0.25">
      <c r="A11" s="28">
        <v>45565</v>
      </c>
      <c r="B11" s="27"/>
      <c r="C11" s="27"/>
      <c r="D11" s="27"/>
      <c r="E11" s="27"/>
      <c r="F11" s="27"/>
      <c r="G11" s="27">
        <v>12</v>
      </c>
      <c r="H11" s="25">
        <v>642.09699999999998</v>
      </c>
      <c r="I11" s="25">
        <f t="shared" si="3"/>
        <v>7705.1639999999998</v>
      </c>
      <c r="J11" s="30"/>
      <c r="K11" s="24"/>
      <c r="L11" s="27"/>
      <c r="M11" s="27"/>
      <c r="N11" s="27"/>
      <c r="O11" s="27"/>
      <c r="P11" s="27"/>
      <c r="Q11" s="27"/>
      <c r="R11" s="25"/>
      <c r="S11" s="25">
        <f t="shared" si="1"/>
        <v>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3"/>
        <v>0</v>
      </c>
      <c r="J12" s="30"/>
      <c r="K12" s="28">
        <v>45572</v>
      </c>
      <c r="L12" s="27"/>
      <c r="M12" s="27">
        <v>22.84</v>
      </c>
      <c r="N12" s="27"/>
      <c r="O12" s="27"/>
      <c r="P12" s="27"/>
      <c r="Q12" s="27"/>
      <c r="R12" s="25">
        <v>832.48158333333333</v>
      </c>
      <c r="S12" s="25">
        <f t="shared" si="1"/>
        <v>19013.879363333333</v>
      </c>
    </row>
    <row r="13" spans="1:29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3"/>
        <v>0</v>
      </c>
      <c r="J13" s="30"/>
      <c r="K13" s="28">
        <v>45589</v>
      </c>
      <c r="L13" s="27"/>
      <c r="M13" s="27"/>
      <c r="N13" s="27"/>
      <c r="O13" s="27"/>
      <c r="P13" s="27"/>
      <c r="Q13" s="27">
        <v>1</v>
      </c>
      <c r="R13" s="25">
        <v>642.1</v>
      </c>
      <c r="S13" s="25">
        <f t="shared" si="1"/>
        <v>642.1</v>
      </c>
    </row>
    <row r="14" spans="1:29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3"/>
        <v>0</v>
      </c>
      <c r="J14" s="30"/>
      <c r="K14" s="147">
        <v>45594</v>
      </c>
      <c r="L14" s="141"/>
      <c r="M14" s="141">
        <v>20</v>
      </c>
      <c r="N14" s="141"/>
      <c r="O14" s="141"/>
      <c r="P14" s="141"/>
      <c r="Q14" s="141"/>
      <c r="R14" s="148">
        <v>832.48158333333333</v>
      </c>
      <c r="S14" s="148">
        <f t="shared" si="1"/>
        <v>16649.631666666668</v>
      </c>
    </row>
    <row r="15" spans="1:29" x14ac:dyDescent="0.25">
      <c r="A15" s="28">
        <v>45597</v>
      </c>
      <c r="B15" s="27"/>
      <c r="C15" s="27"/>
      <c r="D15" s="27">
        <v>97</v>
      </c>
      <c r="E15" s="27"/>
      <c r="F15" s="27"/>
      <c r="G15" s="27"/>
      <c r="H15" s="25">
        <v>676.42</v>
      </c>
      <c r="I15" s="25">
        <f t="shared" si="3"/>
        <v>65612.739999999991</v>
      </c>
      <c r="J15" s="30"/>
      <c r="K15" s="28"/>
      <c r="L15" s="27"/>
      <c r="M15" s="27"/>
      <c r="N15" s="27"/>
      <c r="O15" s="27"/>
      <c r="P15" s="27"/>
      <c r="Q15" s="27"/>
      <c r="R15" s="25"/>
      <c r="S15" s="25">
        <f t="shared" si="1"/>
        <v>0</v>
      </c>
    </row>
    <row r="16" spans="1:29" x14ac:dyDescent="0.25">
      <c r="A16" s="164" t="s">
        <v>106</v>
      </c>
      <c r="B16" s="133"/>
      <c r="C16" s="133">
        <v>51</v>
      </c>
      <c r="D16" s="133"/>
      <c r="E16" s="133"/>
      <c r="F16" s="133"/>
      <c r="G16" s="133"/>
      <c r="H16" s="165">
        <v>832.48158333333333</v>
      </c>
      <c r="I16" s="165">
        <f t="shared" si="3"/>
        <v>42456.560749999997</v>
      </c>
      <c r="J16" s="30"/>
      <c r="K16" s="28">
        <v>45601</v>
      </c>
      <c r="L16" s="27"/>
      <c r="M16" s="27">
        <v>26</v>
      </c>
      <c r="N16" s="27"/>
      <c r="O16" s="27"/>
      <c r="P16" s="27"/>
      <c r="Q16" s="27"/>
      <c r="R16" s="25">
        <v>832.48</v>
      </c>
      <c r="S16" s="25">
        <f t="shared" si="1"/>
        <v>21644.48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3"/>
        <v>0</v>
      </c>
      <c r="J17" s="30"/>
      <c r="K17" s="28"/>
      <c r="L17" s="27"/>
      <c r="M17" s="27"/>
      <c r="N17" s="27">
        <v>2</v>
      </c>
      <c r="O17" s="27"/>
      <c r="P17" s="27"/>
      <c r="Q17" s="27"/>
      <c r="R17" s="25">
        <v>672.46</v>
      </c>
      <c r="S17" s="25">
        <f t="shared" si="1"/>
        <v>1344.92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3"/>
        <v>0</v>
      </c>
      <c r="J18" s="30"/>
      <c r="K18" s="28">
        <v>45618</v>
      </c>
      <c r="L18" s="27">
        <v>6</v>
      </c>
      <c r="M18" s="27"/>
      <c r="N18" s="27"/>
      <c r="O18" s="27"/>
      <c r="P18" s="27"/>
      <c r="Q18" s="27"/>
      <c r="R18" s="25">
        <v>743.29</v>
      </c>
      <c r="S18" s="25">
        <f t="shared" si="1"/>
        <v>4459.74</v>
      </c>
    </row>
    <row r="19" spans="1:19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3"/>
        <v>0</v>
      </c>
      <c r="J19" s="30"/>
      <c r="K19" s="28"/>
      <c r="L19" s="27"/>
      <c r="M19" s="27"/>
      <c r="N19" s="27">
        <v>25</v>
      </c>
      <c r="O19" s="27"/>
      <c r="P19" s="27"/>
      <c r="Q19" s="27"/>
      <c r="R19" s="25">
        <v>676.42</v>
      </c>
      <c r="S19" s="25">
        <f t="shared" si="1"/>
        <v>16910.5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3"/>
        <v>0</v>
      </c>
      <c r="J20" s="30"/>
      <c r="K20" s="28">
        <v>45631</v>
      </c>
      <c r="L20" s="27"/>
      <c r="M20" s="27"/>
      <c r="N20" s="27"/>
      <c r="O20" s="27"/>
      <c r="P20" s="27"/>
      <c r="Q20" s="27">
        <v>1</v>
      </c>
      <c r="R20" s="25">
        <v>642.1</v>
      </c>
      <c r="S20" s="25">
        <f t="shared" si="1"/>
        <v>642.1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3"/>
        <v>0</v>
      </c>
      <c r="J21" s="30"/>
      <c r="K21" s="28">
        <v>45632</v>
      </c>
      <c r="L21" s="27"/>
      <c r="M21" s="27"/>
      <c r="N21" s="27"/>
      <c r="O21" s="27"/>
      <c r="P21" s="27"/>
      <c r="Q21" s="27">
        <v>1</v>
      </c>
      <c r="R21" s="25">
        <v>642.1</v>
      </c>
      <c r="S21" s="25">
        <f t="shared" si="1"/>
        <v>642.1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3"/>
        <v>0</v>
      </c>
      <c r="J22" s="30"/>
      <c r="K22" s="28">
        <v>45637</v>
      </c>
      <c r="L22" s="27"/>
      <c r="M22" s="27"/>
      <c r="N22" s="27"/>
      <c r="O22" s="27"/>
      <c r="P22" s="27"/>
      <c r="Q22" s="27">
        <v>4</v>
      </c>
      <c r="R22" s="25">
        <v>642.1</v>
      </c>
      <c r="S22" s="25">
        <f t="shared" si="1"/>
        <v>2568.4</v>
      </c>
    </row>
    <row r="23" spans="1:19" x14ac:dyDescent="0.25">
      <c r="A23" s="166"/>
      <c r="B23" s="167"/>
      <c r="C23" s="167"/>
      <c r="D23" s="167"/>
      <c r="E23" s="167"/>
      <c r="F23" s="167"/>
      <c r="G23" s="167"/>
      <c r="H23" s="168"/>
      <c r="I23" s="168">
        <f t="shared" si="3"/>
        <v>0</v>
      </c>
      <c r="J23" s="168"/>
      <c r="K23" s="169" t="s">
        <v>108</v>
      </c>
      <c r="L23" s="167"/>
      <c r="M23" s="167"/>
      <c r="N23" s="167"/>
      <c r="O23" s="167"/>
      <c r="P23" s="167"/>
      <c r="Q23" s="167"/>
      <c r="R23" s="168"/>
      <c r="S23" s="168">
        <f t="shared" si="1"/>
        <v>0</v>
      </c>
    </row>
    <row r="24" spans="1:19" x14ac:dyDescent="0.25">
      <c r="A24" s="24"/>
      <c r="B24" s="27"/>
      <c r="C24" s="27"/>
      <c r="D24" s="27"/>
      <c r="E24" s="27"/>
      <c r="F24" s="27"/>
      <c r="G24" s="27"/>
      <c r="H24" s="25"/>
      <c r="I24" s="25">
        <f t="shared" si="3"/>
        <v>0</v>
      </c>
      <c r="J24" s="30"/>
      <c r="K24" s="28">
        <v>45670</v>
      </c>
      <c r="L24" s="27"/>
      <c r="M24" s="27">
        <v>6</v>
      </c>
      <c r="N24" s="27"/>
      <c r="O24" s="27"/>
      <c r="P24" s="27"/>
      <c r="Q24" s="27"/>
      <c r="R24" s="25">
        <v>832.48</v>
      </c>
      <c r="S24" s="25">
        <f t="shared" si="1"/>
        <v>4994.88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3"/>
        <v>0</v>
      </c>
      <c r="J25" s="30"/>
      <c r="K25" s="28">
        <v>45671</v>
      </c>
      <c r="L25" s="27"/>
      <c r="M25" s="27">
        <v>6</v>
      </c>
      <c r="N25" s="27"/>
      <c r="O25" s="27"/>
      <c r="P25" s="27"/>
      <c r="Q25" s="27"/>
      <c r="R25" s="25">
        <v>832.48</v>
      </c>
      <c r="S25" s="25">
        <f t="shared" si="1"/>
        <v>4994.88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3"/>
        <v>0</v>
      </c>
      <c r="J26" s="30"/>
      <c r="K26" s="28">
        <v>45677</v>
      </c>
      <c r="L26" s="27"/>
      <c r="M26" s="27">
        <v>6</v>
      </c>
      <c r="N26" s="27"/>
      <c r="O26" s="27"/>
      <c r="P26" s="27"/>
      <c r="Q26" s="27"/>
      <c r="R26" s="25">
        <v>832.48</v>
      </c>
      <c r="S26" s="25">
        <f t="shared" si="1"/>
        <v>4994.88</v>
      </c>
    </row>
    <row r="27" spans="1:19" x14ac:dyDescent="0.25">
      <c r="A27" s="24"/>
      <c r="B27" s="27"/>
      <c r="C27" s="27"/>
      <c r="D27" s="27"/>
      <c r="E27" s="27"/>
      <c r="F27" s="27"/>
      <c r="G27" s="27"/>
      <c r="H27" s="25"/>
      <c r="I27" s="25">
        <f t="shared" si="3"/>
        <v>0</v>
      </c>
      <c r="J27" s="30"/>
      <c r="K27" s="28">
        <v>45679</v>
      </c>
      <c r="L27" s="27"/>
      <c r="M27" s="27"/>
      <c r="N27" s="27"/>
      <c r="O27" s="27"/>
      <c r="P27" s="27"/>
      <c r="Q27" s="27">
        <v>1</v>
      </c>
      <c r="R27" s="25">
        <v>642.1</v>
      </c>
      <c r="S27" s="25">
        <f t="shared" si="1"/>
        <v>642.1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3"/>
        <v>0</v>
      </c>
      <c r="J28" s="30"/>
      <c r="K28" s="28">
        <v>45685</v>
      </c>
      <c r="L28" s="27"/>
      <c r="M28" s="27"/>
      <c r="N28" s="27"/>
      <c r="O28" s="27"/>
      <c r="P28" s="27"/>
      <c r="Q28" s="27">
        <v>4</v>
      </c>
      <c r="R28" s="25">
        <v>642.1</v>
      </c>
      <c r="S28" s="25">
        <f t="shared" si="1"/>
        <v>2568.4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3"/>
        <v>0</v>
      </c>
      <c r="J29" s="30"/>
      <c r="K29" s="28">
        <v>45687</v>
      </c>
      <c r="L29" s="27"/>
      <c r="M29" s="27"/>
      <c r="N29" s="27">
        <v>3</v>
      </c>
      <c r="O29" s="27"/>
      <c r="P29" s="27"/>
      <c r="Q29" s="27"/>
      <c r="R29" s="25">
        <v>676.42</v>
      </c>
      <c r="S29" s="25">
        <f t="shared" si="1"/>
        <v>2029.2599999999998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3"/>
        <v>0</v>
      </c>
      <c r="J30" s="30"/>
      <c r="K30" s="169">
        <v>45691</v>
      </c>
      <c r="L30" s="27"/>
      <c r="M30" s="27"/>
      <c r="N30" s="27">
        <v>7</v>
      </c>
      <c r="O30" s="27"/>
      <c r="P30" s="27"/>
      <c r="Q30" s="27"/>
      <c r="R30" s="25">
        <v>676.42</v>
      </c>
      <c r="S30" s="25">
        <f t="shared" si="1"/>
        <v>4734.9399999999996</v>
      </c>
    </row>
    <row r="31" spans="1:19" x14ac:dyDescent="0.25">
      <c r="A31" s="24"/>
      <c r="B31" s="27"/>
      <c r="C31" s="27"/>
      <c r="D31" s="27"/>
      <c r="E31" s="27"/>
      <c r="F31" s="27"/>
      <c r="G31" s="27"/>
      <c r="H31" s="25"/>
      <c r="I31" s="25">
        <f t="shared" si="3"/>
        <v>0</v>
      </c>
      <c r="J31" s="30"/>
      <c r="K31" s="28">
        <v>45714</v>
      </c>
      <c r="L31" s="27"/>
      <c r="M31" s="27"/>
      <c r="N31" s="27">
        <v>12</v>
      </c>
      <c r="O31" s="27"/>
      <c r="P31" s="27"/>
      <c r="Q31" s="27"/>
      <c r="R31" s="25">
        <v>676.42</v>
      </c>
      <c r="S31" s="25">
        <f t="shared" si="1"/>
        <v>8117.0399999999991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3"/>
        <v>0</v>
      </c>
      <c r="J32" s="30"/>
      <c r="K32" s="28">
        <v>45716</v>
      </c>
      <c r="L32" s="27"/>
      <c r="M32" s="27">
        <v>2</v>
      </c>
      <c r="N32" s="27"/>
      <c r="O32" s="27"/>
      <c r="P32" s="27"/>
      <c r="Q32" s="27"/>
      <c r="R32" s="25">
        <v>832.48</v>
      </c>
      <c r="S32" s="25">
        <f t="shared" si="1"/>
        <v>1664.96</v>
      </c>
    </row>
    <row r="33" spans="1:19" ht="16.5" thickBot="1" x14ac:dyDescent="0.3">
      <c r="A33" s="166"/>
      <c r="B33" s="167"/>
      <c r="C33" s="167"/>
      <c r="D33" s="167"/>
      <c r="E33" s="167"/>
      <c r="F33" s="167"/>
      <c r="G33" s="167"/>
      <c r="H33" s="168"/>
      <c r="I33" s="168">
        <f t="shared" si="3"/>
        <v>0</v>
      </c>
      <c r="J33" s="30"/>
      <c r="K33" s="232" t="s">
        <v>135</v>
      </c>
      <c r="L33" s="234"/>
      <c r="M33" s="234"/>
      <c r="N33" s="234"/>
      <c r="O33" s="234"/>
      <c r="P33" s="234"/>
      <c r="Q33" s="234"/>
      <c r="R33" s="235"/>
      <c r="S33" s="235">
        <f t="shared" si="1"/>
        <v>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3"/>
        <v>0</v>
      </c>
      <c r="J34" s="231"/>
      <c r="K34" s="236">
        <v>45719</v>
      </c>
      <c r="L34" s="237"/>
      <c r="M34" s="237"/>
      <c r="N34" s="237">
        <v>3</v>
      </c>
      <c r="O34" s="237"/>
      <c r="P34" s="237"/>
      <c r="Q34" s="237"/>
      <c r="R34" s="238">
        <v>676.42</v>
      </c>
      <c r="S34" s="239">
        <f t="shared" si="1"/>
        <v>2029.2599999999998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3"/>
        <v>0</v>
      </c>
      <c r="J35" s="231"/>
      <c r="K35" s="240">
        <v>45720</v>
      </c>
      <c r="L35" s="27"/>
      <c r="M35" s="27">
        <v>15</v>
      </c>
      <c r="N35" s="27"/>
      <c r="O35" s="27"/>
      <c r="P35" s="27"/>
      <c r="Q35" s="27"/>
      <c r="R35" s="25">
        <v>832.48</v>
      </c>
      <c r="S35" s="241">
        <f t="shared" si="1"/>
        <v>12487.2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3"/>
        <v>0</v>
      </c>
      <c r="J36" s="231"/>
      <c r="K36" s="240">
        <v>45721</v>
      </c>
      <c r="L36" s="27"/>
      <c r="M36" s="27">
        <v>6</v>
      </c>
      <c r="N36" s="27"/>
      <c r="O36" s="27"/>
      <c r="P36" s="27"/>
      <c r="Q36" s="27"/>
      <c r="R36" s="25">
        <v>832.48</v>
      </c>
      <c r="S36" s="241">
        <f t="shared" si="1"/>
        <v>4994.88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3"/>
        <v>0</v>
      </c>
      <c r="J37" s="231"/>
      <c r="K37" s="240">
        <v>45722</v>
      </c>
      <c r="L37" s="27"/>
      <c r="M37" s="27">
        <v>7</v>
      </c>
      <c r="N37" s="27"/>
      <c r="O37" s="27"/>
      <c r="P37" s="27"/>
      <c r="Q37" s="27"/>
      <c r="R37" s="25">
        <v>832.48</v>
      </c>
      <c r="S37" s="241">
        <f t="shared" si="1"/>
        <v>5827.3600000000006</v>
      </c>
    </row>
    <row r="38" spans="1:19" ht="16.5" thickBot="1" x14ac:dyDescent="0.3">
      <c r="A38" s="24"/>
      <c r="B38" s="27"/>
      <c r="C38" s="27"/>
      <c r="D38" s="27"/>
      <c r="E38" s="27"/>
      <c r="F38" s="27"/>
      <c r="G38" s="27"/>
      <c r="H38" s="25"/>
      <c r="I38" s="25">
        <f t="shared" si="3"/>
        <v>0</v>
      </c>
      <c r="J38" s="231"/>
      <c r="K38" s="242">
        <v>45723</v>
      </c>
      <c r="L38" s="124"/>
      <c r="M38" s="124">
        <v>7</v>
      </c>
      <c r="N38" s="124"/>
      <c r="O38" s="124"/>
      <c r="P38" s="124"/>
      <c r="Q38" s="124"/>
      <c r="R38" s="125">
        <v>832.48</v>
      </c>
      <c r="S38" s="243">
        <f t="shared" si="1"/>
        <v>5827.3600000000006</v>
      </c>
    </row>
    <row r="39" spans="1:19" x14ac:dyDescent="0.25">
      <c r="A39" s="24"/>
      <c r="B39" s="27"/>
      <c r="C39" s="27"/>
      <c r="D39" s="27"/>
      <c r="E39" s="27"/>
      <c r="F39" s="27"/>
      <c r="G39" s="27"/>
      <c r="H39" s="25"/>
      <c r="I39" s="25">
        <f t="shared" si="3"/>
        <v>0</v>
      </c>
      <c r="J39" s="231"/>
      <c r="K39" s="236">
        <v>45726</v>
      </c>
      <c r="L39" s="237"/>
      <c r="M39" s="237"/>
      <c r="N39" s="237">
        <v>25</v>
      </c>
      <c r="O39" s="237"/>
      <c r="P39" s="237"/>
      <c r="Q39" s="237"/>
      <c r="R39" s="238">
        <v>676.42</v>
      </c>
      <c r="S39" s="239">
        <f t="shared" si="1"/>
        <v>16910.5</v>
      </c>
    </row>
    <row r="40" spans="1:19" x14ac:dyDescent="0.25">
      <c r="A40" s="24"/>
      <c r="B40" s="27"/>
      <c r="C40" s="27"/>
      <c r="D40" s="27"/>
      <c r="E40" s="27"/>
      <c r="F40" s="27"/>
      <c r="G40" s="27"/>
      <c r="H40" s="25"/>
      <c r="I40" s="25">
        <f t="shared" si="3"/>
        <v>0</v>
      </c>
      <c r="J40" s="231"/>
      <c r="K40" s="240">
        <v>45729</v>
      </c>
      <c r="L40" s="27"/>
      <c r="M40" s="27">
        <v>45</v>
      </c>
      <c r="N40" s="27"/>
      <c r="O40" s="27"/>
      <c r="P40" s="27"/>
      <c r="Q40" s="27"/>
      <c r="R40" s="25">
        <v>832.48</v>
      </c>
      <c r="S40" s="241">
        <f t="shared" si="1"/>
        <v>37461.599999999999</v>
      </c>
    </row>
    <row r="41" spans="1:19" ht="16.5" thickBot="1" x14ac:dyDescent="0.3">
      <c r="A41" s="28">
        <v>45730</v>
      </c>
      <c r="B41" s="27"/>
      <c r="C41" s="27"/>
      <c r="D41" s="27"/>
      <c r="E41" s="27">
        <v>450</v>
      </c>
      <c r="F41" s="27"/>
      <c r="G41" s="27"/>
      <c r="H41" s="25">
        <v>559.19762200000002</v>
      </c>
      <c r="I41" s="25">
        <f t="shared" si="3"/>
        <v>251638.92990000002</v>
      </c>
      <c r="J41" s="231"/>
      <c r="K41" s="242"/>
      <c r="L41" s="124"/>
      <c r="M41" s="124"/>
      <c r="N41" s="124"/>
      <c r="O41" s="124"/>
      <c r="P41" s="124"/>
      <c r="Q41" s="124"/>
      <c r="R41" s="125"/>
      <c r="S41" s="243">
        <f t="shared" si="1"/>
        <v>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3"/>
        <v>0</v>
      </c>
      <c r="J42" s="231"/>
      <c r="K42" s="276">
        <v>45733</v>
      </c>
      <c r="L42" s="253"/>
      <c r="M42" s="253"/>
      <c r="N42" s="253">
        <v>8</v>
      </c>
      <c r="O42" s="253"/>
      <c r="P42" s="253"/>
      <c r="Q42" s="253"/>
      <c r="R42" s="254">
        <v>676.42</v>
      </c>
      <c r="S42" s="255">
        <f t="shared" si="1"/>
        <v>5411.36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3"/>
        <v>0</v>
      </c>
      <c r="J43" s="231"/>
      <c r="K43" s="276">
        <v>45747</v>
      </c>
      <c r="L43" s="253"/>
      <c r="M43" s="253"/>
      <c r="N43" s="253"/>
      <c r="O43" s="253">
        <v>25</v>
      </c>
      <c r="P43" s="253"/>
      <c r="Q43" s="253"/>
      <c r="R43" s="254">
        <v>559.20000000000005</v>
      </c>
      <c r="S43" s="255">
        <f t="shared" si="1"/>
        <v>13980.000000000002</v>
      </c>
    </row>
    <row r="44" spans="1:19" x14ac:dyDescent="0.25">
      <c r="A44" s="24"/>
      <c r="B44" s="27"/>
      <c r="C44" s="27"/>
      <c r="D44" s="27"/>
      <c r="E44" s="27"/>
      <c r="F44" s="27"/>
      <c r="G44" s="27"/>
      <c r="H44" s="25"/>
      <c r="I44" s="25">
        <f t="shared" si="3"/>
        <v>0</v>
      </c>
      <c r="J44" s="231"/>
      <c r="K44" s="236">
        <v>45749</v>
      </c>
      <c r="L44" s="237">
        <v>5</v>
      </c>
      <c r="M44" s="237"/>
      <c r="N44" s="237"/>
      <c r="O44" s="237"/>
      <c r="P44" s="237"/>
      <c r="Q44" s="237"/>
      <c r="R44" s="334">
        <v>743.28719999999998</v>
      </c>
      <c r="S44" s="239">
        <f t="shared" si="1"/>
        <v>3716.4359999999997</v>
      </c>
    </row>
    <row r="45" spans="1:19" x14ac:dyDescent="0.25">
      <c r="A45" s="24"/>
      <c r="B45" s="27"/>
      <c r="C45" s="27"/>
      <c r="D45" s="27"/>
      <c r="E45" s="27"/>
      <c r="F45" s="27"/>
      <c r="G45" s="27"/>
      <c r="H45" s="25"/>
      <c r="I45" s="25">
        <f t="shared" si="3"/>
        <v>0</v>
      </c>
      <c r="J45" s="231"/>
      <c r="K45" s="240"/>
      <c r="L45" s="27"/>
      <c r="M45" s="27"/>
      <c r="N45" s="27">
        <v>12</v>
      </c>
      <c r="O45" s="27"/>
      <c r="P45" s="27"/>
      <c r="Q45" s="27"/>
      <c r="R45" s="25">
        <v>676.42</v>
      </c>
      <c r="S45" s="241">
        <f t="shared" si="1"/>
        <v>8117.0399999999991</v>
      </c>
    </row>
    <row r="46" spans="1:19" x14ac:dyDescent="0.25">
      <c r="A46" s="24"/>
      <c r="B46" s="27"/>
      <c r="C46" s="27"/>
      <c r="D46" s="27"/>
      <c r="E46" s="27"/>
      <c r="F46" s="27"/>
      <c r="G46" s="27"/>
      <c r="H46" s="25"/>
      <c r="I46" s="25">
        <f t="shared" si="3"/>
        <v>0</v>
      </c>
      <c r="J46" s="231"/>
      <c r="K46" s="240">
        <v>45750</v>
      </c>
      <c r="L46" s="27">
        <v>1</v>
      </c>
      <c r="M46" s="27"/>
      <c r="N46" s="27"/>
      <c r="O46" s="27"/>
      <c r="P46" s="27"/>
      <c r="Q46" s="27"/>
      <c r="R46" s="112">
        <v>743.28719999999998</v>
      </c>
      <c r="S46" s="241">
        <f t="shared" si="1"/>
        <v>743.28719999999998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>
        <f t="shared" si="3"/>
        <v>0</v>
      </c>
      <c r="J47" s="231"/>
      <c r="K47" s="242"/>
      <c r="L47" s="124"/>
      <c r="M47" s="124"/>
      <c r="N47" s="124"/>
      <c r="O47" s="124">
        <v>25</v>
      </c>
      <c r="P47" s="124"/>
      <c r="Q47" s="124"/>
      <c r="R47" s="125">
        <v>559.20000000000005</v>
      </c>
      <c r="S47" s="243">
        <f t="shared" si="1"/>
        <v>13980.000000000002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>
        <f t="shared" si="3"/>
        <v>0</v>
      </c>
      <c r="J48" s="231"/>
      <c r="K48" s="236" t="s">
        <v>150</v>
      </c>
      <c r="L48" s="237">
        <v>11</v>
      </c>
      <c r="M48" s="237"/>
      <c r="N48" s="237"/>
      <c r="O48" s="237"/>
      <c r="P48" s="237"/>
      <c r="Q48" s="237"/>
      <c r="R48" s="334">
        <v>743.28719999999998</v>
      </c>
      <c r="S48" s="239">
        <f t="shared" si="1"/>
        <v>8176.1592000000001</v>
      </c>
    </row>
    <row r="49" spans="1:19" ht="16.5" thickBot="1" x14ac:dyDescent="0.3">
      <c r="A49" s="24"/>
      <c r="B49" s="27"/>
      <c r="C49" s="27"/>
      <c r="D49" s="27"/>
      <c r="E49" s="27"/>
      <c r="F49" s="27"/>
      <c r="G49" s="27"/>
      <c r="H49" s="25"/>
      <c r="I49" s="25">
        <f t="shared" si="3"/>
        <v>0</v>
      </c>
      <c r="J49" s="231"/>
      <c r="K49" s="242"/>
      <c r="L49" s="124"/>
      <c r="M49" s="124"/>
      <c r="N49" s="124"/>
      <c r="O49" s="124">
        <v>65</v>
      </c>
      <c r="P49" s="124"/>
      <c r="Q49" s="124"/>
      <c r="R49" s="125">
        <v>559.20000000000005</v>
      </c>
      <c r="S49" s="243">
        <f t="shared" si="1"/>
        <v>36348</v>
      </c>
    </row>
    <row r="50" spans="1:19" ht="16.5" thickBot="1" x14ac:dyDescent="0.3">
      <c r="A50" s="24"/>
      <c r="B50" s="27"/>
      <c r="C50" s="27"/>
      <c r="D50" s="27"/>
      <c r="E50" s="27"/>
      <c r="F50" s="27"/>
      <c r="G50" s="27"/>
      <c r="H50" s="25"/>
      <c r="I50" s="25">
        <f t="shared" si="3"/>
        <v>0</v>
      </c>
      <c r="J50" s="231"/>
      <c r="K50" s="276">
        <v>45768</v>
      </c>
      <c r="L50" s="253"/>
      <c r="M50" s="253"/>
      <c r="N50" s="253"/>
      <c r="O50" s="253">
        <v>25</v>
      </c>
      <c r="P50" s="253"/>
      <c r="Q50" s="253"/>
      <c r="R50" s="254">
        <v>559.20000000000005</v>
      </c>
      <c r="S50" s="255">
        <f t="shared" si="1"/>
        <v>13980.000000000002</v>
      </c>
    </row>
    <row r="51" spans="1:19" x14ac:dyDescent="0.25">
      <c r="A51" s="24"/>
      <c r="B51" s="27"/>
      <c r="C51" s="27"/>
      <c r="D51" s="27"/>
      <c r="E51" s="27"/>
      <c r="F51" s="27"/>
      <c r="G51" s="27"/>
      <c r="H51" s="25"/>
      <c r="I51" s="25">
        <f t="shared" si="3"/>
        <v>0</v>
      </c>
      <c r="J51" s="30"/>
      <c r="K51" s="122" t="s">
        <v>163</v>
      </c>
      <c r="L51" s="119">
        <v>7</v>
      </c>
      <c r="M51" s="119"/>
      <c r="N51" s="119"/>
      <c r="O51" s="119"/>
      <c r="P51" s="119"/>
      <c r="Q51" s="119"/>
      <c r="R51" s="120">
        <v>743.29</v>
      </c>
      <c r="S51" s="120">
        <f t="shared" si="1"/>
        <v>5203.03</v>
      </c>
    </row>
    <row r="52" spans="1:19" x14ac:dyDescent="0.25">
      <c r="A52" s="24"/>
      <c r="B52" s="27"/>
      <c r="C52" s="27"/>
      <c r="D52" s="27"/>
      <c r="E52" s="27"/>
      <c r="F52" s="27"/>
      <c r="G52" s="27"/>
      <c r="H52" s="25"/>
      <c r="I52" s="25">
        <f t="shared" si="3"/>
        <v>0</v>
      </c>
      <c r="J52" s="30"/>
      <c r="K52" s="28" t="s">
        <v>168</v>
      </c>
      <c r="L52" s="27"/>
      <c r="M52" s="27"/>
      <c r="N52" s="27"/>
      <c r="O52" s="27"/>
      <c r="P52" s="27">
        <v>25</v>
      </c>
      <c r="Q52" s="27"/>
      <c r="R52" s="25">
        <v>559.19762200000002</v>
      </c>
      <c r="S52" s="25">
        <f>L52*R52+M52*R52+N52*R52+O52*R52+P52*R52+Q52*R52</f>
        <v>13979.940550000001</v>
      </c>
    </row>
    <row r="53" spans="1:19" x14ac:dyDescent="0.25">
      <c r="A53" s="24"/>
      <c r="B53" s="27"/>
      <c r="C53" s="27"/>
      <c r="D53" s="27"/>
      <c r="E53" s="27"/>
      <c r="F53" s="27"/>
      <c r="G53" s="27"/>
      <c r="H53" s="25"/>
      <c r="I53" s="25">
        <f t="shared" si="3"/>
        <v>0</v>
      </c>
      <c r="J53" s="30"/>
      <c r="K53" s="28"/>
      <c r="L53" s="27"/>
      <c r="M53" s="27"/>
      <c r="N53" s="27"/>
      <c r="O53" s="27"/>
      <c r="P53" s="27"/>
      <c r="Q53" s="27"/>
      <c r="R53" s="25"/>
      <c r="S53" s="25">
        <f t="shared" si="1"/>
        <v>0</v>
      </c>
    </row>
    <row r="54" spans="1:19" x14ac:dyDescent="0.25">
      <c r="A54" s="24"/>
      <c r="B54" s="27"/>
      <c r="C54" s="27"/>
      <c r="D54" s="27"/>
      <c r="E54" s="27"/>
      <c r="F54" s="27"/>
      <c r="G54" s="27"/>
      <c r="H54" s="25"/>
      <c r="I54" s="25">
        <f t="shared" si="3"/>
        <v>0</v>
      </c>
      <c r="J54" s="30"/>
      <c r="K54" s="28"/>
      <c r="L54" s="27"/>
      <c r="M54" s="27"/>
      <c r="N54" s="27"/>
      <c r="O54" s="27"/>
      <c r="P54" s="27"/>
      <c r="Q54" s="27"/>
      <c r="R54" s="25"/>
      <c r="S54" s="25">
        <f t="shared" si="1"/>
        <v>0</v>
      </c>
    </row>
    <row r="55" spans="1:19" x14ac:dyDescent="0.25">
      <c r="A55" s="24"/>
      <c r="B55" s="27"/>
      <c r="C55" s="27"/>
      <c r="D55" s="27"/>
      <c r="E55" s="27"/>
      <c r="F55" s="27"/>
      <c r="G55" s="27"/>
      <c r="H55" s="25"/>
      <c r="I55" s="25">
        <f t="shared" si="3"/>
        <v>0</v>
      </c>
      <c r="J55" s="30"/>
      <c r="K55" s="28"/>
      <c r="L55" s="27"/>
      <c r="M55" s="27"/>
      <c r="N55" s="27"/>
      <c r="O55" s="27"/>
      <c r="P55" s="27"/>
      <c r="Q55" s="27"/>
      <c r="R55" s="25"/>
      <c r="S55" s="25">
        <f t="shared" si="1"/>
        <v>0</v>
      </c>
    </row>
    <row r="56" spans="1:19" x14ac:dyDescent="0.25">
      <c r="A56" s="24"/>
      <c r="B56" s="27"/>
      <c r="C56" s="27"/>
      <c r="D56" s="27"/>
      <c r="E56" s="27"/>
      <c r="F56" s="27"/>
      <c r="G56" s="27"/>
      <c r="H56" s="25"/>
      <c r="I56" s="25">
        <f t="shared" si="3"/>
        <v>0</v>
      </c>
      <c r="J56" s="30"/>
      <c r="K56" s="28"/>
      <c r="L56" s="27"/>
      <c r="M56" s="27"/>
      <c r="N56" s="27"/>
      <c r="O56" s="27"/>
      <c r="P56" s="27"/>
      <c r="Q56" s="27"/>
      <c r="R56" s="25"/>
      <c r="S56" s="25">
        <f t="shared" si="1"/>
        <v>0</v>
      </c>
    </row>
    <row r="57" spans="1:19" x14ac:dyDescent="0.25">
      <c r="A57" s="24"/>
      <c r="B57" s="27"/>
      <c r="C57" s="27"/>
      <c r="D57" s="27"/>
      <c r="E57" s="27"/>
      <c r="F57" s="27"/>
      <c r="G57" s="27"/>
      <c r="H57" s="25"/>
      <c r="I57" s="25">
        <f t="shared" si="3"/>
        <v>0</v>
      </c>
      <c r="J57" s="30"/>
      <c r="K57" s="28"/>
      <c r="L57" s="27"/>
      <c r="M57" s="27"/>
      <c r="N57" s="27"/>
      <c r="O57" s="27"/>
      <c r="P57" s="27"/>
      <c r="Q57" s="27"/>
      <c r="R57" s="25"/>
      <c r="S57" s="25">
        <f t="shared" si="1"/>
        <v>0</v>
      </c>
    </row>
    <row r="58" spans="1:19" x14ac:dyDescent="0.25">
      <c r="A58" s="24"/>
      <c r="B58" s="27"/>
      <c r="C58" s="27"/>
      <c r="D58" s="27"/>
      <c r="E58" s="27"/>
      <c r="F58" s="27"/>
      <c r="G58" s="27"/>
      <c r="H58" s="25"/>
      <c r="I58" s="25">
        <f t="shared" si="3"/>
        <v>0</v>
      </c>
      <c r="J58" s="30"/>
      <c r="K58" s="28"/>
      <c r="L58" s="27"/>
      <c r="M58" s="27"/>
      <c r="N58" s="27"/>
      <c r="O58" s="27"/>
      <c r="P58" s="27"/>
      <c r="Q58" s="27"/>
      <c r="R58" s="25"/>
      <c r="S58" s="25">
        <f t="shared" si="1"/>
        <v>0</v>
      </c>
    </row>
    <row r="59" spans="1:19" x14ac:dyDescent="0.25">
      <c r="A59" s="24"/>
      <c r="B59" s="27"/>
      <c r="C59" s="27"/>
      <c r="D59" s="27"/>
      <c r="E59" s="27"/>
      <c r="F59" s="27"/>
      <c r="G59" s="27"/>
      <c r="H59" s="25"/>
      <c r="I59" s="25">
        <f t="shared" si="3"/>
        <v>0</v>
      </c>
      <c r="J59" s="30"/>
      <c r="K59" s="28"/>
      <c r="L59" s="27"/>
      <c r="M59" s="27"/>
      <c r="N59" s="27"/>
      <c r="O59" s="27"/>
      <c r="P59" s="27"/>
      <c r="Q59" s="27"/>
      <c r="R59" s="25"/>
      <c r="S59" s="25">
        <f t="shared" si="1"/>
        <v>0</v>
      </c>
    </row>
    <row r="60" spans="1:19" x14ac:dyDescent="0.25">
      <c r="A60" s="24"/>
      <c r="B60" s="27"/>
      <c r="C60" s="27"/>
      <c r="D60" s="27"/>
      <c r="E60" s="27"/>
      <c r="F60" s="27"/>
      <c r="G60" s="27"/>
      <c r="H60" s="25"/>
      <c r="I60" s="25">
        <f t="shared" si="3"/>
        <v>0</v>
      </c>
      <c r="J60" s="30"/>
      <c r="K60" s="28"/>
      <c r="L60" s="27"/>
      <c r="M60" s="27"/>
      <c r="N60" s="27"/>
      <c r="O60" s="27"/>
      <c r="P60" s="27"/>
      <c r="Q60" s="27"/>
      <c r="R60" s="25"/>
      <c r="S60" s="25">
        <f t="shared" si="1"/>
        <v>0</v>
      </c>
    </row>
    <row r="61" spans="1:19" x14ac:dyDescent="0.25">
      <c r="A61" s="24"/>
      <c r="B61" s="27"/>
      <c r="C61" s="27"/>
      <c r="D61" s="27"/>
      <c r="E61" s="27"/>
      <c r="F61" s="27"/>
      <c r="G61" s="27"/>
      <c r="H61" s="25"/>
      <c r="I61" s="25">
        <f t="shared" si="3"/>
        <v>0</v>
      </c>
      <c r="J61" s="30"/>
      <c r="K61" s="28"/>
      <c r="L61" s="27"/>
      <c r="M61" s="27"/>
      <c r="N61" s="27"/>
      <c r="O61" s="27"/>
      <c r="P61" s="27"/>
      <c r="Q61" s="27"/>
      <c r="R61" s="25"/>
      <c r="S61" s="25">
        <f t="shared" si="1"/>
        <v>0</v>
      </c>
    </row>
    <row r="62" spans="1:19" x14ac:dyDescent="0.25">
      <c r="A62" s="24"/>
      <c r="B62" s="27"/>
      <c r="C62" s="27"/>
      <c r="D62" s="27"/>
      <c r="E62" s="27"/>
      <c r="F62" s="27"/>
      <c r="G62" s="27"/>
      <c r="H62" s="25"/>
      <c r="I62" s="25">
        <f t="shared" si="3"/>
        <v>0</v>
      </c>
      <c r="J62" s="30"/>
      <c r="K62" s="28"/>
      <c r="L62" s="27"/>
      <c r="M62" s="27"/>
      <c r="N62" s="27"/>
      <c r="O62" s="27"/>
      <c r="P62" s="27"/>
      <c r="Q62" s="27"/>
      <c r="R62" s="25"/>
      <c r="S62" s="25">
        <f t="shared" si="1"/>
        <v>0</v>
      </c>
    </row>
    <row r="63" spans="1:19" x14ac:dyDescent="0.25">
      <c r="A63" s="24"/>
      <c r="B63" s="27"/>
      <c r="C63" s="27"/>
      <c r="D63" s="27"/>
      <c r="E63" s="27"/>
      <c r="F63" s="27"/>
      <c r="G63" s="27"/>
      <c r="H63" s="25"/>
      <c r="I63" s="25">
        <f t="shared" si="3"/>
        <v>0</v>
      </c>
      <c r="J63" s="30"/>
      <c r="K63" s="28"/>
      <c r="L63" s="27"/>
      <c r="M63" s="27"/>
      <c r="N63" s="27"/>
      <c r="O63" s="27"/>
      <c r="P63" s="27"/>
      <c r="Q63" s="27"/>
      <c r="R63" s="25"/>
      <c r="S63" s="25">
        <f t="shared" si="1"/>
        <v>0</v>
      </c>
    </row>
    <row r="64" spans="1:19" x14ac:dyDescent="0.25">
      <c r="A64" s="24"/>
      <c r="B64" s="27"/>
      <c r="C64" s="27"/>
      <c r="D64" s="27"/>
      <c r="E64" s="27"/>
      <c r="F64" s="27"/>
      <c r="G64" s="27"/>
      <c r="H64" s="25"/>
      <c r="I64" s="25">
        <f t="shared" si="3"/>
        <v>0</v>
      </c>
      <c r="J64" s="30"/>
      <c r="K64" s="28"/>
      <c r="L64" s="27"/>
      <c r="M64" s="27"/>
      <c r="N64" s="27"/>
      <c r="O64" s="27"/>
      <c r="P64" s="27"/>
      <c r="Q64" s="27"/>
      <c r="R64" s="25"/>
      <c r="S64" s="25">
        <f t="shared" si="1"/>
        <v>0</v>
      </c>
    </row>
    <row r="65" spans="1:19" x14ac:dyDescent="0.25">
      <c r="A65" s="24"/>
      <c r="B65" s="27"/>
      <c r="C65" s="27"/>
      <c r="D65" s="27"/>
      <c r="E65" s="27"/>
      <c r="F65" s="27"/>
      <c r="G65" s="27"/>
      <c r="H65" s="25"/>
      <c r="I65" s="25">
        <f t="shared" si="3"/>
        <v>0</v>
      </c>
      <c r="J65" s="30"/>
      <c r="K65" s="24"/>
      <c r="L65" s="27"/>
      <c r="M65" s="27"/>
      <c r="N65" s="27"/>
      <c r="O65" s="27"/>
      <c r="P65" s="27"/>
      <c r="Q65" s="27"/>
      <c r="R65" s="25"/>
      <c r="S65" s="25">
        <f t="shared" si="1"/>
        <v>0</v>
      </c>
    </row>
    <row r="66" spans="1:19" x14ac:dyDescent="0.25">
      <c r="A66" s="24"/>
      <c r="B66" s="27"/>
      <c r="C66" s="27"/>
      <c r="D66" s="27"/>
      <c r="E66" s="27"/>
      <c r="F66" s="27"/>
      <c r="G66" s="27"/>
      <c r="H66" s="25"/>
      <c r="I66" s="25">
        <f t="shared" si="3"/>
        <v>0</v>
      </c>
      <c r="J66" s="30"/>
      <c r="K66" s="24"/>
      <c r="L66" s="27"/>
      <c r="M66" s="27"/>
      <c r="N66" s="27"/>
      <c r="O66" s="27"/>
      <c r="P66" s="27"/>
      <c r="Q66" s="27"/>
      <c r="R66" s="25"/>
      <c r="S66" s="25">
        <f t="shared" si="1"/>
        <v>0</v>
      </c>
    </row>
    <row r="67" spans="1:19" x14ac:dyDescent="0.25">
      <c r="A67" s="24"/>
      <c r="B67" s="27"/>
      <c r="C67" s="27"/>
      <c r="D67" s="27"/>
      <c r="E67" s="27"/>
      <c r="F67" s="27"/>
      <c r="G67" s="27"/>
      <c r="H67" s="25"/>
      <c r="I67" s="25">
        <f t="shared" si="3"/>
        <v>0</v>
      </c>
      <c r="J67" s="30"/>
      <c r="K67" s="24"/>
      <c r="L67" s="27"/>
      <c r="M67" s="27"/>
      <c r="N67" s="27"/>
      <c r="O67" s="27"/>
      <c r="P67" s="27"/>
      <c r="Q67" s="27"/>
      <c r="R67" s="25"/>
      <c r="S67" s="25"/>
    </row>
    <row r="68" spans="1:19" x14ac:dyDescent="0.25">
      <c r="A68" s="24"/>
      <c r="B68" s="27">
        <f>SUM(B3:B67)</f>
        <v>120</v>
      </c>
      <c r="C68" s="27">
        <f>SUM(C3:C67)</f>
        <v>171</v>
      </c>
      <c r="D68" s="27">
        <f>SUM(D3:D67)</f>
        <v>97</v>
      </c>
      <c r="E68" s="27">
        <f t="shared" ref="E68:H68" si="4">SUM(E3:E67)</f>
        <v>450</v>
      </c>
      <c r="F68" s="27">
        <f t="shared" si="4"/>
        <v>0</v>
      </c>
      <c r="G68" s="27">
        <f t="shared" si="4"/>
        <v>12</v>
      </c>
      <c r="H68" s="27">
        <f t="shared" si="4"/>
        <v>4285.9649886666666</v>
      </c>
      <c r="I68" s="25">
        <f>SUM(I3:I67)</f>
        <v>556505.64864999999</v>
      </c>
      <c r="J68" s="30"/>
      <c r="K68" s="24"/>
      <c r="L68" s="27">
        <f>SUM(L3:L67)</f>
        <v>27</v>
      </c>
      <c r="M68" s="27">
        <f t="shared" ref="M68:Q68" si="5">SUM(M3:M67)</f>
        <v>171</v>
      </c>
      <c r="N68" s="27">
        <f t="shared" si="5"/>
        <v>97</v>
      </c>
      <c r="O68" s="27">
        <f t="shared" si="5"/>
        <v>140</v>
      </c>
      <c r="P68" s="27">
        <f t="shared" si="5"/>
        <v>25</v>
      </c>
      <c r="Q68" s="27">
        <f t="shared" si="5"/>
        <v>12</v>
      </c>
      <c r="R68" s="25"/>
      <c r="S68" s="25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workbookViewId="0">
      <pane ySplit="1" topLeftCell="A91" activePane="bottomLeft" state="frozen"/>
      <selection pane="bottomLeft" activeCell="N120" sqref="N120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9" width="11.28515625" style="26" customWidth="1"/>
    <col min="10" max="10" width="10.5703125" style="29" customWidth="1"/>
    <col min="11" max="11" width="14.42578125" style="29" bestFit="1" customWidth="1"/>
    <col min="12" max="13" width="8.85546875" style="26"/>
    <col min="14" max="14" width="14.42578125" style="26" bestFit="1" customWidth="1"/>
    <col min="15" max="15" width="12.7109375" style="26" bestFit="1" customWidth="1"/>
    <col min="16" max="16384" width="8.85546875" style="26"/>
  </cols>
  <sheetData>
    <row r="1" spans="1:22" s="60" customFormat="1" ht="42.75" x14ac:dyDescent="0.25">
      <c r="A1" s="57" t="s">
        <v>17</v>
      </c>
      <c r="B1" s="57" t="s">
        <v>31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31</v>
      </c>
      <c r="I1" s="57" t="s">
        <v>31</v>
      </c>
      <c r="J1" s="58" t="s">
        <v>18</v>
      </c>
      <c r="K1" s="58" t="s">
        <v>19</v>
      </c>
      <c r="L1" s="59"/>
      <c r="M1" s="59"/>
      <c r="N1" s="57" t="s">
        <v>31</v>
      </c>
      <c r="O1" s="57" t="s">
        <v>31</v>
      </c>
      <c r="P1" s="57"/>
      <c r="Q1" s="57"/>
      <c r="R1" s="57"/>
    </row>
    <row r="2" spans="1:22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5"/>
      <c r="K2" s="25"/>
      <c r="M2" s="31"/>
      <c r="N2" s="27">
        <f>0+B117-H117</f>
        <v>0</v>
      </c>
      <c r="O2" s="27">
        <f>0+C117-I117</f>
        <v>2650</v>
      </c>
      <c r="P2" s="27"/>
      <c r="Q2" s="27"/>
      <c r="R2" s="27"/>
      <c r="S2" s="31"/>
      <c r="T2" s="31"/>
      <c r="U2" s="31"/>
      <c r="V2" s="31"/>
    </row>
    <row r="3" spans="1:22" x14ac:dyDescent="0.25">
      <c r="A3" s="28">
        <v>45513</v>
      </c>
      <c r="B3" s="27">
        <v>5250</v>
      </c>
      <c r="C3" s="27"/>
      <c r="D3" s="25">
        <v>26</v>
      </c>
      <c r="E3" s="25">
        <f>B3*D3+C3*D3</f>
        <v>136500</v>
      </c>
      <c r="F3" s="30"/>
      <c r="G3" s="28"/>
      <c r="H3" s="27"/>
      <c r="I3" s="27"/>
      <c r="J3" s="25"/>
      <c r="K3" s="25"/>
      <c r="N3" s="25">
        <v>26</v>
      </c>
      <c r="O3" s="25">
        <v>27</v>
      </c>
      <c r="P3" s="25"/>
      <c r="Q3" s="25"/>
      <c r="R3" s="25"/>
      <c r="S3" s="29"/>
      <c r="T3" s="29"/>
      <c r="U3" s="29"/>
    </row>
    <row r="4" spans="1:22" x14ac:dyDescent="0.25">
      <c r="A4" s="24"/>
      <c r="B4" s="27"/>
      <c r="C4" s="27"/>
      <c r="D4" s="25"/>
      <c r="E4" s="25">
        <f t="shared" ref="E4:E116" si="0">B4*D4+C4*D4</f>
        <v>0</v>
      </c>
      <c r="F4" s="30"/>
      <c r="G4" s="24" t="s">
        <v>48</v>
      </c>
      <c r="H4" s="27">
        <v>14</v>
      </c>
      <c r="I4" s="27"/>
      <c r="J4" s="25">
        <v>26</v>
      </c>
      <c r="K4" s="25">
        <f t="shared" ref="K4:K35" si="1">H4*J4+I4*J4</f>
        <v>364</v>
      </c>
      <c r="N4" s="25">
        <f>N2*N3</f>
        <v>0</v>
      </c>
      <c r="O4" s="25">
        <f>O2*O3</f>
        <v>71550</v>
      </c>
      <c r="P4" s="25"/>
      <c r="Q4" s="25"/>
      <c r="R4" s="25"/>
      <c r="S4" s="29"/>
      <c r="T4" s="29"/>
      <c r="U4" s="29"/>
    </row>
    <row r="5" spans="1:22" x14ac:dyDescent="0.25">
      <c r="A5" s="24"/>
      <c r="B5" s="27"/>
      <c r="C5" s="27"/>
      <c r="D5" s="25"/>
      <c r="E5" s="25">
        <f t="shared" si="0"/>
        <v>0</v>
      </c>
      <c r="F5" s="30"/>
      <c r="G5" s="28">
        <v>45535</v>
      </c>
      <c r="H5" s="27">
        <v>29</v>
      </c>
      <c r="I5" s="27"/>
      <c r="J5" s="25">
        <v>26</v>
      </c>
      <c r="K5" s="25">
        <f t="shared" si="1"/>
        <v>754</v>
      </c>
    </row>
    <row r="6" spans="1:22" x14ac:dyDescent="0.25">
      <c r="A6" s="24"/>
      <c r="B6" s="27"/>
      <c r="C6" s="27"/>
      <c r="D6" s="25"/>
      <c r="E6" s="25">
        <f t="shared" si="0"/>
        <v>0</v>
      </c>
      <c r="F6" s="30"/>
      <c r="G6" s="28">
        <v>45545</v>
      </c>
      <c r="H6" s="27">
        <v>4</v>
      </c>
      <c r="I6" s="27"/>
      <c r="J6" s="25">
        <v>26</v>
      </c>
      <c r="K6" s="25">
        <f t="shared" si="1"/>
        <v>104</v>
      </c>
    </row>
    <row r="7" spans="1:22" x14ac:dyDescent="0.25">
      <c r="A7" s="24"/>
      <c r="B7" s="27"/>
      <c r="C7" s="27"/>
      <c r="D7" s="25"/>
      <c r="E7" s="25">
        <f t="shared" si="0"/>
        <v>0</v>
      </c>
      <c r="F7" s="30"/>
      <c r="G7" s="28">
        <v>45551</v>
      </c>
      <c r="H7" s="27">
        <v>3</v>
      </c>
      <c r="I7" s="27"/>
      <c r="J7" s="25">
        <v>26</v>
      </c>
      <c r="K7" s="25">
        <f t="shared" si="1"/>
        <v>78</v>
      </c>
    </row>
    <row r="8" spans="1:22" x14ac:dyDescent="0.25">
      <c r="A8" s="24"/>
      <c r="B8" s="27"/>
      <c r="C8" s="27"/>
      <c r="D8" s="25"/>
      <c r="E8" s="25">
        <f t="shared" si="0"/>
        <v>0</v>
      </c>
      <c r="F8" s="30"/>
      <c r="G8" s="28">
        <v>45558</v>
      </c>
      <c r="H8" s="27">
        <v>28</v>
      </c>
      <c r="I8" s="27"/>
      <c r="J8" s="25">
        <v>26</v>
      </c>
      <c r="K8" s="25">
        <f t="shared" si="1"/>
        <v>728</v>
      </c>
    </row>
    <row r="9" spans="1:22" ht="16.5" thickBot="1" x14ac:dyDescent="0.3">
      <c r="A9" s="123"/>
      <c r="B9" s="124"/>
      <c r="C9" s="124"/>
      <c r="D9" s="125"/>
      <c r="E9" s="25">
        <f t="shared" si="0"/>
        <v>0</v>
      </c>
      <c r="F9" s="126"/>
      <c r="G9" s="127">
        <v>45561</v>
      </c>
      <c r="H9" s="124">
        <v>28</v>
      </c>
      <c r="I9" s="124"/>
      <c r="J9" s="125">
        <v>26</v>
      </c>
      <c r="K9" s="25">
        <f t="shared" si="1"/>
        <v>728</v>
      </c>
    </row>
    <row r="10" spans="1:22" x14ac:dyDescent="0.25">
      <c r="A10" s="118"/>
      <c r="B10" s="119"/>
      <c r="C10" s="119"/>
      <c r="D10" s="120"/>
      <c r="E10" s="25">
        <f t="shared" si="0"/>
        <v>0</v>
      </c>
      <c r="F10" s="121"/>
      <c r="G10" s="122">
        <v>45567</v>
      </c>
      <c r="H10" s="119">
        <v>28</v>
      </c>
      <c r="I10" s="119"/>
      <c r="J10" s="120">
        <v>26</v>
      </c>
      <c r="K10" s="25">
        <f t="shared" si="1"/>
        <v>728</v>
      </c>
    </row>
    <row r="11" spans="1:22" x14ac:dyDescent="0.25">
      <c r="A11" s="24"/>
      <c r="B11" s="27"/>
      <c r="C11" s="27"/>
      <c r="D11" s="25"/>
      <c r="E11" s="25">
        <f t="shared" si="0"/>
        <v>0</v>
      </c>
      <c r="F11" s="30"/>
      <c r="G11" s="28">
        <v>45568</v>
      </c>
      <c r="H11" s="27">
        <v>84</v>
      </c>
      <c r="I11" s="27"/>
      <c r="J11" s="25">
        <v>26</v>
      </c>
      <c r="K11" s="25">
        <f t="shared" si="1"/>
        <v>2184</v>
      </c>
    </row>
    <row r="12" spans="1:22" x14ac:dyDescent="0.25">
      <c r="A12" s="24"/>
      <c r="B12" s="27"/>
      <c r="C12" s="27"/>
      <c r="D12" s="25"/>
      <c r="E12" s="25">
        <f t="shared" si="0"/>
        <v>0</v>
      </c>
      <c r="F12" s="30"/>
      <c r="G12" s="28">
        <v>45569</v>
      </c>
      <c r="H12" s="27">
        <v>132</v>
      </c>
      <c r="I12" s="27"/>
      <c r="J12" s="25">
        <v>26</v>
      </c>
      <c r="K12" s="25">
        <f t="shared" si="1"/>
        <v>3432</v>
      </c>
    </row>
    <row r="13" spans="1:22" x14ac:dyDescent="0.25">
      <c r="A13" s="24"/>
      <c r="B13" s="27"/>
      <c r="C13" s="27"/>
      <c r="D13" s="25"/>
      <c r="E13" s="25">
        <f t="shared" si="0"/>
        <v>0</v>
      </c>
      <c r="F13" s="30"/>
      <c r="G13" s="28">
        <v>45572</v>
      </c>
      <c r="H13" s="27">
        <v>112.7</v>
      </c>
      <c r="I13" s="27"/>
      <c r="J13" s="25">
        <v>26</v>
      </c>
      <c r="K13" s="25">
        <f t="shared" si="1"/>
        <v>2930.2000000000003</v>
      </c>
    </row>
    <row r="14" spans="1:22" x14ac:dyDescent="0.25">
      <c r="A14" s="24"/>
      <c r="B14" s="27"/>
      <c r="C14" s="27"/>
      <c r="D14" s="25"/>
      <c r="E14" s="25">
        <f t="shared" si="0"/>
        <v>0</v>
      </c>
      <c r="F14" s="30"/>
      <c r="G14" s="28">
        <v>45576</v>
      </c>
      <c r="H14" s="27">
        <v>37.299999999999997</v>
      </c>
      <c r="I14" s="27"/>
      <c r="J14" s="25">
        <v>26</v>
      </c>
      <c r="K14" s="25">
        <f t="shared" si="1"/>
        <v>969.8</v>
      </c>
    </row>
    <row r="15" spans="1:22" x14ac:dyDescent="0.25">
      <c r="A15" s="24"/>
      <c r="B15" s="27"/>
      <c r="C15" s="27"/>
      <c r="D15" s="25"/>
      <c r="E15" s="25">
        <f t="shared" si="0"/>
        <v>0</v>
      </c>
      <c r="F15" s="30"/>
      <c r="G15" s="28">
        <v>45580</v>
      </c>
      <c r="H15" s="27">
        <v>86.8</v>
      </c>
      <c r="I15" s="27"/>
      <c r="J15" s="25">
        <v>26</v>
      </c>
      <c r="K15" s="25">
        <f t="shared" si="1"/>
        <v>2256.7999999999997</v>
      </c>
    </row>
    <row r="16" spans="1:22" x14ac:dyDescent="0.25">
      <c r="A16" s="24"/>
      <c r="B16" s="27"/>
      <c r="C16" s="27"/>
      <c r="D16" s="25"/>
      <c r="E16" s="25">
        <f t="shared" si="0"/>
        <v>0</v>
      </c>
      <c r="F16" s="30"/>
      <c r="G16" s="28">
        <v>45581</v>
      </c>
      <c r="H16" s="27">
        <v>173.6</v>
      </c>
      <c r="I16" s="27"/>
      <c r="J16" s="25">
        <v>26</v>
      </c>
      <c r="K16" s="25">
        <f t="shared" si="1"/>
        <v>4513.5999999999995</v>
      </c>
    </row>
    <row r="17" spans="1:11" x14ac:dyDescent="0.25">
      <c r="A17" s="24"/>
      <c r="B17" s="27"/>
      <c r="C17" s="27"/>
      <c r="D17" s="25"/>
      <c r="E17" s="25">
        <f t="shared" si="0"/>
        <v>0</v>
      </c>
      <c r="F17" s="30"/>
      <c r="G17" s="28">
        <v>45582</v>
      </c>
      <c r="H17" s="27">
        <v>173.6</v>
      </c>
      <c r="I17" s="27"/>
      <c r="J17" s="25">
        <v>26</v>
      </c>
      <c r="K17" s="25">
        <f t="shared" si="1"/>
        <v>4513.5999999999995</v>
      </c>
    </row>
    <row r="18" spans="1:11" x14ac:dyDescent="0.25">
      <c r="A18" s="24"/>
      <c r="B18" s="27"/>
      <c r="C18" s="27"/>
      <c r="D18" s="25"/>
      <c r="E18" s="25">
        <f t="shared" si="0"/>
        <v>0</v>
      </c>
      <c r="F18" s="30"/>
      <c r="G18" s="28">
        <v>45583</v>
      </c>
      <c r="H18" s="27">
        <v>43.4</v>
      </c>
      <c r="I18" s="27"/>
      <c r="J18" s="25">
        <v>26</v>
      </c>
      <c r="K18" s="25">
        <f t="shared" si="1"/>
        <v>1128.3999999999999</v>
      </c>
    </row>
    <row r="19" spans="1:11" x14ac:dyDescent="0.25">
      <c r="A19" s="24"/>
      <c r="B19" s="27"/>
      <c r="C19" s="27"/>
      <c r="D19" s="25"/>
      <c r="E19" s="25">
        <f t="shared" si="0"/>
        <v>0</v>
      </c>
      <c r="F19" s="30"/>
      <c r="G19" s="28">
        <v>45587</v>
      </c>
      <c r="H19" s="27">
        <v>43.4</v>
      </c>
      <c r="I19" s="27"/>
      <c r="J19" s="25">
        <v>26</v>
      </c>
      <c r="K19" s="25">
        <f t="shared" si="1"/>
        <v>1128.3999999999999</v>
      </c>
    </row>
    <row r="20" spans="1:11" x14ac:dyDescent="0.25">
      <c r="A20" s="24"/>
      <c r="B20" s="27"/>
      <c r="C20" s="27"/>
      <c r="D20" s="25"/>
      <c r="E20" s="25">
        <f t="shared" si="0"/>
        <v>0</v>
      </c>
      <c r="F20" s="30"/>
      <c r="G20" s="28">
        <v>45589</v>
      </c>
      <c r="H20" s="27">
        <v>130.19999999999999</v>
      </c>
      <c r="I20" s="27"/>
      <c r="J20" s="25">
        <v>26</v>
      </c>
      <c r="K20" s="25">
        <f t="shared" si="1"/>
        <v>3385.2</v>
      </c>
    </row>
    <row r="21" spans="1:11" x14ac:dyDescent="0.25">
      <c r="A21" s="24"/>
      <c r="B21" s="27"/>
      <c r="C21" s="27"/>
      <c r="D21" s="25"/>
      <c r="E21" s="25">
        <f t="shared" si="0"/>
        <v>0</v>
      </c>
      <c r="F21" s="30"/>
      <c r="G21" s="28">
        <v>45594</v>
      </c>
      <c r="H21" s="27">
        <v>299</v>
      </c>
      <c r="I21" s="27"/>
      <c r="J21" s="25">
        <v>26</v>
      </c>
      <c r="K21" s="25">
        <f t="shared" si="1"/>
        <v>7774</v>
      </c>
    </row>
    <row r="22" spans="1:11" x14ac:dyDescent="0.25">
      <c r="A22" s="24"/>
      <c r="B22" s="27"/>
      <c r="C22" s="27"/>
      <c r="D22" s="25"/>
      <c r="E22" s="25">
        <f t="shared" si="0"/>
        <v>0</v>
      </c>
      <c r="F22" s="30"/>
      <c r="G22" s="28">
        <v>45595</v>
      </c>
      <c r="H22" s="27">
        <v>176</v>
      </c>
      <c r="I22" s="27"/>
      <c r="J22" s="25">
        <v>26</v>
      </c>
      <c r="K22" s="25">
        <f t="shared" si="1"/>
        <v>4576</v>
      </c>
    </row>
    <row r="23" spans="1:11" x14ac:dyDescent="0.25">
      <c r="A23" s="24"/>
      <c r="B23" s="27"/>
      <c r="C23" s="27"/>
      <c r="D23" s="25"/>
      <c r="E23" s="25">
        <f t="shared" si="0"/>
        <v>0</v>
      </c>
      <c r="F23" s="30"/>
      <c r="G23" s="28">
        <v>45597</v>
      </c>
      <c r="H23" s="27">
        <v>150</v>
      </c>
      <c r="I23" s="27"/>
      <c r="J23" s="25">
        <v>26</v>
      </c>
      <c r="K23" s="25">
        <f t="shared" si="1"/>
        <v>3900</v>
      </c>
    </row>
    <row r="24" spans="1:11" x14ac:dyDescent="0.25">
      <c r="A24" s="24"/>
      <c r="B24" s="27"/>
      <c r="C24" s="27"/>
      <c r="D24" s="25"/>
      <c r="E24" s="25">
        <f t="shared" si="0"/>
        <v>0</v>
      </c>
      <c r="F24" s="30"/>
      <c r="G24" s="28">
        <v>45601</v>
      </c>
      <c r="H24" s="27">
        <v>450</v>
      </c>
      <c r="I24" s="27"/>
      <c r="J24" s="25">
        <v>26</v>
      </c>
      <c r="K24" s="25">
        <f t="shared" si="1"/>
        <v>11700</v>
      </c>
    </row>
    <row r="25" spans="1:11" x14ac:dyDescent="0.25">
      <c r="A25" s="24"/>
      <c r="B25" s="27"/>
      <c r="C25" s="27"/>
      <c r="D25" s="25"/>
      <c r="E25" s="25">
        <f t="shared" si="0"/>
        <v>0</v>
      </c>
      <c r="F25" s="30"/>
      <c r="G25" s="28">
        <v>45604</v>
      </c>
      <c r="H25" s="27">
        <v>250</v>
      </c>
      <c r="I25" s="27"/>
      <c r="J25" s="25">
        <v>26</v>
      </c>
      <c r="K25" s="25">
        <f t="shared" si="1"/>
        <v>6500</v>
      </c>
    </row>
    <row r="26" spans="1:11" x14ac:dyDescent="0.25">
      <c r="A26" s="24"/>
      <c r="B26" s="27"/>
      <c r="C26" s="27"/>
      <c r="D26" s="25"/>
      <c r="E26" s="25">
        <f t="shared" si="0"/>
        <v>0</v>
      </c>
      <c r="F26" s="30"/>
      <c r="G26" s="28">
        <v>45630</v>
      </c>
      <c r="H26" s="27">
        <v>200</v>
      </c>
      <c r="I26" s="27"/>
      <c r="J26" s="25">
        <v>26</v>
      </c>
      <c r="K26" s="25">
        <f t="shared" si="1"/>
        <v>5200</v>
      </c>
    </row>
    <row r="27" spans="1:11" x14ac:dyDescent="0.25">
      <c r="A27" s="24"/>
      <c r="B27" s="27"/>
      <c r="C27" s="27"/>
      <c r="D27" s="25"/>
      <c r="E27" s="25">
        <f t="shared" si="0"/>
        <v>0</v>
      </c>
      <c r="F27" s="30"/>
      <c r="G27" s="28">
        <v>45631</v>
      </c>
      <c r="H27" s="27">
        <v>100</v>
      </c>
      <c r="I27" s="27"/>
      <c r="J27" s="25">
        <v>26</v>
      </c>
      <c r="K27" s="25">
        <f t="shared" si="1"/>
        <v>2600</v>
      </c>
    </row>
    <row r="28" spans="1:11" x14ac:dyDescent="0.25">
      <c r="A28" s="24"/>
      <c r="B28" s="27"/>
      <c r="C28" s="27"/>
      <c r="D28" s="25"/>
      <c r="E28" s="25">
        <f t="shared" si="0"/>
        <v>0</v>
      </c>
      <c r="F28" s="30"/>
      <c r="G28" s="28">
        <v>45632</v>
      </c>
      <c r="H28" s="27">
        <v>100</v>
      </c>
      <c r="I28" s="27"/>
      <c r="J28" s="25">
        <v>26</v>
      </c>
      <c r="K28" s="25">
        <f t="shared" si="1"/>
        <v>2600</v>
      </c>
    </row>
    <row r="29" spans="1:11" x14ac:dyDescent="0.25">
      <c r="A29" s="24"/>
      <c r="B29" s="27"/>
      <c r="C29" s="27"/>
      <c r="D29" s="25"/>
      <c r="E29" s="25">
        <f t="shared" si="0"/>
        <v>0</v>
      </c>
      <c r="F29" s="30"/>
      <c r="G29" s="28">
        <v>45635</v>
      </c>
      <c r="H29" s="27">
        <v>24</v>
      </c>
      <c r="I29" s="27"/>
      <c r="J29" s="25">
        <v>26</v>
      </c>
      <c r="K29" s="25">
        <f t="shared" si="1"/>
        <v>624</v>
      </c>
    </row>
    <row r="30" spans="1:11" x14ac:dyDescent="0.25">
      <c r="A30" s="24"/>
      <c r="B30" s="27"/>
      <c r="C30" s="27"/>
      <c r="D30" s="25"/>
      <c r="E30" s="25">
        <f t="shared" si="0"/>
        <v>0</v>
      </c>
      <c r="F30" s="30"/>
      <c r="G30" s="28">
        <v>45636</v>
      </c>
      <c r="H30" s="27">
        <v>150</v>
      </c>
      <c r="I30" s="27"/>
      <c r="J30" s="25">
        <v>26</v>
      </c>
      <c r="K30" s="25">
        <f t="shared" si="1"/>
        <v>3900</v>
      </c>
    </row>
    <row r="31" spans="1:11" x14ac:dyDescent="0.25">
      <c r="A31" s="28">
        <v>45637</v>
      </c>
      <c r="B31" s="27"/>
      <c r="C31" s="27">
        <v>1000</v>
      </c>
      <c r="D31" s="25">
        <v>27</v>
      </c>
      <c r="E31" s="25">
        <f t="shared" si="0"/>
        <v>27000</v>
      </c>
      <c r="F31" s="30"/>
      <c r="G31" s="28">
        <v>45637</v>
      </c>
      <c r="H31" s="27">
        <v>150</v>
      </c>
      <c r="I31" s="27"/>
      <c r="J31" s="25">
        <v>26</v>
      </c>
      <c r="K31" s="25">
        <f t="shared" si="1"/>
        <v>3900</v>
      </c>
    </row>
    <row r="32" spans="1:11" x14ac:dyDescent="0.25">
      <c r="A32" s="24"/>
      <c r="B32" s="27"/>
      <c r="C32" s="27"/>
      <c r="D32" s="25"/>
      <c r="E32" s="25">
        <f t="shared" si="0"/>
        <v>0</v>
      </c>
      <c r="F32" s="30"/>
      <c r="G32" s="28">
        <v>45638</v>
      </c>
      <c r="H32" s="27">
        <v>100</v>
      </c>
      <c r="I32" s="27"/>
      <c r="J32" s="25">
        <v>26</v>
      </c>
      <c r="K32" s="25">
        <f t="shared" si="1"/>
        <v>2600</v>
      </c>
    </row>
    <row r="33" spans="1:11" x14ac:dyDescent="0.25">
      <c r="A33" s="24"/>
      <c r="B33" s="27"/>
      <c r="C33" s="27"/>
      <c r="D33" s="25"/>
      <c r="E33" s="25">
        <f t="shared" si="0"/>
        <v>0</v>
      </c>
      <c r="F33" s="30"/>
      <c r="G33" s="28">
        <v>45639</v>
      </c>
      <c r="H33" s="27">
        <v>50</v>
      </c>
      <c r="I33" s="27"/>
      <c r="J33" s="25">
        <v>26</v>
      </c>
      <c r="K33" s="25">
        <f t="shared" si="1"/>
        <v>1300</v>
      </c>
    </row>
    <row r="34" spans="1:11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7"/>
      <c r="I34" s="27">
        <v>100</v>
      </c>
      <c r="J34" s="25">
        <v>27</v>
      </c>
      <c r="K34" s="25">
        <f t="shared" si="1"/>
        <v>2700</v>
      </c>
    </row>
    <row r="35" spans="1:11" x14ac:dyDescent="0.25">
      <c r="A35" s="24"/>
      <c r="B35" s="27"/>
      <c r="C35" s="27"/>
      <c r="D35" s="25"/>
      <c r="E35" s="25">
        <f t="shared" si="0"/>
        <v>0</v>
      </c>
      <c r="F35" s="30"/>
      <c r="G35" s="28">
        <v>45642</v>
      </c>
      <c r="H35" s="27">
        <v>50</v>
      </c>
      <c r="I35" s="27"/>
      <c r="J35" s="25">
        <v>26</v>
      </c>
      <c r="K35" s="25">
        <f t="shared" si="1"/>
        <v>1300</v>
      </c>
    </row>
    <row r="36" spans="1:11" x14ac:dyDescent="0.25">
      <c r="A36" s="24"/>
      <c r="B36" s="27"/>
      <c r="C36" s="27"/>
      <c r="D36" s="25"/>
      <c r="E36" s="25">
        <f t="shared" si="0"/>
        <v>0</v>
      </c>
      <c r="F36" s="30"/>
      <c r="G36" s="28">
        <v>45643</v>
      </c>
      <c r="H36" s="27">
        <v>100</v>
      </c>
      <c r="I36" s="27"/>
      <c r="J36" s="25">
        <v>26</v>
      </c>
      <c r="K36" s="25">
        <f t="shared" ref="K36:K67" si="2">H36*J36+I36*J36</f>
        <v>2600</v>
      </c>
    </row>
    <row r="37" spans="1:11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7"/>
      <c r="I37" s="27">
        <v>50</v>
      </c>
      <c r="J37" s="25">
        <v>27</v>
      </c>
      <c r="K37" s="25">
        <f t="shared" si="2"/>
        <v>1350</v>
      </c>
    </row>
    <row r="38" spans="1:11" x14ac:dyDescent="0.25">
      <c r="A38" s="24"/>
      <c r="B38" s="27"/>
      <c r="C38" s="27"/>
      <c r="D38" s="25"/>
      <c r="E38" s="25">
        <f t="shared" si="0"/>
        <v>0</v>
      </c>
      <c r="F38" s="30"/>
      <c r="G38" s="28">
        <v>45644</v>
      </c>
      <c r="H38" s="27">
        <v>100</v>
      </c>
      <c r="I38" s="27"/>
      <c r="J38" s="25">
        <v>26</v>
      </c>
      <c r="K38" s="25">
        <f t="shared" si="2"/>
        <v>2600</v>
      </c>
    </row>
    <row r="39" spans="1:11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7"/>
      <c r="I39" s="27">
        <v>50</v>
      </c>
      <c r="J39" s="25">
        <v>27</v>
      </c>
      <c r="K39" s="25">
        <f t="shared" si="2"/>
        <v>1350</v>
      </c>
    </row>
    <row r="40" spans="1:11" x14ac:dyDescent="0.25">
      <c r="A40" s="24"/>
      <c r="B40" s="27"/>
      <c r="C40" s="27"/>
      <c r="D40" s="25"/>
      <c r="E40" s="25">
        <f t="shared" si="0"/>
        <v>0</v>
      </c>
      <c r="F40" s="30"/>
      <c r="G40" s="28">
        <v>45649</v>
      </c>
      <c r="H40" s="27"/>
      <c r="I40" s="27">
        <v>450</v>
      </c>
      <c r="J40" s="25">
        <v>27</v>
      </c>
      <c r="K40" s="25">
        <f t="shared" si="2"/>
        <v>12150</v>
      </c>
    </row>
    <row r="41" spans="1:11" x14ac:dyDescent="0.25">
      <c r="A41" s="24"/>
      <c r="B41" s="27"/>
      <c r="C41" s="27"/>
      <c r="D41" s="25"/>
      <c r="E41" s="25">
        <f t="shared" si="0"/>
        <v>0</v>
      </c>
      <c r="F41" s="30"/>
      <c r="G41" s="28">
        <v>45650</v>
      </c>
      <c r="H41" s="27"/>
      <c r="I41" s="27">
        <v>200</v>
      </c>
      <c r="J41" s="25">
        <v>27</v>
      </c>
      <c r="K41" s="25">
        <f t="shared" si="2"/>
        <v>5400</v>
      </c>
    </row>
    <row r="42" spans="1:11" x14ac:dyDescent="0.25">
      <c r="A42" s="166" t="s">
        <v>108</v>
      </c>
      <c r="B42" s="167"/>
      <c r="C42" s="167"/>
      <c r="D42" s="168"/>
      <c r="E42" s="168">
        <f t="shared" si="0"/>
        <v>0</v>
      </c>
      <c r="F42" s="168"/>
      <c r="G42" s="166" t="s">
        <v>108</v>
      </c>
      <c r="H42" s="167"/>
      <c r="I42" s="167"/>
      <c r="J42" s="168"/>
      <c r="K42" s="168">
        <f t="shared" si="2"/>
        <v>0</v>
      </c>
    </row>
    <row r="43" spans="1:11" x14ac:dyDescent="0.25">
      <c r="A43" s="24"/>
      <c r="B43" s="27"/>
      <c r="C43" s="27"/>
      <c r="D43" s="25"/>
      <c r="E43" s="25">
        <f t="shared" si="0"/>
        <v>0</v>
      </c>
      <c r="F43" s="30"/>
      <c r="G43" s="28">
        <v>45666</v>
      </c>
      <c r="H43" s="27">
        <v>100</v>
      </c>
      <c r="I43" s="27"/>
      <c r="J43" s="25">
        <v>26</v>
      </c>
      <c r="K43" s="25">
        <f t="shared" si="2"/>
        <v>2600</v>
      </c>
    </row>
    <row r="44" spans="1:11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7"/>
      <c r="I44" s="27">
        <v>150</v>
      </c>
      <c r="J44" s="25">
        <v>27</v>
      </c>
      <c r="K44" s="25">
        <f t="shared" si="2"/>
        <v>4050</v>
      </c>
    </row>
    <row r="45" spans="1:11" x14ac:dyDescent="0.25">
      <c r="A45" s="24"/>
      <c r="B45" s="27"/>
      <c r="C45" s="27"/>
      <c r="D45" s="25"/>
      <c r="E45" s="25">
        <f t="shared" si="0"/>
        <v>0</v>
      </c>
      <c r="F45" s="30"/>
      <c r="G45" s="28">
        <v>45667</v>
      </c>
      <c r="H45" s="27">
        <v>150</v>
      </c>
      <c r="I45" s="27"/>
      <c r="J45" s="25">
        <v>26</v>
      </c>
      <c r="K45" s="25">
        <f t="shared" si="2"/>
        <v>3900</v>
      </c>
    </row>
    <row r="46" spans="1:11" x14ac:dyDescent="0.25">
      <c r="A46" s="24"/>
      <c r="B46" s="27"/>
      <c r="C46" s="27"/>
      <c r="D46" s="25"/>
      <c r="E46" s="25">
        <f t="shared" si="0"/>
        <v>0</v>
      </c>
      <c r="F46" s="30"/>
      <c r="G46" s="28">
        <v>45671</v>
      </c>
      <c r="H46" s="27">
        <v>150</v>
      </c>
      <c r="I46" s="27"/>
      <c r="J46" s="25">
        <v>26</v>
      </c>
      <c r="K46" s="25">
        <f t="shared" si="2"/>
        <v>3900</v>
      </c>
    </row>
    <row r="47" spans="1:11" x14ac:dyDescent="0.25">
      <c r="A47" s="24"/>
      <c r="B47" s="27"/>
      <c r="C47" s="27"/>
      <c r="D47" s="25"/>
      <c r="E47" s="25">
        <f t="shared" si="0"/>
        <v>0</v>
      </c>
      <c r="F47" s="30"/>
      <c r="G47" s="28">
        <v>45672</v>
      </c>
      <c r="H47" s="27">
        <v>200</v>
      </c>
      <c r="I47" s="27"/>
      <c r="J47" s="25">
        <v>26</v>
      </c>
      <c r="K47" s="25">
        <f t="shared" si="2"/>
        <v>5200</v>
      </c>
    </row>
    <row r="48" spans="1:11" x14ac:dyDescent="0.25">
      <c r="A48" s="24"/>
      <c r="B48" s="27"/>
      <c r="C48" s="27"/>
      <c r="D48" s="25"/>
      <c r="E48" s="25">
        <f t="shared" si="0"/>
        <v>0</v>
      </c>
      <c r="F48" s="30"/>
      <c r="G48" s="28">
        <v>45673</v>
      </c>
      <c r="H48" s="27">
        <v>150</v>
      </c>
      <c r="I48" s="27"/>
      <c r="J48" s="25">
        <v>26</v>
      </c>
      <c r="K48" s="25">
        <f t="shared" si="2"/>
        <v>3900</v>
      </c>
    </row>
    <row r="49" spans="1:11" x14ac:dyDescent="0.25">
      <c r="A49" s="24"/>
      <c r="B49" s="27"/>
      <c r="C49" s="27"/>
      <c r="D49" s="25"/>
      <c r="E49" s="25">
        <f t="shared" si="0"/>
        <v>0</v>
      </c>
      <c r="F49" s="30"/>
      <c r="G49" s="28">
        <v>45680</v>
      </c>
      <c r="H49" s="27">
        <v>100</v>
      </c>
      <c r="I49" s="27"/>
      <c r="J49" s="25">
        <v>26</v>
      </c>
      <c r="K49" s="25">
        <f t="shared" si="2"/>
        <v>2600</v>
      </c>
    </row>
    <row r="50" spans="1:11" x14ac:dyDescent="0.25">
      <c r="A50" s="24"/>
      <c r="B50" s="27"/>
      <c r="C50" s="27"/>
      <c r="D50" s="25"/>
      <c r="E50" s="25">
        <f t="shared" si="0"/>
        <v>0</v>
      </c>
      <c r="F50" s="30"/>
      <c r="G50" s="28">
        <v>45681</v>
      </c>
      <c r="H50" s="27">
        <v>50</v>
      </c>
      <c r="I50" s="27"/>
      <c r="J50" s="25">
        <v>26</v>
      </c>
      <c r="K50" s="25">
        <f t="shared" si="2"/>
        <v>1300</v>
      </c>
    </row>
    <row r="51" spans="1:11" x14ac:dyDescent="0.25">
      <c r="A51" s="28">
        <v>45684</v>
      </c>
      <c r="B51" s="27"/>
      <c r="C51" s="27">
        <v>2000</v>
      </c>
      <c r="D51" s="25">
        <v>27</v>
      </c>
      <c r="E51" s="25">
        <f t="shared" si="0"/>
        <v>54000</v>
      </c>
      <c r="F51" s="30"/>
      <c r="G51" s="28">
        <v>45684</v>
      </c>
      <c r="H51" s="27">
        <v>100</v>
      </c>
      <c r="I51" s="27"/>
      <c r="J51" s="25">
        <v>26</v>
      </c>
      <c r="K51" s="25">
        <f t="shared" si="2"/>
        <v>2600</v>
      </c>
    </row>
    <row r="52" spans="1:11" x14ac:dyDescent="0.25">
      <c r="A52" s="24"/>
      <c r="B52" s="27"/>
      <c r="C52" s="27"/>
      <c r="D52" s="25"/>
      <c r="E52" s="25">
        <f t="shared" si="0"/>
        <v>0</v>
      </c>
      <c r="F52" s="30"/>
      <c r="G52" s="28"/>
      <c r="H52" s="27"/>
      <c r="I52" s="27">
        <v>250</v>
      </c>
      <c r="J52" s="25">
        <v>27</v>
      </c>
      <c r="K52" s="25">
        <f t="shared" si="2"/>
        <v>6750</v>
      </c>
    </row>
    <row r="53" spans="1:11" x14ac:dyDescent="0.25">
      <c r="A53" s="24"/>
      <c r="B53" s="27"/>
      <c r="C53" s="27"/>
      <c r="D53" s="25"/>
      <c r="E53" s="25">
        <f t="shared" si="0"/>
        <v>0</v>
      </c>
      <c r="F53" s="30"/>
      <c r="G53" s="28">
        <v>45685</v>
      </c>
      <c r="H53" s="27"/>
      <c r="I53" s="27">
        <v>150</v>
      </c>
      <c r="J53" s="25">
        <v>27</v>
      </c>
      <c r="K53" s="25">
        <f t="shared" si="2"/>
        <v>4050</v>
      </c>
    </row>
    <row r="54" spans="1:11" x14ac:dyDescent="0.25">
      <c r="A54" s="24"/>
      <c r="B54" s="27"/>
      <c r="C54" s="27"/>
      <c r="D54" s="25"/>
      <c r="E54" s="25">
        <f t="shared" si="0"/>
        <v>0</v>
      </c>
      <c r="F54" s="30"/>
      <c r="G54" s="28">
        <v>45686</v>
      </c>
      <c r="H54" s="27"/>
      <c r="I54" s="27">
        <v>225</v>
      </c>
      <c r="J54" s="25">
        <v>27</v>
      </c>
      <c r="K54" s="25">
        <f t="shared" si="2"/>
        <v>6075</v>
      </c>
    </row>
    <row r="55" spans="1:11" x14ac:dyDescent="0.25">
      <c r="A55" s="24"/>
      <c r="B55" s="27"/>
      <c r="C55" s="27"/>
      <c r="D55" s="25"/>
      <c r="E55" s="25">
        <f t="shared" si="0"/>
        <v>0</v>
      </c>
      <c r="F55" s="30"/>
      <c r="G55" s="28">
        <v>45687</v>
      </c>
      <c r="H55" s="27"/>
      <c r="I55" s="27">
        <v>175</v>
      </c>
      <c r="J55" s="25">
        <v>27</v>
      </c>
      <c r="K55" s="25">
        <f t="shared" si="2"/>
        <v>4725</v>
      </c>
    </row>
    <row r="56" spans="1:11" x14ac:dyDescent="0.25">
      <c r="A56" s="24"/>
      <c r="B56" s="27"/>
      <c r="C56" s="27"/>
      <c r="D56" s="25"/>
      <c r="E56" s="25">
        <f t="shared" si="0"/>
        <v>0</v>
      </c>
      <c r="F56" s="30"/>
      <c r="G56" s="28">
        <v>45688</v>
      </c>
      <c r="H56" s="27">
        <v>50</v>
      </c>
      <c r="I56" s="27"/>
      <c r="J56" s="25">
        <v>26</v>
      </c>
      <c r="K56" s="25">
        <f t="shared" si="2"/>
        <v>1300</v>
      </c>
    </row>
    <row r="57" spans="1:11" x14ac:dyDescent="0.25">
      <c r="A57" s="24"/>
      <c r="B57" s="27"/>
      <c r="C57" s="27"/>
      <c r="D57" s="25"/>
      <c r="E57" s="25">
        <f t="shared" si="0"/>
        <v>0</v>
      </c>
      <c r="F57" s="30"/>
      <c r="G57" s="28"/>
      <c r="H57" s="27"/>
      <c r="I57" s="27">
        <v>25</v>
      </c>
      <c r="J57" s="25">
        <v>27</v>
      </c>
      <c r="K57" s="25">
        <f t="shared" si="2"/>
        <v>675</v>
      </c>
    </row>
    <row r="58" spans="1:11" x14ac:dyDescent="0.25">
      <c r="A58" s="24"/>
      <c r="B58" s="27"/>
      <c r="C58" s="27"/>
      <c r="D58" s="25"/>
      <c r="E58" s="25">
        <f t="shared" si="0"/>
        <v>0</v>
      </c>
      <c r="F58" s="30"/>
      <c r="G58" s="169">
        <v>45691</v>
      </c>
      <c r="H58" s="27"/>
      <c r="I58" s="27">
        <v>225</v>
      </c>
      <c r="J58" s="25">
        <v>27</v>
      </c>
      <c r="K58" s="25">
        <f t="shared" si="2"/>
        <v>6075</v>
      </c>
    </row>
    <row r="59" spans="1:11" x14ac:dyDescent="0.25">
      <c r="A59" s="24"/>
      <c r="B59" s="27"/>
      <c r="C59" s="27"/>
      <c r="D59" s="25"/>
      <c r="E59" s="25">
        <f t="shared" si="0"/>
        <v>0</v>
      </c>
      <c r="F59" s="30"/>
      <c r="G59" s="28">
        <v>45692</v>
      </c>
      <c r="H59" s="27">
        <v>100</v>
      </c>
      <c r="I59" s="27"/>
      <c r="J59" s="25">
        <v>26</v>
      </c>
      <c r="K59" s="25">
        <f t="shared" si="2"/>
        <v>2600</v>
      </c>
    </row>
    <row r="60" spans="1:11" x14ac:dyDescent="0.25">
      <c r="A60" s="24"/>
      <c r="B60" s="27"/>
      <c r="C60" s="27"/>
      <c r="D60" s="25"/>
      <c r="E60" s="25">
        <f t="shared" si="0"/>
        <v>0</v>
      </c>
      <c r="F60" s="30"/>
      <c r="G60" s="28"/>
      <c r="H60" s="27"/>
      <c r="I60" s="27">
        <v>300</v>
      </c>
      <c r="J60" s="25">
        <v>27</v>
      </c>
      <c r="K60" s="25">
        <f t="shared" si="2"/>
        <v>8100</v>
      </c>
    </row>
    <row r="61" spans="1:11" x14ac:dyDescent="0.25">
      <c r="A61" s="24"/>
      <c r="B61" s="27"/>
      <c r="C61" s="27"/>
      <c r="D61" s="25"/>
      <c r="E61" s="25">
        <f t="shared" si="0"/>
        <v>0</v>
      </c>
      <c r="F61" s="30"/>
      <c r="G61" s="28">
        <v>45693</v>
      </c>
      <c r="H61" s="27">
        <v>50</v>
      </c>
      <c r="I61" s="27"/>
      <c r="J61" s="25">
        <v>26</v>
      </c>
      <c r="K61" s="25">
        <f t="shared" si="2"/>
        <v>1300</v>
      </c>
    </row>
    <row r="62" spans="1:11" x14ac:dyDescent="0.25">
      <c r="A62" s="24"/>
      <c r="B62" s="27"/>
      <c r="C62" s="27"/>
      <c r="D62" s="25"/>
      <c r="E62" s="25">
        <f t="shared" si="0"/>
        <v>0</v>
      </c>
      <c r="F62" s="30"/>
      <c r="G62" s="28">
        <v>45694</v>
      </c>
      <c r="H62" s="27">
        <v>50</v>
      </c>
      <c r="I62" s="27"/>
      <c r="J62" s="25">
        <v>26</v>
      </c>
      <c r="K62" s="25">
        <f t="shared" si="2"/>
        <v>1300</v>
      </c>
    </row>
    <row r="63" spans="1:11" x14ac:dyDescent="0.25">
      <c r="A63" s="24"/>
      <c r="B63" s="27"/>
      <c r="C63" s="27"/>
      <c r="D63" s="25"/>
      <c r="E63" s="25">
        <f t="shared" si="0"/>
        <v>0</v>
      </c>
      <c r="F63" s="30"/>
      <c r="G63" s="28"/>
      <c r="H63" s="27"/>
      <c r="I63" s="27">
        <v>225</v>
      </c>
      <c r="J63" s="25">
        <v>27</v>
      </c>
      <c r="K63" s="25">
        <f t="shared" si="2"/>
        <v>6075</v>
      </c>
    </row>
    <row r="64" spans="1:11" x14ac:dyDescent="0.25">
      <c r="A64" s="28">
        <v>45698</v>
      </c>
      <c r="B64" s="27"/>
      <c r="C64" s="27">
        <v>3000</v>
      </c>
      <c r="D64" s="25">
        <v>27</v>
      </c>
      <c r="E64" s="25">
        <f t="shared" si="0"/>
        <v>81000</v>
      </c>
      <c r="F64" s="30"/>
      <c r="G64" s="28">
        <v>45698</v>
      </c>
      <c r="H64" s="27"/>
      <c r="I64" s="27">
        <v>225</v>
      </c>
      <c r="J64" s="25">
        <v>27</v>
      </c>
      <c r="K64" s="25">
        <f t="shared" si="2"/>
        <v>6075</v>
      </c>
    </row>
    <row r="65" spans="1:11" x14ac:dyDescent="0.25">
      <c r="A65" s="24"/>
      <c r="B65" s="27"/>
      <c r="C65" s="27"/>
      <c r="D65" s="25"/>
      <c r="E65" s="25">
        <f t="shared" si="0"/>
        <v>0</v>
      </c>
      <c r="F65" s="30"/>
      <c r="G65" s="28"/>
      <c r="H65" s="27">
        <v>50</v>
      </c>
      <c r="I65" s="27"/>
      <c r="J65" s="25">
        <v>26</v>
      </c>
      <c r="K65" s="25">
        <f t="shared" si="2"/>
        <v>1300</v>
      </c>
    </row>
    <row r="66" spans="1:11" x14ac:dyDescent="0.25">
      <c r="A66" s="24"/>
      <c r="B66" s="27"/>
      <c r="C66" s="27"/>
      <c r="D66" s="25"/>
      <c r="E66" s="25">
        <f t="shared" si="0"/>
        <v>0</v>
      </c>
      <c r="F66" s="30"/>
      <c r="G66" s="28">
        <v>45699</v>
      </c>
      <c r="H66" s="27">
        <v>50</v>
      </c>
      <c r="I66" s="27"/>
      <c r="J66" s="25">
        <v>26</v>
      </c>
      <c r="K66" s="25">
        <f t="shared" si="2"/>
        <v>1300</v>
      </c>
    </row>
    <row r="67" spans="1:11" x14ac:dyDescent="0.25">
      <c r="A67" s="24"/>
      <c r="B67" s="27"/>
      <c r="C67" s="27"/>
      <c r="D67" s="25"/>
      <c r="E67" s="25">
        <f t="shared" si="0"/>
        <v>0</v>
      </c>
      <c r="F67" s="30"/>
      <c r="G67" s="28"/>
      <c r="H67" s="27"/>
      <c r="I67" s="27">
        <v>350</v>
      </c>
      <c r="J67" s="25">
        <v>27</v>
      </c>
      <c r="K67" s="25">
        <f t="shared" si="2"/>
        <v>9450</v>
      </c>
    </row>
    <row r="68" spans="1:11" x14ac:dyDescent="0.25">
      <c r="A68" s="24"/>
      <c r="B68" s="27"/>
      <c r="C68" s="27"/>
      <c r="D68" s="25"/>
      <c r="E68" s="25">
        <f t="shared" si="0"/>
        <v>0</v>
      </c>
      <c r="F68" s="30"/>
      <c r="G68" s="28">
        <v>45700</v>
      </c>
      <c r="H68" s="27">
        <v>50</v>
      </c>
      <c r="I68" s="27"/>
      <c r="J68" s="25">
        <v>26</v>
      </c>
      <c r="K68" s="25">
        <f t="shared" ref="K68:K116" si="3">H68*J68+I68*J68</f>
        <v>1300</v>
      </c>
    </row>
    <row r="69" spans="1:11" x14ac:dyDescent="0.25">
      <c r="A69" s="24"/>
      <c r="B69" s="27"/>
      <c r="C69" s="27"/>
      <c r="D69" s="25"/>
      <c r="E69" s="25">
        <f t="shared" si="0"/>
        <v>0</v>
      </c>
      <c r="F69" s="30"/>
      <c r="G69" s="28"/>
      <c r="H69" s="27"/>
      <c r="I69" s="27">
        <v>250</v>
      </c>
      <c r="J69" s="25">
        <v>27</v>
      </c>
      <c r="K69" s="25">
        <f t="shared" si="3"/>
        <v>6750</v>
      </c>
    </row>
    <row r="70" spans="1:11" x14ac:dyDescent="0.25">
      <c r="A70" s="24"/>
      <c r="B70" s="27"/>
      <c r="C70" s="27"/>
      <c r="D70" s="25"/>
      <c r="E70" s="25">
        <f t="shared" si="0"/>
        <v>0</v>
      </c>
      <c r="F70" s="30"/>
      <c r="G70" s="28">
        <v>45701</v>
      </c>
      <c r="H70" s="27">
        <v>200</v>
      </c>
      <c r="I70" s="27"/>
      <c r="J70" s="25">
        <v>26</v>
      </c>
      <c r="K70" s="25">
        <f t="shared" si="3"/>
        <v>5200</v>
      </c>
    </row>
    <row r="71" spans="1:11" x14ac:dyDescent="0.25">
      <c r="A71" s="24"/>
      <c r="B71" s="27"/>
      <c r="C71" s="27"/>
      <c r="D71" s="25"/>
      <c r="E71" s="25">
        <f t="shared" si="0"/>
        <v>0</v>
      </c>
      <c r="F71" s="30"/>
      <c r="G71" s="28"/>
      <c r="H71" s="27"/>
      <c r="I71" s="27">
        <v>250</v>
      </c>
      <c r="J71" s="25">
        <v>27</v>
      </c>
      <c r="K71" s="25">
        <f t="shared" si="3"/>
        <v>6750</v>
      </c>
    </row>
    <row r="72" spans="1:11" x14ac:dyDescent="0.25">
      <c r="A72" s="24"/>
      <c r="B72" s="27"/>
      <c r="C72" s="27"/>
      <c r="D72" s="25"/>
      <c r="E72" s="25">
        <f t="shared" si="0"/>
        <v>0</v>
      </c>
      <c r="F72" s="30"/>
      <c r="G72" s="28">
        <v>45705</v>
      </c>
      <c r="H72" s="27">
        <v>50</v>
      </c>
      <c r="I72" s="27"/>
      <c r="J72" s="25">
        <v>26</v>
      </c>
      <c r="K72" s="25">
        <f t="shared" si="3"/>
        <v>1300</v>
      </c>
    </row>
    <row r="73" spans="1:11" x14ac:dyDescent="0.25">
      <c r="A73" s="24"/>
      <c r="B73" s="27"/>
      <c r="C73" s="27"/>
      <c r="D73" s="25"/>
      <c r="E73" s="25">
        <f t="shared" si="0"/>
        <v>0</v>
      </c>
      <c r="F73" s="30"/>
      <c r="G73" s="28"/>
      <c r="H73" s="27"/>
      <c r="I73" s="27">
        <v>150</v>
      </c>
      <c r="J73" s="25">
        <v>27</v>
      </c>
      <c r="K73" s="25">
        <f t="shared" si="3"/>
        <v>4050</v>
      </c>
    </row>
    <row r="74" spans="1:11" x14ac:dyDescent="0.25">
      <c r="A74" s="24"/>
      <c r="B74" s="27"/>
      <c r="C74" s="27"/>
      <c r="D74" s="25"/>
      <c r="E74" s="25">
        <f t="shared" si="0"/>
        <v>0</v>
      </c>
      <c r="F74" s="30"/>
      <c r="G74" s="28">
        <v>45706</v>
      </c>
      <c r="H74" s="27"/>
      <c r="I74" s="27">
        <v>200</v>
      </c>
      <c r="J74" s="25">
        <v>27</v>
      </c>
      <c r="K74" s="25">
        <f t="shared" si="3"/>
        <v>5400</v>
      </c>
    </row>
    <row r="75" spans="1:11" x14ac:dyDescent="0.25">
      <c r="A75" s="24"/>
      <c r="B75" s="27"/>
      <c r="C75" s="27"/>
      <c r="D75" s="25"/>
      <c r="E75" s="25">
        <f t="shared" si="0"/>
        <v>0</v>
      </c>
      <c r="F75" s="30"/>
      <c r="G75" s="28">
        <v>45707</v>
      </c>
      <c r="H75" s="167">
        <v>0</v>
      </c>
      <c r="I75" s="27">
        <v>200</v>
      </c>
      <c r="J75" s="25">
        <v>27</v>
      </c>
      <c r="K75" s="25">
        <f t="shared" si="3"/>
        <v>5400</v>
      </c>
    </row>
    <row r="76" spans="1:11" x14ac:dyDescent="0.25">
      <c r="A76" s="24"/>
      <c r="B76" s="27"/>
      <c r="C76" s="27"/>
      <c r="D76" s="25"/>
      <c r="E76" s="25">
        <f t="shared" si="0"/>
        <v>0</v>
      </c>
      <c r="F76" s="30"/>
      <c r="G76" s="28">
        <v>45708</v>
      </c>
      <c r="H76" s="27"/>
      <c r="I76" s="27">
        <v>175</v>
      </c>
      <c r="J76" s="25">
        <v>27</v>
      </c>
      <c r="K76" s="25">
        <f t="shared" si="3"/>
        <v>4725</v>
      </c>
    </row>
    <row r="77" spans="1:11" x14ac:dyDescent="0.25">
      <c r="A77" s="24"/>
      <c r="B77" s="27"/>
      <c r="C77" s="27"/>
      <c r="D77" s="25"/>
      <c r="E77" s="25">
        <f t="shared" si="0"/>
        <v>0</v>
      </c>
      <c r="F77" s="30"/>
      <c r="G77" s="28">
        <v>45709</v>
      </c>
      <c r="H77" s="27"/>
      <c r="I77" s="27">
        <v>225</v>
      </c>
      <c r="J77" s="25">
        <v>27</v>
      </c>
      <c r="K77" s="25">
        <f t="shared" si="3"/>
        <v>6075</v>
      </c>
    </row>
    <row r="78" spans="1:11" x14ac:dyDescent="0.25">
      <c r="A78" s="24"/>
      <c r="B78" s="27"/>
      <c r="C78" s="27"/>
      <c r="D78" s="25"/>
      <c r="E78" s="25">
        <f t="shared" si="0"/>
        <v>0</v>
      </c>
      <c r="F78" s="30"/>
      <c r="G78" s="28">
        <v>45712</v>
      </c>
      <c r="H78" s="27"/>
      <c r="I78" s="27">
        <v>325</v>
      </c>
      <c r="J78" s="25">
        <v>27</v>
      </c>
      <c r="K78" s="25">
        <f t="shared" si="3"/>
        <v>8775</v>
      </c>
    </row>
    <row r="79" spans="1:11" x14ac:dyDescent="0.25">
      <c r="A79" s="24"/>
      <c r="B79" s="27"/>
      <c r="C79" s="27"/>
      <c r="D79" s="25"/>
      <c r="E79" s="25">
        <f t="shared" si="0"/>
        <v>0</v>
      </c>
      <c r="F79" s="30"/>
      <c r="G79" s="28">
        <v>45713</v>
      </c>
      <c r="H79" s="27"/>
      <c r="I79" s="27">
        <v>425</v>
      </c>
      <c r="J79" s="25">
        <v>27</v>
      </c>
      <c r="K79" s="25">
        <f t="shared" si="3"/>
        <v>11475</v>
      </c>
    </row>
    <row r="80" spans="1:11" x14ac:dyDescent="0.25">
      <c r="A80" s="24"/>
      <c r="B80" s="27"/>
      <c r="C80" s="27"/>
      <c r="D80" s="25"/>
      <c r="E80" s="25">
        <f t="shared" si="0"/>
        <v>0</v>
      </c>
      <c r="F80" s="30"/>
      <c r="G80" s="28">
        <v>45714</v>
      </c>
      <c r="H80" s="27"/>
      <c r="I80" s="27">
        <v>425</v>
      </c>
      <c r="J80" s="25">
        <v>27</v>
      </c>
      <c r="K80" s="25">
        <f t="shared" si="3"/>
        <v>11475</v>
      </c>
    </row>
    <row r="81" spans="1:11" x14ac:dyDescent="0.25">
      <c r="A81" s="28">
        <v>45715</v>
      </c>
      <c r="B81" s="27"/>
      <c r="C81" s="27">
        <v>3000</v>
      </c>
      <c r="D81" s="25">
        <v>27</v>
      </c>
      <c r="E81" s="25">
        <f t="shared" si="0"/>
        <v>81000</v>
      </c>
      <c r="F81" s="30"/>
      <c r="G81" s="28">
        <v>45715</v>
      </c>
      <c r="H81" s="27"/>
      <c r="I81" s="27">
        <v>375</v>
      </c>
      <c r="J81" s="25">
        <v>27</v>
      </c>
      <c r="K81" s="25">
        <f t="shared" si="3"/>
        <v>10125</v>
      </c>
    </row>
    <row r="82" spans="1:11" x14ac:dyDescent="0.25">
      <c r="A82" s="24"/>
      <c r="B82" s="27"/>
      <c r="C82" s="27"/>
      <c r="D82" s="25"/>
      <c r="E82" s="25">
        <f t="shared" si="0"/>
        <v>0</v>
      </c>
      <c r="F82" s="30"/>
      <c r="G82" s="28">
        <v>45716</v>
      </c>
      <c r="H82" s="27"/>
      <c r="I82" s="27">
        <v>750</v>
      </c>
      <c r="J82" s="25">
        <v>27</v>
      </c>
      <c r="K82" s="25">
        <f t="shared" si="3"/>
        <v>20250</v>
      </c>
    </row>
    <row r="83" spans="1:11" ht="16.5" thickBot="1" x14ac:dyDescent="0.3">
      <c r="A83" s="166"/>
      <c r="B83" s="167"/>
      <c r="C83" s="167"/>
      <c r="D83" s="168"/>
      <c r="E83" s="168">
        <f t="shared" si="0"/>
        <v>0</v>
      </c>
      <c r="F83" s="168"/>
      <c r="G83" s="232" t="s">
        <v>135</v>
      </c>
      <c r="H83" s="234"/>
      <c r="I83" s="234"/>
      <c r="J83" s="235"/>
      <c r="K83" s="235">
        <f t="shared" si="3"/>
        <v>0</v>
      </c>
    </row>
    <row r="84" spans="1:11" x14ac:dyDescent="0.25">
      <c r="A84" s="24"/>
      <c r="B84" s="27"/>
      <c r="C84" s="27"/>
      <c r="D84" s="25"/>
      <c r="E84" s="25">
        <f t="shared" si="0"/>
        <v>0</v>
      </c>
      <c r="F84" s="231"/>
      <c r="G84" s="236">
        <v>45719</v>
      </c>
      <c r="H84" s="237"/>
      <c r="I84" s="237">
        <v>275</v>
      </c>
      <c r="J84" s="238">
        <v>27</v>
      </c>
      <c r="K84" s="239">
        <f t="shared" si="3"/>
        <v>7425</v>
      </c>
    </row>
    <row r="85" spans="1:11" x14ac:dyDescent="0.25">
      <c r="A85" s="24"/>
      <c r="B85" s="27"/>
      <c r="C85" s="27"/>
      <c r="D85" s="25"/>
      <c r="E85" s="25">
        <f t="shared" si="0"/>
        <v>0</v>
      </c>
      <c r="F85" s="231"/>
      <c r="G85" s="240">
        <v>45720</v>
      </c>
      <c r="H85" s="27"/>
      <c r="I85" s="27">
        <v>100</v>
      </c>
      <c r="J85" s="25">
        <v>27</v>
      </c>
      <c r="K85" s="241">
        <f t="shared" si="3"/>
        <v>2700</v>
      </c>
    </row>
    <row r="86" spans="1:11" ht="16.5" thickBot="1" x14ac:dyDescent="0.3">
      <c r="A86" s="24"/>
      <c r="B86" s="27"/>
      <c r="C86" s="27"/>
      <c r="D86" s="25"/>
      <c r="E86" s="25">
        <f t="shared" si="0"/>
        <v>0</v>
      </c>
      <c r="F86" s="231"/>
      <c r="G86" s="242">
        <v>45721</v>
      </c>
      <c r="H86" s="124"/>
      <c r="I86" s="124">
        <v>225</v>
      </c>
      <c r="J86" s="125">
        <v>27</v>
      </c>
      <c r="K86" s="243">
        <f t="shared" si="3"/>
        <v>6075</v>
      </c>
    </row>
    <row r="87" spans="1:11" x14ac:dyDescent="0.25">
      <c r="A87" s="28">
        <v>45722</v>
      </c>
      <c r="B87" s="27"/>
      <c r="C87" s="27">
        <v>3000</v>
      </c>
      <c r="D87" s="25">
        <v>27</v>
      </c>
      <c r="E87" s="25">
        <f t="shared" si="0"/>
        <v>81000</v>
      </c>
      <c r="F87" s="231"/>
      <c r="G87" s="236">
        <v>45726</v>
      </c>
      <c r="H87" s="237"/>
      <c r="I87" s="237">
        <v>750</v>
      </c>
      <c r="J87" s="238">
        <v>27</v>
      </c>
      <c r="K87" s="239">
        <f t="shared" si="3"/>
        <v>20250</v>
      </c>
    </row>
    <row r="88" spans="1:11" x14ac:dyDescent="0.25">
      <c r="A88" s="24"/>
      <c r="B88" s="27"/>
      <c r="C88" s="27"/>
      <c r="D88" s="25"/>
      <c r="E88" s="25">
        <f t="shared" si="0"/>
        <v>0</v>
      </c>
      <c r="F88" s="231"/>
      <c r="G88" s="240">
        <v>45727</v>
      </c>
      <c r="H88" s="27"/>
      <c r="I88" s="27">
        <v>750</v>
      </c>
      <c r="J88" s="25">
        <v>27</v>
      </c>
      <c r="K88" s="241">
        <f t="shared" si="3"/>
        <v>20250</v>
      </c>
    </row>
    <row r="89" spans="1:11" ht="16.5" thickBot="1" x14ac:dyDescent="0.3">
      <c r="A89" s="24"/>
      <c r="B89" s="27"/>
      <c r="C89" s="27"/>
      <c r="D89" s="25"/>
      <c r="E89" s="25">
        <f t="shared" si="0"/>
        <v>0</v>
      </c>
      <c r="F89" s="231"/>
      <c r="G89" s="242">
        <v>45729</v>
      </c>
      <c r="H89" s="124"/>
      <c r="I89" s="124">
        <v>750</v>
      </c>
      <c r="J89" s="125">
        <v>27</v>
      </c>
      <c r="K89" s="243">
        <f t="shared" si="3"/>
        <v>20250</v>
      </c>
    </row>
    <row r="90" spans="1:11" x14ac:dyDescent="0.25">
      <c r="A90" s="24"/>
      <c r="B90" s="27"/>
      <c r="C90" s="27"/>
      <c r="D90" s="25"/>
      <c r="E90" s="25">
        <f t="shared" si="0"/>
        <v>0</v>
      </c>
      <c r="F90" s="231"/>
      <c r="G90" s="236">
        <v>45733</v>
      </c>
      <c r="H90" s="237"/>
      <c r="I90" s="237">
        <v>750</v>
      </c>
      <c r="J90" s="238">
        <v>27</v>
      </c>
      <c r="K90" s="239">
        <f t="shared" si="3"/>
        <v>20250</v>
      </c>
    </row>
    <row r="91" spans="1:11" x14ac:dyDescent="0.25">
      <c r="A91" s="24"/>
      <c r="B91" s="27"/>
      <c r="C91" s="27"/>
      <c r="D91" s="25"/>
      <c r="E91" s="25">
        <f t="shared" si="0"/>
        <v>0</v>
      </c>
      <c r="F91" s="231"/>
      <c r="G91" s="301">
        <v>45734</v>
      </c>
      <c r="H91" s="27"/>
      <c r="I91" s="27">
        <v>250</v>
      </c>
      <c r="J91" s="25">
        <v>27</v>
      </c>
      <c r="K91" s="241">
        <f t="shared" si="3"/>
        <v>6750</v>
      </c>
    </row>
    <row r="92" spans="1:11" x14ac:dyDescent="0.25">
      <c r="A92" s="24"/>
      <c r="B92" s="27"/>
      <c r="C92" s="27"/>
      <c r="D92" s="25"/>
      <c r="E92" s="25">
        <f t="shared" si="0"/>
        <v>0</v>
      </c>
      <c r="F92" s="231"/>
      <c r="G92" s="301">
        <v>45735</v>
      </c>
      <c r="H92" s="27"/>
      <c r="I92" s="27">
        <v>500</v>
      </c>
      <c r="J92" s="25">
        <v>27</v>
      </c>
      <c r="K92" s="241">
        <f t="shared" si="3"/>
        <v>13500</v>
      </c>
    </row>
    <row r="93" spans="1:11" ht="16.5" thickBot="1" x14ac:dyDescent="0.3">
      <c r="A93" s="24"/>
      <c r="B93" s="27"/>
      <c r="C93" s="27"/>
      <c r="D93" s="25"/>
      <c r="E93" s="25">
        <f t="shared" si="0"/>
        <v>0</v>
      </c>
      <c r="F93" s="231"/>
      <c r="G93" s="242">
        <v>45736</v>
      </c>
      <c r="H93" s="124"/>
      <c r="I93" s="124">
        <v>750</v>
      </c>
      <c r="J93" s="125">
        <v>27</v>
      </c>
      <c r="K93" s="243">
        <f t="shared" si="3"/>
        <v>20250</v>
      </c>
    </row>
    <row r="94" spans="1:11" x14ac:dyDescent="0.25">
      <c r="A94" s="28">
        <v>45741</v>
      </c>
      <c r="B94" s="27"/>
      <c r="C94" s="27">
        <v>3000</v>
      </c>
      <c r="D94" s="25">
        <v>27</v>
      </c>
      <c r="E94" s="25">
        <f t="shared" si="0"/>
        <v>81000</v>
      </c>
      <c r="F94" s="231"/>
      <c r="G94" s="236">
        <v>45740</v>
      </c>
      <c r="H94" s="237"/>
      <c r="I94" s="237">
        <v>750</v>
      </c>
      <c r="J94" s="238">
        <v>27</v>
      </c>
      <c r="K94" s="239">
        <f t="shared" si="3"/>
        <v>20250</v>
      </c>
    </row>
    <row r="95" spans="1:11" ht="16.5" thickBot="1" x14ac:dyDescent="0.3">
      <c r="A95" s="24"/>
      <c r="B95" s="27"/>
      <c r="C95" s="27"/>
      <c r="D95" s="25"/>
      <c r="E95" s="25">
        <f t="shared" si="0"/>
        <v>0</v>
      </c>
      <c r="F95" s="231"/>
      <c r="G95" s="242">
        <v>45747</v>
      </c>
      <c r="H95" s="124"/>
      <c r="I95" s="124">
        <v>1500</v>
      </c>
      <c r="J95" s="125">
        <v>27</v>
      </c>
      <c r="K95" s="243">
        <f t="shared" si="3"/>
        <v>40500</v>
      </c>
    </row>
    <row r="96" spans="1:11" ht="16.5" thickBot="1" x14ac:dyDescent="0.3">
      <c r="A96" s="166" t="s">
        <v>145</v>
      </c>
      <c r="B96" s="167"/>
      <c r="C96" s="167"/>
      <c r="D96" s="168"/>
      <c r="E96" s="168">
        <f t="shared" si="0"/>
        <v>0</v>
      </c>
      <c r="F96" s="168"/>
      <c r="G96" s="331"/>
      <c r="H96" s="333"/>
      <c r="I96" s="333"/>
      <c r="J96" s="327"/>
      <c r="K96" s="327">
        <f t="shared" si="3"/>
        <v>0</v>
      </c>
    </row>
    <row r="97" spans="1:11" x14ac:dyDescent="0.25">
      <c r="A97" s="28">
        <v>45749</v>
      </c>
      <c r="B97" s="27"/>
      <c r="C97" s="27">
        <v>3000</v>
      </c>
      <c r="D97" s="25">
        <v>27</v>
      </c>
      <c r="E97" s="25">
        <f t="shared" si="0"/>
        <v>81000</v>
      </c>
      <c r="F97" s="231"/>
      <c r="G97" s="236">
        <v>45750</v>
      </c>
      <c r="H97" s="237"/>
      <c r="I97" s="237">
        <v>750</v>
      </c>
      <c r="J97" s="238">
        <v>27</v>
      </c>
      <c r="K97" s="239">
        <f t="shared" si="3"/>
        <v>20250</v>
      </c>
    </row>
    <row r="98" spans="1:11" ht="16.5" thickBot="1" x14ac:dyDescent="0.3">
      <c r="A98" s="24"/>
      <c r="B98" s="27"/>
      <c r="C98" s="27"/>
      <c r="D98" s="25"/>
      <c r="E98" s="25">
        <f t="shared" si="0"/>
        <v>0</v>
      </c>
      <c r="F98" s="231"/>
      <c r="G98" s="242">
        <v>45751</v>
      </c>
      <c r="H98" s="124"/>
      <c r="I98" s="124">
        <v>1050</v>
      </c>
      <c r="J98" s="125">
        <v>27</v>
      </c>
      <c r="K98" s="243">
        <f t="shared" si="3"/>
        <v>28350</v>
      </c>
    </row>
    <row r="99" spans="1:11" x14ac:dyDescent="0.25">
      <c r="A99" s="24" t="s">
        <v>150</v>
      </c>
      <c r="B99" s="27"/>
      <c r="C99" s="27">
        <v>3000</v>
      </c>
      <c r="D99" s="25">
        <v>27</v>
      </c>
      <c r="E99" s="25">
        <f t="shared" si="0"/>
        <v>81000</v>
      </c>
      <c r="F99" s="231"/>
      <c r="G99" s="236" t="s">
        <v>150</v>
      </c>
      <c r="H99" s="237"/>
      <c r="I99" s="237">
        <v>1950</v>
      </c>
      <c r="J99" s="238">
        <v>27</v>
      </c>
      <c r="K99" s="239">
        <f t="shared" si="3"/>
        <v>52650</v>
      </c>
    </row>
    <row r="100" spans="1:11" x14ac:dyDescent="0.25">
      <c r="A100" s="24"/>
      <c r="B100" s="27"/>
      <c r="C100" s="27"/>
      <c r="D100" s="25"/>
      <c r="E100" s="25">
        <f t="shared" si="0"/>
        <v>0</v>
      </c>
      <c r="F100" s="231"/>
      <c r="G100" s="240">
        <v>45762</v>
      </c>
      <c r="H100" s="27"/>
      <c r="I100" s="27">
        <v>750</v>
      </c>
      <c r="J100" s="25">
        <v>27</v>
      </c>
      <c r="K100" s="241">
        <f t="shared" si="3"/>
        <v>20250</v>
      </c>
    </row>
    <row r="101" spans="1:11" ht="16.5" thickBot="1" x14ac:dyDescent="0.3">
      <c r="A101" s="24"/>
      <c r="B101" s="27"/>
      <c r="C101" s="27"/>
      <c r="D101" s="25"/>
      <c r="E101" s="25">
        <f t="shared" si="0"/>
        <v>0</v>
      </c>
      <c r="F101" s="231"/>
      <c r="G101" s="242">
        <v>45763</v>
      </c>
      <c r="H101" s="124"/>
      <c r="I101" s="124">
        <v>750</v>
      </c>
      <c r="J101" s="125">
        <v>27</v>
      </c>
      <c r="K101" s="243">
        <f t="shared" si="3"/>
        <v>20250</v>
      </c>
    </row>
    <row r="102" spans="1:11" x14ac:dyDescent="0.25">
      <c r="A102" s="28">
        <v>45768</v>
      </c>
      <c r="B102" s="27"/>
      <c r="C102" s="27">
        <v>3000</v>
      </c>
      <c r="D102" s="25">
        <v>27</v>
      </c>
      <c r="E102" s="25">
        <f t="shared" si="0"/>
        <v>81000</v>
      </c>
      <c r="F102" s="231"/>
      <c r="G102" s="236">
        <v>45768</v>
      </c>
      <c r="H102" s="237"/>
      <c r="I102" s="237">
        <v>1500</v>
      </c>
      <c r="J102" s="238">
        <v>27</v>
      </c>
      <c r="K102" s="239">
        <f t="shared" si="3"/>
        <v>40500</v>
      </c>
    </row>
    <row r="103" spans="1:11" x14ac:dyDescent="0.25">
      <c r="A103" s="24"/>
      <c r="B103" s="27"/>
      <c r="C103" s="27"/>
      <c r="D103" s="25"/>
      <c r="E103" s="25">
        <f t="shared" si="0"/>
        <v>0</v>
      </c>
      <c r="F103" s="231"/>
      <c r="G103" s="240">
        <v>45775</v>
      </c>
      <c r="H103" s="27"/>
      <c r="I103" s="27">
        <v>1500</v>
      </c>
      <c r="J103" s="25">
        <v>27</v>
      </c>
      <c r="K103" s="241">
        <f t="shared" si="3"/>
        <v>40500</v>
      </c>
    </row>
    <row r="104" spans="1:11" ht="16.5" thickBot="1" x14ac:dyDescent="0.3">
      <c r="A104" s="123"/>
      <c r="B104" s="124"/>
      <c r="C104" s="124"/>
      <c r="D104" s="125"/>
      <c r="E104" s="125">
        <f t="shared" si="0"/>
        <v>0</v>
      </c>
      <c r="F104" s="231"/>
      <c r="G104" s="242">
        <v>45776</v>
      </c>
      <c r="H104" s="124"/>
      <c r="I104" s="124">
        <v>750</v>
      </c>
      <c r="J104" s="125">
        <v>27</v>
      </c>
      <c r="K104" s="243">
        <f t="shared" si="3"/>
        <v>20250</v>
      </c>
    </row>
    <row r="105" spans="1:11" ht="16.5" thickBot="1" x14ac:dyDescent="0.3">
      <c r="A105" s="118" t="s">
        <v>158</v>
      </c>
      <c r="B105" s="119"/>
      <c r="C105" s="119">
        <v>5000</v>
      </c>
      <c r="D105" s="120">
        <v>27</v>
      </c>
      <c r="E105" s="120">
        <f t="shared" si="0"/>
        <v>135000</v>
      </c>
      <c r="F105" s="30"/>
      <c r="G105" s="122" t="s">
        <v>159</v>
      </c>
      <c r="H105" s="119"/>
      <c r="I105" s="119">
        <v>750</v>
      </c>
      <c r="J105" s="125">
        <v>27</v>
      </c>
      <c r="K105" s="120">
        <f t="shared" si="3"/>
        <v>20250</v>
      </c>
    </row>
    <row r="106" spans="1:11" ht="16.5" thickBot="1" x14ac:dyDescent="0.3">
      <c r="A106" s="24"/>
      <c r="B106" s="27"/>
      <c r="C106" s="27"/>
      <c r="D106" s="25"/>
      <c r="E106" s="25">
        <f t="shared" si="0"/>
        <v>0</v>
      </c>
      <c r="F106" s="30"/>
      <c r="G106" s="28" t="s">
        <v>160</v>
      </c>
      <c r="H106" s="27"/>
      <c r="I106" s="119">
        <v>750</v>
      </c>
      <c r="J106" s="125">
        <v>27</v>
      </c>
      <c r="K106" s="25">
        <f t="shared" si="3"/>
        <v>20250</v>
      </c>
    </row>
    <row r="107" spans="1:11" x14ac:dyDescent="0.25">
      <c r="A107" s="24"/>
      <c r="B107" s="27"/>
      <c r="C107" s="27"/>
      <c r="D107" s="25"/>
      <c r="E107" s="25">
        <f t="shared" si="0"/>
        <v>0</v>
      </c>
      <c r="F107" s="30"/>
      <c r="G107" s="28" t="s">
        <v>168</v>
      </c>
      <c r="H107" s="27"/>
      <c r="I107" s="27">
        <v>1250</v>
      </c>
      <c r="J107" s="25">
        <v>27</v>
      </c>
      <c r="K107" s="25">
        <f t="shared" si="3"/>
        <v>33750</v>
      </c>
    </row>
    <row r="108" spans="1:11" x14ac:dyDescent="0.25">
      <c r="A108" s="24"/>
      <c r="B108" s="27"/>
      <c r="C108" s="27"/>
      <c r="D108" s="25"/>
      <c r="E108" s="25">
        <f t="shared" si="0"/>
        <v>0</v>
      </c>
      <c r="F108" s="30"/>
      <c r="G108" s="28" t="s">
        <v>177</v>
      </c>
      <c r="H108" s="27"/>
      <c r="I108" s="27">
        <v>200</v>
      </c>
      <c r="J108" s="25">
        <v>27</v>
      </c>
      <c r="K108" s="25">
        <f t="shared" si="3"/>
        <v>5400</v>
      </c>
    </row>
    <row r="109" spans="1:11" x14ac:dyDescent="0.25">
      <c r="A109" s="24"/>
      <c r="B109" s="27"/>
      <c r="C109" s="27"/>
      <c r="D109" s="25"/>
      <c r="E109" s="25">
        <f t="shared" si="0"/>
        <v>0</v>
      </c>
      <c r="F109" s="30"/>
      <c r="G109" s="28" t="s">
        <v>178</v>
      </c>
      <c r="H109" s="27"/>
      <c r="I109" s="27">
        <v>150</v>
      </c>
      <c r="J109" s="25">
        <v>27</v>
      </c>
      <c r="K109" s="25">
        <f t="shared" si="3"/>
        <v>4050</v>
      </c>
    </row>
    <row r="110" spans="1:11" x14ac:dyDescent="0.25">
      <c r="A110" s="24"/>
      <c r="B110" s="27"/>
      <c r="C110" s="27"/>
      <c r="D110" s="25"/>
      <c r="E110" s="25">
        <f t="shared" si="0"/>
        <v>0</v>
      </c>
      <c r="F110" s="30"/>
      <c r="G110" s="28"/>
      <c r="H110" s="27"/>
      <c r="I110" s="27"/>
      <c r="J110" s="25"/>
      <c r="K110" s="25">
        <f t="shared" si="3"/>
        <v>0</v>
      </c>
    </row>
    <row r="111" spans="1:11" x14ac:dyDescent="0.25">
      <c r="A111" s="24"/>
      <c r="B111" s="27"/>
      <c r="C111" s="27"/>
      <c r="D111" s="25"/>
      <c r="E111" s="25">
        <f t="shared" si="0"/>
        <v>0</v>
      </c>
      <c r="F111" s="30"/>
      <c r="G111" s="28"/>
      <c r="H111" s="27"/>
      <c r="I111" s="27"/>
      <c r="J111" s="25"/>
      <c r="K111" s="25">
        <f t="shared" si="3"/>
        <v>0</v>
      </c>
    </row>
    <row r="112" spans="1:11" x14ac:dyDescent="0.25">
      <c r="A112" s="24"/>
      <c r="B112" s="27"/>
      <c r="C112" s="27"/>
      <c r="D112" s="25"/>
      <c r="E112" s="25">
        <f t="shared" si="0"/>
        <v>0</v>
      </c>
      <c r="F112" s="30"/>
      <c r="G112" s="28"/>
      <c r="H112" s="27"/>
      <c r="I112" s="27"/>
      <c r="J112" s="25"/>
      <c r="K112" s="25">
        <f t="shared" si="3"/>
        <v>0</v>
      </c>
    </row>
    <row r="113" spans="1:14" x14ac:dyDescent="0.25">
      <c r="A113" s="24"/>
      <c r="B113" s="27"/>
      <c r="C113" s="27"/>
      <c r="D113" s="25"/>
      <c r="E113" s="25">
        <f t="shared" si="0"/>
        <v>0</v>
      </c>
      <c r="F113" s="30"/>
      <c r="G113" s="28"/>
      <c r="H113" s="27"/>
      <c r="I113" s="27"/>
      <c r="J113" s="25"/>
      <c r="K113" s="25">
        <f t="shared" si="3"/>
        <v>0</v>
      </c>
    </row>
    <row r="114" spans="1:14" ht="16.5" thickBot="1" x14ac:dyDescent="0.3">
      <c r="A114" s="24"/>
      <c r="B114" s="27"/>
      <c r="C114" s="27"/>
      <c r="D114" s="25"/>
      <c r="E114" s="25">
        <f t="shared" si="0"/>
        <v>0</v>
      </c>
      <c r="F114" s="30"/>
      <c r="G114" s="24"/>
      <c r="H114" s="27"/>
      <c r="I114" s="27"/>
      <c r="J114" s="25"/>
      <c r="K114" s="25">
        <f t="shared" si="3"/>
        <v>0</v>
      </c>
      <c r="N114" s="357"/>
    </row>
    <row r="115" spans="1:14" x14ac:dyDescent="0.25">
      <c r="A115" s="24"/>
      <c r="B115" s="27"/>
      <c r="C115" s="27"/>
      <c r="D115" s="25"/>
      <c r="E115" s="25">
        <f t="shared" si="0"/>
        <v>0</v>
      </c>
      <c r="F115" s="30"/>
      <c r="G115" s="24"/>
      <c r="H115" s="27"/>
      <c r="I115" s="27"/>
      <c r="J115" s="25"/>
      <c r="K115" s="25">
        <f t="shared" si="3"/>
        <v>0</v>
      </c>
    </row>
    <row r="116" spans="1:14" x14ac:dyDescent="0.25">
      <c r="A116" s="24"/>
      <c r="B116" s="27"/>
      <c r="C116" s="27"/>
      <c r="D116" s="25"/>
      <c r="E116" s="25">
        <f t="shared" si="0"/>
        <v>0</v>
      </c>
      <c r="F116" s="30"/>
      <c r="G116" s="24"/>
      <c r="H116" s="27"/>
      <c r="I116" s="27"/>
      <c r="J116" s="25"/>
      <c r="K116" s="25">
        <f t="shared" si="3"/>
        <v>0</v>
      </c>
    </row>
    <row r="117" spans="1:14" s="132" customFormat="1" x14ac:dyDescent="0.25">
      <c r="A117" s="128"/>
      <c r="B117" s="129">
        <f>SUM(B3:B116)</f>
        <v>5250</v>
      </c>
      <c r="C117" s="129">
        <f>SUM(C3:C116)</f>
        <v>29000</v>
      </c>
      <c r="D117" s="130"/>
      <c r="E117" s="130"/>
      <c r="F117" s="131"/>
      <c r="G117" s="128"/>
      <c r="H117" s="129">
        <f>SUM(H3:H116)</f>
        <v>5250</v>
      </c>
      <c r="I117" s="129">
        <f>SUM(I3:I116)</f>
        <v>26350</v>
      </c>
      <c r="J117" s="130"/>
      <c r="K117" s="1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2"/>
  <sheetViews>
    <sheetView workbookViewId="0">
      <pane ySplit="1" topLeftCell="A2" activePane="bottomLeft" state="frozen"/>
      <selection pane="bottomLeft" activeCell="R2" sqref="R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2" width="11.28515625" style="26" customWidth="1"/>
    <col min="13" max="13" width="10.5703125" style="29" customWidth="1"/>
    <col min="14" max="14" width="14.42578125" style="29" bestFit="1" customWidth="1"/>
    <col min="15" max="16" width="8.85546875" style="26"/>
    <col min="17" max="17" width="11.7109375" style="26" customWidth="1"/>
    <col min="18" max="18" width="11.140625" style="26" customWidth="1"/>
    <col min="19" max="16384" width="8.85546875" style="26"/>
  </cols>
  <sheetData>
    <row r="1" spans="1:25" s="60" customFormat="1" ht="42.75" x14ac:dyDescent="0.25">
      <c r="A1" s="57" t="s">
        <v>17</v>
      </c>
      <c r="B1" s="57" t="s">
        <v>42</v>
      </c>
      <c r="C1" s="57" t="s">
        <v>94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42</v>
      </c>
      <c r="K1" s="57" t="s">
        <v>94</v>
      </c>
      <c r="L1" s="57"/>
      <c r="M1" s="58" t="s">
        <v>18</v>
      </c>
      <c r="N1" s="58" t="s">
        <v>19</v>
      </c>
      <c r="O1" s="59"/>
      <c r="P1" s="59"/>
      <c r="Q1" s="57" t="s">
        <v>42</v>
      </c>
      <c r="R1" s="57" t="s">
        <v>94</v>
      </c>
      <c r="S1" s="57"/>
      <c r="T1" s="57"/>
      <c r="U1" s="57"/>
    </row>
    <row r="2" spans="1:25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>
        <v>0</v>
      </c>
      <c r="P2" s="31"/>
      <c r="Q2" s="27">
        <f>0+B32-J32</f>
        <v>0</v>
      </c>
      <c r="R2" s="27">
        <f>0+C32-K32</f>
        <v>25</v>
      </c>
      <c r="S2" s="27"/>
      <c r="T2" s="27"/>
      <c r="U2" s="27"/>
      <c r="V2" s="31"/>
      <c r="W2" s="31"/>
      <c r="X2" s="31"/>
      <c r="Y2" s="31"/>
    </row>
    <row r="3" spans="1:25" x14ac:dyDescent="0.25">
      <c r="A3" s="28">
        <v>45517</v>
      </c>
      <c r="B3" s="27">
        <v>50</v>
      </c>
      <c r="C3" s="27"/>
      <c r="D3" s="27"/>
      <c r="E3" s="25">
        <v>172</v>
      </c>
      <c r="F3" s="25">
        <f>B3*E3+C3*E3+D3*E3</f>
        <v>8600</v>
      </c>
      <c r="G3" s="30"/>
      <c r="H3" s="28"/>
      <c r="I3" s="24"/>
      <c r="J3" s="27"/>
      <c r="K3" s="27"/>
      <c r="L3" s="27"/>
      <c r="M3" s="25"/>
      <c r="N3" s="25"/>
      <c r="Q3" s="25">
        <v>183</v>
      </c>
      <c r="R3" s="25">
        <v>84</v>
      </c>
      <c r="S3" s="25"/>
      <c r="T3" s="25"/>
      <c r="U3" s="25"/>
      <c r="V3" s="29"/>
      <c r="W3" s="29"/>
      <c r="X3" s="29"/>
    </row>
    <row r="4" spans="1:25" x14ac:dyDescent="0.25">
      <c r="A4" s="24"/>
      <c r="B4" s="27"/>
      <c r="C4" s="27"/>
      <c r="D4" s="27"/>
      <c r="E4" s="25"/>
      <c r="F4" s="25">
        <f t="shared" ref="F4:F31" si="0">B4*E4+C4*E4+D4*E4</f>
        <v>0</v>
      </c>
      <c r="G4" s="30"/>
      <c r="H4" s="28">
        <v>45568</v>
      </c>
      <c r="I4" s="24" t="s">
        <v>47</v>
      </c>
      <c r="J4" s="27">
        <v>0.7</v>
      </c>
      <c r="K4" s="27"/>
      <c r="L4" s="27"/>
      <c r="M4" s="25">
        <v>172</v>
      </c>
      <c r="N4" s="25">
        <f>J4*M4+K4*M4+L4*M4</f>
        <v>120.39999999999999</v>
      </c>
      <c r="Q4" s="25">
        <f>Q2*Q3</f>
        <v>0</v>
      </c>
      <c r="R4" s="25">
        <f>R2*R3</f>
        <v>2100</v>
      </c>
      <c r="S4" s="25"/>
      <c r="T4" s="25"/>
      <c r="U4" s="25"/>
      <c r="V4" s="29"/>
      <c r="W4" s="29"/>
      <c r="X4" s="29"/>
    </row>
    <row r="5" spans="1:25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45576</v>
      </c>
      <c r="I5" s="24" t="s">
        <v>47</v>
      </c>
      <c r="J5" s="27">
        <v>24.3</v>
      </c>
      <c r="K5" s="27"/>
      <c r="L5" s="27"/>
      <c r="M5" s="25">
        <v>172</v>
      </c>
      <c r="N5" s="25">
        <f t="shared" ref="N5:N31" si="1">J5*M5+K5*M5+L5*M5</f>
        <v>4179.6000000000004</v>
      </c>
    </row>
    <row r="6" spans="1:25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45583</v>
      </c>
      <c r="I6" s="24" t="s">
        <v>47</v>
      </c>
      <c r="J6" s="141">
        <v>0</v>
      </c>
      <c r="K6" s="141"/>
      <c r="L6" s="141"/>
      <c r="M6" s="25">
        <v>172</v>
      </c>
      <c r="N6" s="25">
        <f t="shared" si="1"/>
        <v>0</v>
      </c>
      <c r="O6" s="136" t="s">
        <v>70</v>
      </c>
    </row>
    <row r="7" spans="1:25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45584</v>
      </c>
      <c r="I7" s="24" t="s">
        <v>47</v>
      </c>
      <c r="J7" s="141">
        <v>0</v>
      </c>
      <c r="K7" s="141"/>
      <c r="L7" s="141"/>
      <c r="M7" s="25">
        <v>172</v>
      </c>
      <c r="N7" s="25">
        <f t="shared" si="1"/>
        <v>0</v>
      </c>
      <c r="O7" s="27">
        <v>0.1</v>
      </c>
    </row>
    <row r="8" spans="1:25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45586</v>
      </c>
      <c r="I8" s="24" t="s">
        <v>47</v>
      </c>
      <c r="J8" s="141">
        <v>0</v>
      </c>
      <c r="K8" s="141"/>
      <c r="L8" s="141"/>
      <c r="M8" s="25">
        <v>172</v>
      </c>
      <c r="N8" s="25">
        <f t="shared" si="1"/>
        <v>0</v>
      </c>
      <c r="O8" s="27">
        <v>0.1</v>
      </c>
    </row>
    <row r="9" spans="1:25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45587</v>
      </c>
      <c r="I9" s="24" t="s">
        <v>47</v>
      </c>
      <c r="J9" s="141">
        <v>0</v>
      </c>
      <c r="K9" s="141"/>
      <c r="L9" s="141"/>
      <c r="M9" s="25">
        <v>172</v>
      </c>
      <c r="N9" s="25">
        <f t="shared" si="1"/>
        <v>0</v>
      </c>
      <c r="O9" s="27">
        <v>0.1</v>
      </c>
    </row>
    <row r="10" spans="1:25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45589</v>
      </c>
      <c r="I10" s="24" t="s">
        <v>47</v>
      </c>
      <c r="J10" s="141">
        <v>0</v>
      </c>
      <c r="K10" s="141"/>
      <c r="L10" s="141"/>
      <c r="M10" s="25">
        <v>172</v>
      </c>
      <c r="N10" s="25">
        <f t="shared" si="1"/>
        <v>0</v>
      </c>
      <c r="O10" s="27">
        <v>1</v>
      </c>
    </row>
    <row r="11" spans="1:25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45637</v>
      </c>
      <c r="I11" s="24" t="s">
        <v>47</v>
      </c>
      <c r="J11" s="27">
        <v>25</v>
      </c>
      <c r="K11" s="27"/>
      <c r="L11" s="27"/>
      <c r="M11" s="25">
        <v>172</v>
      </c>
      <c r="N11" s="25">
        <f t="shared" si="1"/>
        <v>4300</v>
      </c>
    </row>
    <row r="12" spans="1:25" x14ac:dyDescent="0.25">
      <c r="A12" s="28">
        <v>45643</v>
      </c>
      <c r="B12" s="27"/>
      <c r="C12" s="27">
        <v>25</v>
      </c>
      <c r="D12" s="27"/>
      <c r="E12" s="25">
        <v>84</v>
      </c>
      <c r="F12" s="25">
        <f t="shared" si="0"/>
        <v>2100</v>
      </c>
      <c r="G12" s="30"/>
      <c r="H12" s="28"/>
      <c r="I12" s="24"/>
      <c r="J12" s="27"/>
      <c r="K12" s="27"/>
      <c r="L12" s="27"/>
      <c r="M12" s="25"/>
      <c r="N12" s="25">
        <f t="shared" si="1"/>
        <v>0</v>
      </c>
    </row>
    <row r="13" spans="1:25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45644</v>
      </c>
      <c r="I13" s="24" t="s">
        <v>47</v>
      </c>
      <c r="J13" s="27"/>
      <c r="K13" s="27">
        <v>25</v>
      </c>
      <c r="L13" s="27"/>
      <c r="M13" s="25">
        <v>84</v>
      </c>
      <c r="N13" s="25">
        <f t="shared" si="1"/>
        <v>2100</v>
      </c>
    </row>
    <row r="14" spans="1:25" x14ac:dyDescent="0.25">
      <c r="A14" s="166" t="s">
        <v>108</v>
      </c>
      <c r="B14" s="167"/>
      <c r="C14" s="167"/>
      <c r="D14" s="167"/>
      <c r="E14" s="168"/>
      <c r="F14" s="168">
        <f t="shared" si="0"/>
        <v>0</v>
      </c>
      <c r="G14" s="168"/>
      <c r="H14" s="169"/>
      <c r="I14" s="166"/>
      <c r="J14" s="167"/>
      <c r="K14" s="167"/>
      <c r="L14" s="167"/>
      <c r="M14" s="168"/>
      <c r="N14" s="168">
        <f t="shared" si="1"/>
        <v>0</v>
      </c>
    </row>
    <row r="15" spans="1:25" x14ac:dyDescent="0.25">
      <c r="A15" s="28">
        <v>45687</v>
      </c>
      <c r="B15" s="27">
        <v>75</v>
      </c>
      <c r="C15" s="27"/>
      <c r="D15" s="27"/>
      <c r="E15" s="25">
        <v>183</v>
      </c>
      <c r="F15" s="25">
        <f t="shared" si="0"/>
        <v>13725</v>
      </c>
      <c r="G15" s="30"/>
      <c r="H15" s="28">
        <v>45687</v>
      </c>
      <c r="I15" s="24" t="s">
        <v>47</v>
      </c>
      <c r="J15" s="27">
        <v>25</v>
      </c>
      <c r="K15" s="27"/>
      <c r="L15" s="27"/>
      <c r="M15" s="25">
        <v>183</v>
      </c>
      <c r="N15" s="25">
        <f t="shared" si="1"/>
        <v>4575</v>
      </c>
    </row>
    <row r="16" spans="1:25" ht="16.5" thickBot="1" x14ac:dyDescent="0.3">
      <c r="A16" s="24"/>
      <c r="B16" s="27"/>
      <c r="C16" s="27"/>
      <c r="D16" s="27"/>
      <c r="E16" s="25"/>
      <c r="F16" s="25">
        <f t="shared" si="0"/>
        <v>0</v>
      </c>
      <c r="G16" s="30"/>
      <c r="H16" s="232" t="s">
        <v>135</v>
      </c>
      <c r="I16" s="233"/>
      <c r="J16" s="234"/>
      <c r="K16" s="234"/>
      <c r="L16" s="234"/>
      <c r="M16" s="235"/>
      <c r="N16" s="235">
        <f t="shared" si="1"/>
        <v>0</v>
      </c>
    </row>
    <row r="17" spans="1:14" ht="16.5" thickBot="1" x14ac:dyDescent="0.3">
      <c r="A17" s="24"/>
      <c r="B17" s="27"/>
      <c r="C17" s="27"/>
      <c r="D17" s="27"/>
      <c r="E17" s="25"/>
      <c r="F17" s="25">
        <f t="shared" si="0"/>
        <v>0</v>
      </c>
      <c r="G17" s="231"/>
      <c r="H17" s="276">
        <v>45719</v>
      </c>
      <c r="I17" s="252" t="s">
        <v>47</v>
      </c>
      <c r="J17" s="253">
        <v>50</v>
      </c>
      <c r="K17" s="253"/>
      <c r="L17" s="253"/>
      <c r="M17" s="254">
        <v>183</v>
      </c>
      <c r="N17" s="255">
        <f t="shared" si="1"/>
        <v>9150</v>
      </c>
    </row>
    <row r="18" spans="1:14" ht="16.5" thickBot="1" x14ac:dyDescent="0.3">
      <c r="A18" s="28">
        <v>45730</v>
      </c>
      <c r="B18" s="27"/>
      <c r="C18" s="27">
        <v>50</v>
      </c>
      <c r="D18" s="27"/>
      <c r="E18" s="25">
        <v>84</v>
      </c>
      <c r="F18" s="25">
        <f t="shared" si="0"/>
        <v>4200</v>
      </c>
      <c r="G18" s="231"/>
      <c r="H18" s="276">
        <v>45730</v>
      </c>
      <c r="I18" s="252" t="s">
        <v>47</v>
      </c>
      <c r="J18" s="253"/>
      <c r="K18" s="253">
        <v>25</v>
      </c>
      <c r="L18" s="253"/>
      <c r="M18" s="254">
        <v>84</v>
      </c>
      <c r="N18" s="255">
        <f t="shared" si="1"/>
        <v>2100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22"/>
      <c r="I19" s="118"/>
      <c r="J19" s="119"/>
      <c r="K19" s="119"/>
      <c r="L19" s="119"/>
      <c r="M19" s="120"/>
      <c r="N19" s="120">
        <f t="shared" si="1"/>
        <v>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/>
      <c r="I20" s="24"/>
      <c r="J20" s="27"/>
      <c r="K20" s="27"/>
      <c r="L20" s="27"/>
      <c r="M20" s="25"/>
      <c r="N20" s="25">
        <f t="shared" si="1"/>
        <v>0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/>
      <c r="I21" s="24"/>
      <c r="J21" s="27"/>
      <c r="K21" s="27"/>
      <c r="L21" s="27"/>
      <c r="M21" s="25"/>
      <c r="N21" s="25">
        <f t="shared" si="1"/>
        <v>0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/>
      <c r="I22" s="24"/>
      <c r="J22" s="27"/>
      <c r="K22" s="27"/>
      <c r="L22" s="27"/>
      <c r="M22" s="25"/>
      <c r="N22" s="25">
        <f t="shared" si="1"/>
        <v>0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/>
      <c r="I23" s="24"/>
      <c r="J23" s="27"/>
      <c r="K23" s="27"/>
      <c r="L23" s="27"/>
      <c r="M23" s="25"/>
      <c r="N23" s="25">
        <f t="shared" si="1"/>
        <v>0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4"/>
      <c r="I24" s="24"/>
      <c r="J24" s="27"/>
      <c r="K24" s="27"/>
      <c r="L24" s="27"/>
      <c r="M24" s="25"/>
      <c r="N24" s="25">
        <f t="shared" si="1"/>
        <v>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4"/>
      <c r="I25" s="24"/>
      <c r="J25" s="27"/>
      <c r="K25" s="27"/>
      <c r="L25" s="27"/>
      <c r="M25" s="25"/>
      <c r="N25" s="25">
        <f t="shared" si="1"/>
        <v>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4"/>
      <c r="I26" s="24"/>
      <c r="J26" s="27"/>
      <c r="K26" s="27"/>
      <c r="L26" s="27"/>
      <c r="M26" s="25"/>
      <c r="N26" s="25">
        <f t="shared" si="1"/>
        <v>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4"/>
      <c r="I27" s="24"/>
      <c r="J27" s="27"/>
      <c r="K27" s="27"/>
      <c r="L27" s="27"/>
      <c r="M27" s="25"/>
      <c r="N27" s="25">
        <f t="shared" si="1"/>
        <v>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4"/>
      <c r="I28" s="24"/>
      <c r="J28" s="27"/>
      <c r="K28" s="27"/>
      <c r="L28" s="27"/>
      <c r="M28" s="25"/>
      <c r="N28" s="25">
        <f t="shared" si="1"/>
        <v>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4"/>
      <c r="I29" s="24"/>
      <c r="J29" s="27"/>
      <c r="K29" s="27"/>
      <c r="L29" s="27"/>
      <c r="M29" s="25"/>
      <c r="N29" s="25">
        <f t="shared" si="1"/>
        <v>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4"/>
      <c r="I30" s="24"/>
      <c r="J30" s="27"/>
      <c r="K30" s="27"/>
      <c r="L30" s="27"/>
      <c r="M30" s="25"/>
      <c r="N30" s="25">
        <f t="shared" si="1"/>
        <v>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4"/>
      <c r="I31" s="24"/>
      <c r="J31" s="27"/>
      <c r="K31" s="27"/>
      <c r="L31" s="27"/>
      <c r="M31" s="25"/>
      <c r="N31" s="25">
        <f t="shared" si="1"/>
        <v>0</v>
      </c>
    </row>
    <row r="32" spans="1:14" x14ac:dyDescent="0.25">
      <c r="A32" s="24"/>
      <c r="B32" s="27">
        <f>SUM(B3:B31)</f>
        <v>125</v>
      </c>
      <c r="C32" s="27">
        <f t="shared" ref="C32:D32" si="2">SUM(C3:C31)</f>
        <v>75</v>
      </c>
      <c r="D32" s="27">
        <f t="shared" si="2"/>
        <v>0</v>
      </c>
      <c r="E32" s="25"/>
      <c r="F32" s="25"/>
      <c r="G32" s="30"/>
      <c r="H32" s="24"/>
      <c r="I32" s="24"/>
      <c r="J32" s="27">
        <f>SUM(J3:J31)</f>
        <v>125</v>
      </c>
      <c r="K32" s="27">
        <f t="shared" ref="K32:L32" si="3">SUM(K3:K31)</f>
        <v>50</v>
      </c>
      <c r="L32" s="27">
        <f t="shared" si="3"/>
        <v>0</v>
      </c>
      <c r="M32" s="25"/>
      <c r="N32" s="25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0"/>
  <sheetViews>
    <sheetView workbookViewId="0">
      <pane ySplit="1" topLeftCell="A43" activePane="bottomLeft" state="frozen"/>
      <selection pane="bottomLeft" activeCell="L58" sqref="L58:L59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2.42578125" style="26" customWidth="1"/>
    <col min="10" max="10" width="11.85546875" style="26" customWidth="1"/>
    <col min="11" max="11" width="11.7109375" style="26" customWidth="1"/>
    <col min="12" max="12" width="10.5703125" style="29" customWidth="1"/>
    <col min="13" max="13" width="14.42578125" style="29" bestFit="1" customWidth="1"/>
    <col min="14" max="14" width="8.85546875" style="26"/>
    <col min="15" max="15" width="14.42578125" style="26" bestFit="1" customWidth="1"/>
    <col min="16" max="17" width="12.7109375" style="26" bestFit="1" customWidth="1"/>
    <col min="18" max="16384" width="8.85546875" style="26"/>
  </cols>
  <sheetData>
    <row r="1" spans="1:23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28</v>
      </c>
      <c r="J1" s="57" t="s">
        <v>29</v>
      </c>
      <c r="K1" s="57"/>
      <c r="L1" s="58" t="s">
        <v>18</v>
      </c>
      <c r="M1" s="58" t="s">
        <v>19</v>
      </c>
      <c r="N1" s="59"/>
      <c r="O1" s="57" t="s">
        <v>28</v>
      </c>
      <c r="P1" s="57" t="s">
        <v>29</v>
      </c>
      <c r="Q1" s="57"/>
      <c r="R1" s="57"/>
      <c r="S1" s="57"/>
    </row>
    <row r="2" spans="1:23" x14ac:dyDescent="0.25">
      <c r="A2" s="197" t="s">
        <v>108</v>
      </c>
      <c r="B2" s="24"/>
      <c r="C2" s="24"/>
      <c r="D2" s="24"/>
      <c r="E2" s="25"/>
      <c r="F2" s="25"/>
      <c r="G2" s="30"/>
      <c r="H2" s="23" t="s">
        <v>108</v>
      </c>
      <c r="I2" s="24"/>
      <c r="J2" s="24"/>
      <c r="K2" s="24"/>
      <c r="L2" s="25"/>
      <c r="M2" s="25"/>
      <c r="O2" s="27">
        <f>0+B70-I70</f>
        <v>720</v>
      </c>
      <c r="P2" s="27">
        <f>0+C70-J70</f>
        <v>0</v>
      </c>
      <c r="Q2" s="27">
        <f>0+D70-K70</f>
        <v>0</v>
      </c>
      <c r="R2" s="27"/>
      <c r="S2" s="27"/>
      <c r="T2" s="31"/>
      <c r="U2" s="31"/>
      <c r="V2" s="31"/>
      <c r="W2" s="31"/>
    </row>
    <row r="3" spans="1:23" x14ac:dyDescent="0.25">
      <c r="A3" s="28">
        <v>45699</v>
      </c>
      <c r="B3" s="27">
        <v>2000</v>
      </c>
      <c r="C3" s="27"/>
      <c r="D3" s="27"/>
      <c r="E3" s="25">
        <v>246.15241499999999</v>
      </c>
      <c r="F3" s="25">
        <f t="shared" ref="F3:F34" si="0">B3*E3+C3*E3+D3*E3</f>
        <v>492304.82999999996</v>
      </c>
      <c r="G3" s="30"/>
      <c r="H3" s="28">
        <v>45700</v>
      </c>
      <c r="I3" s="27">
        <v>160</v>
      </c>
      <c r="J3" s="27"/>
      <c r="K3" s="27"/>
      <c r="L3" s="25">
        <v>246.15241499999999</v>
      </c>
      <c r="M3" s="25">
        <f>I3*L3+J3*L3+K3*L3</f>
        <v>39384.386399999996</v>
      </c>
      <c r="O3" s="61">
        <v>234</v>
      </c>
      <c r="P3" s="61">
        <v>145</v>
      </c>
      <c r="Q3" s="61"/>
      <c r="R3" s="25"/>
      <c r="S3" s="25"/>
      <c r="T3" s="29"/>
      <c r="U3" s="29"/>
      <c r="V3" s="29"/>
    </row>
    <row r="4" spans="1:23" x14ac:dyDescent="0.25">
      <c r="A4" s="24"/>
      <c r="B4" s="27"/>
      <c r="C4" s="27"/>
      <c r="D4" s="27"/>
      <c r="E4" s="25"/>
      <c r="F4" s="25">
        <f t="shared" si="0"/>
        <v>0</v>
      </c>
      <c r="G4" s="30"/>
      <c r="H4" s="28">
        <v>45701</v>
      </c>
      <c r="I4" s="27">
        <v>160</v>
      </c>
      <c r="J4" s="27"/>
      <c r="K4" s="27"/>
      <c r="L4" s="25">
        <v>246.15241499999999</v>
      </c>
      <c r="M4" s="25">
        <f t="shared" ref="M4:M69" si="1">I4*L4+J4*L4+K4*L4</f>
        <v>39384.386399999996</v>
      </c>
      <c r="O4" s="25">
        <f>O2*O3</f>
        <v>168480</v>
      </c>
      <c r="P4" s="25">
        <f t="shared" ref="P4:Q4" si="2">P2*P3</f>
        <v>0</v>
      </c>
      <c r="Q4" s="25">
        <f t="shared" si="2"/>
        <v>0</v>
      </c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45702</v>
      </c>
      <c r="I5" s="27">
        <v>160</v>
      </c>
      <c r="J5" s="27"/>
      <c r="K5" s="27"/>
      <c r="L5" s="25">
        <v>246.15241499999999</v>
      </c>
      <c r="M5" s="25">
        <f t="shared" si="1"/>
        <v>39384.386399999996</v>
      </c>
    </row>
    <row r="6" spans="1:23" x14ac:dyDescent="0.25">
      <c r="A6" s="24"/>
      <c r="B6" s="27"/>
      <c r="C6" s="27"/>
      <c r="D6" s="27"/>
      <c r="E6" s="25"/>
      <c r="F6" s="25">
        <f t="shared" si="0"/>
        <v>0</v>
      </c>
      <c r="G6" s="25"/>
      <c r="H6" s="28">
        <v>45705</v>
      </c>
      <c r="I6" s="27">
        <v>80</v>
      </c>
      <c r="J6" s="27"/>
      <c r="K6" s="27"/>
      <c r="L6" s="25">
        <v>246.15241499999999</v>
      </c>
      <c r="M6" s="25">
        <f t="shared" si="1"/>
        <v>19692.193199999998</v>
      </c>
    </row>
    <row r="7" spans="1:23" x14ac:dyDescent="0.25">
      <c r="A7" s="24"/>
      <c r="B7" s="27"/>
      <c r="C7" s="27"/>
      <c r="D7" s="27"/>
      <c r="E7" s="25"/>
      <c r="F7" s="25">
        <f t="shared" si="0"/>
        <v>0</v>
      </c>
      <c r="G7" s="25"/>
      <c r="H7" s="28">
        <v>45706</v>
      </c>
      <c r="I7" s="27">
        <v>120</v>
      </c>
      <c r="J7" s="27"/>
      <c r="K7" s="27"/>
      <c r="L7" s="25">
        <v>246.15241499999999</v>
      </c>
      <c r="M7" s="25">
        <f t="shared" si="1"/>
        <v>29538.289799999999</v>
      </c>
    </row>
    <row r="8" spans="1:23" x14ac:dyDescent="0.25">
      <c r="A8" s="24"/>
      <c r="B8" s="27"/>
      <c r="C8" s="27"/>
      <c r="D8" s="27"/>
      <c r="E8" s="25"/>
      <c r="F8" s="25">
        <f t="shared" si="0"/>
        <v>0</v>
      </c>
      <c r="G8" s="25"/>
      <c r="H8" s="28">
        <v>45707</v>
      </c>
      <c r="I8" s="27">
        <v>200</v>
      </c>
      <c r="J8" s="27"/>
      <c r="K8" s="27"/>
      <c r="L8" s="25">
        <v>246.15241499999999</v>
      </c>
      <c r="M8" s="25">
        <f t="shared" si="1"/>
        <v>49230.483</v>
      </c>
    </row>
    <row r="9" spans="1:23" x14ac:dyDescent="0.25">
      <c r="A9" s="24"/>
      <c r="B9" s="27"/>
      <c r="C9" s="27"/>
      <c r="D9" s="27"/>
      <c r="E9" s="25"/>
      <c r="F9" s="25">
        <f t="shared" si="0"/>
        <v>0</v>
      </c>
      <c r="G9" s="25"/>
      <c r="H9" s="28">
        <v>45708</v>
      </c>
      <c r="I9" s="27">
        <v>200</v>
      </c>
      <c r="J9" s="27"/>
      <c r="K9" s="27"/>
      <c r="L9" s="25">
        <v>246.15241499999999</v>
      </c>
      <c r="M9" s="25">
        <f t="shared" si="1"/>
        <v>49230.483</v>
      </c>
    </row>
    <row r="10" spans="1:23" x14ac:dyDescent="0.25">
      <c r="A10" s="24"/>
      <c r="B10" s="27"/>
      <c r="C10" s="27"/>
      <c r="D10" s="27"/>
      <c r="E10" s="25"/>
      <c r="F10" s="25">
        <f t="shared" si="0"/>
        <v>0</v>
      </c>
      <c r="G10" s="25"/>
      <c r="H10" s="28">
        <v>45709</v>
      </c>
      <c r="I10" s="27">
        <v>160</v>
      </c>
      <c r="J10" s="27"/>
      <c r="K10" s="27"/>
      <c r="L10" s="25">
        <v>246.15241499999999</v>
      </c>
      <c r="M10" s="25">
        <f t="shared" si="1"/>
        <v>39384.386399999996</v>
      </c>
    </row>
    <row r="11" spans="1:23" x14ac:dyDescent="0.25">
      <c r="A11" s="24"/>
      <c r="B11" s="27"/>
      <c r="C11" s="27"/>
      <c r="D11" s="27"/>
      <c r="E11" s="25"/>
      <c r="F11" s="25">
        <f t="shared" si="0"/>
        <v>0</v>
      </c>
      <c r="G11" s="25"/>
      <c r="H11" s="28">
        <v>45712</v>
      </c>
      <c r="I11" s="27">
        <v>200</v>
      </c>
      <c r="J11" s="27"/>
      <c r="K11" s="27"/>
      <c r="L11" s="25">
        <v>246.15241499999999</v>
      </c>
      <c r="M11" s="25">
        <f t="shared" si="1"/>
        <v>49230.483</v>
      </c>
    </row>
    <row r="12" spans="1:23" x14ac:dyDescent="0.25">
      <c r="A12" s="24"/>
      <c r="B12" s="27"/>
      <c r="C12" s="27"/>
      <c r="D12" s="27"/>
      <c r="E12" s="25"/>
      <c r="F12" s="25">
        <f t="shared" si="0"/>
        <v>0</v>
      </c>
      <c r="G12" s="25"/>
      <c r="H12" s="28">
        <v>45713</v>
      </c>
      <c r="I12" s="27">
        <v>200</v>
      </c>
      <c r="J12" s="27"/>
      <c r="K12" s="27"/>
      <c r="L12" s="25">
        <v>246.15241499999999</v>
      </c>
      <c r="M12" s="25">
        <f t="shared" si="1"/>
        <v>49230.483</v>
      </c>
    </row>
    <row r="13" spans="1:23" x14ac:dyDescent="0.25">
      <c r="A13" s="24"/>
      <c r="B13" s="27"/>
      <c r="C13" s="27"/>
      <c r="D13" s="27"/>
      <c r="E13" s="25"/>
      <c r="F13" s="25">
        <f t="shared" si="0"/>
        <v>0</v>
      </c>
      <c r="G13" s="25"/>
      <c r="H13" s="28">
        <v>45714</v>
      </c>
      <c r="I13" s="27">
        <v>120</v>
      </c>
      <c r="J13" s="27"/>
      <c r="K13" s="27"/>
      <c r="L13" s="25">
        <v>246.15241499999999</v>
      </c>
      <c r="M13" s="25">
        <f t="shared" si="1"/>
        <v>29538.289799999999</v>
      </c>
    </row>
    <row r="14" spans="1:23" x14ac:dyDescent="0.25">
      <c r="A14" s="24"/>
      <c r="B14" s="27"/>
      <c r="C14" s="27"/>
      <c r="D14" s="27"/>
      <c r="E14" s="25"/>
      <c r="F14" s="25">
        <f t="shared" si="0"/>
        <v>0</v>
      </c>
      <c r="G14" s="25"/>
      <c r="H14" s="28">
        <v>45715</v>
      </c>
      <c r="I14" s="27">
        <v>160</v>
      </c>
      <c r="J14" s="27"/>
      <c r="K14" s="27"/>
      <c r="L14" s="25">
        <v>246.15241499999999</v>
      </c>
      <c r="M14" s="25">
        <f t="shared" si="1"/>
        <v>39384.386399999996</v>
      </c>
    </row>
    <row r="15" spans="1:23" x14ac:dyDescent="0.25">
      <c r="A15" s="28">
        <v>45716</v>
      </c>
      <c r="B15" s="27">
        <v>2000</v>
      </c>
      <c r="C15" s="27"/>
      <c r="D15" s="27"/>
      <c r="E15" s="25">
        <v>234</v>
      </c>
      <c r="F15" s="25">
        <f t="shared" si="0"/>
        <v>468000</v>
      </c>
      <c r="G15" s="25"/>
      <c r="H15" s="28">
        <v>45716</v>
      </c>
      <c r="I15" s="27">
        <v>80</v>
      </c>
      <c r="J15" s="27"/>
      <c r="K15" s="27"/>
      <c r="L15" s="130">
        <v>246.15241499999999</v>
      </c>
      <c r="M15" s="25">
        <f t="shared" si="1"/>
        <v>19692.193199999998</v>
      </c>
    </row>
    <row r="16" spans="1:23" x14ac:dyDescent="0.25">
      <c r="A16" s="24"/>
      <c r="B16" s="27"/>
      <c r="C16" s="27"/>
      <c r="D16" s="27"/>
      <c r="E16" s="25"/>
      <c r="F16" s="25">
        <f t="shared" si="0"/>
        <v>0</v>
      </c>
      <c r="G16" s="25"/>
      <c r="H16" s="28"/>
      <c r="I16" s="27">
        <v>120</v>
      </c>
      <c r="J16" s="27"/>
      <c r="K16" s="27"/>
      <c r="L16" s="25">
        <v>234</v>
      </c>
      <c r="M16" s="25">
        <f t="shared" si="1"/>
        <v>28080</v>
      </c>
    </row>
    <row r="17" spans="1:13" ht="16.5" thickBot="1" x14ac:dyDescent="0.3">
      <c r="A17" s="166"/>
      <c r="B17" s="167"/>
      <c r="C17" s="167"/>
      <c r="D17" s="167"/>
      <c r="E17" s="168"/>
      <c r="F17" s="168">
        <f t="shared" si="0"/>
        <v>0</v>
      </c>
      <c r="G17" s="168"/>
      <c r="H17" s="232" t="s">
        <v>135</v>
      </c>
      <c r="I17" s="234"/>
      <c r="J17" s="234"/>
      <c r="K17" s="234"/>
      <c r="L17" s="235"/>
      <c r="M17" s="235">
        <f t="shared" si="1"/>
        <v>0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250"/>
      <c r="H18" s="236">
        <v>45719</v>
      </c>
      <c r="I18" s="237">
        <v>160</v>
      </c>
      <c r="J18" s="237"/>
      <c r="K18" s="237"/>
      <c r="L18" s="238">
        <v>234</v>
      </c>
      <c r="M18" s="239">
        <f t="shared" si="1"/>
        <v>37440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250"/>
      <c r="H19" s="240">
        <v>45720</v>
      </c>
      <c r="I19" s="27">
        <v>200</v>
      </c>
      <c r="J19" s="27"/>
      <c r="K19" s="27"/>
      <c r="L19" s="25">
        <v>234</v>
      </c>
      <c r="M19" s="241">
        <f t="shared" si="1"/>
        <v>46800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250"/>
      <c r="H20" s="240">
        <v>45721</v>
      </c>
      <c r="I20" s="27">
        <v>200</v>
      </c>
      <c r="J20" s="27"/>
      <c r="K20" s="27"/>
      <c r="L20" s="25">
        <v>234</v>
      </c>
      <c r="M20" s="241">
        <f t="shared" si="1"/>
        <v>46800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250"/>
      <c r="H21" s="240">
        <v>45722</v>
      </c>
      <c r="I21" s="27">
        <v>140</v>
      </c>
      <c r="J21" s="27"/>
      <c r="K21" s="27"/>
      <c r="L21" s="25">
        <v>234</v>
      </c>
      <c r="M21" s="241">
        <f t="shared" si="1"/>
        <v>32760</v>
      </c>
    </row>
    <row r="22" spans="1:13" ht="16.5" thickBot="1" x14ac:dyDescent="0.3">
      <c r="A22" s="24"/>
      <c r="B22" s="27"/>
      <c r="C22" s="27"/>
      <c r="D22" s="27"/>
      <c r="E22" s="25"/>
      <c r="F22" s="25">
        <f t="shared" si="0"/>
        <v>0</v>
      </c>
      <c r="G22" s="250"/>
      <c r="H22" s="242">
        <v>45723</v>
      </c>
      <c r="I22" s="124">
        <v>180</v>
      </c>
      <c r="J22" s="124"/>
      <c r="K22" s="124"/>
      <c r="L22" s="125">
        <v>234</v>
      </c>
      <c r="M22" s="243">
        <f t="shared" si="1"/>
        <v>42120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250"/>
      <c r="H23" s="236">
        <v>45726</v>
      </c>
      <c r="I23" s="237">
        <v>200</v>
      </c>
      <c r="J23" s="237"/>
      <c r="K23" s="237"/>
      <c r="L23" s="238">
        <v>234</v>
      </c>
      <c r="M23" s="239">
        <f t="shared" si="1"/>
        <v>46800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250"/>
      <c r="H24" s="240">
        <v>45728</v>
      </c>
      <c r="I24" s="27">
        <v>40</v>
      </c>
      <c r="J24" s="27"/>
      <c r="K24" s="27"/>
      <c r="L24" s="25">
        <v>234</v>
      </c>
      <c r="M24" s="241">
        <f t="shared" si="1"/>
        <v>9360</v>
      </c>
    </row>
    <row r="25" spans="1:13" ht="16.5" thickBot="1" x14ac:dyDescent="0.3">
      <c r="A25" s="24"/>
      <c r="B25" s="27"/>
      <c r="C25" s="27"/>
      <c r="D25" s="27"/>
      <c r="E25" s="25"/>
      <c r="F25" s="25">
        <f t="shared" si="0"/>
        <v>0</v>
      </c>
      <c r="G25" s="250"/>
      <c r="H25" s="242">
        <v>45730</v>
      </c>
      <c r="I25" s="124">
        <v>20</v>
      </c>
      <c r="J25" s="124"/>
      <c r="K25" s="124"/>
      <c r="L25" s="125">
        <v>234</v>
      </c>
      <c r="M25" s="243">
        <f t="shared" si="1"/>
        <v>4680</v>
      </c>
    </row>
    <row r="26" spans="1:13" x14ac:dyDescent="0.25">
      <c r="A26" s="24"/>
      <c r="B26" s="27"/>
      <c r="C26" s="27"/>
      <c r="D26" s="27"/>
      <c r="E26" s="25"/>
      <c r="F26" s="25">
        <f t="shared" si="0"/>
        <v>0</v>
      </c>
      <c r="G26" s="250"/>
      <c r="H26" s="236">
        <v>45733</v>
      </c>
      <c r="I26" s="237">
        <v>20</v>
      </c>
      <c r="J26" s="237"/>
      <c r="K26" s="237"/>
      <c r="L26" s="238">
        <v>234</v>
      </c>
      <c r="M26" s="239">
        <f t="shared" si="1"/>
        <v>4680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250"/>
      <c r="H27" s="301">
        <v>45734</v>
      </c>
      <c r="I27" s="27">
        <v>20</v>
      </c>
      <c r="J27" s="27"/>
      <c r="K27" s="27"/>
      <c r="L27" s="25">
        <v>234</v>
      </c>
      <c r="M27" s="241">
        <f t="shared" si="1"/>
        <v>4680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250"/>
      <c r="H28" s="301">
        <v>45735</v>
      </c>
      <c r="I28" s="27">
        <v>40</v>
      </c>
      <c r="J28" s="27"/>
      <c r="K28" s="27"/>
      <c r="L28" s="25">
        <v>234</v>
      </c>
      <c r="M28" s="241">
        <f t="shared" si="1"/>
        <v>9360</v>
      </c>
    </row>
    <row r="29" spans="1:13" ht="16.5" thickBot="1" x14ac:dyDescent="0.3">
      <c r="A29" s="24"/>
      <c r="B29" s="27"/>
      <c r="C29" s="27"/>
      <c r="D29" s="27"/>
      <c r="E29" s="25"/>
      <c r="F29" s="25">
        <f t="shared" si="0"/>
        <v>0</v>
      </c>
      <c r="G29" s="250"/>
      <c r="H29" s="306">
        <v>45736</v>
      </c>
      <c r="I29" s="124">
        <v>140</v>
      </c>
      <c r="J29" s="124"/>
      <c r="K29" s="124"/>
      <c r="L29" s="125">
        <v>234</v>
      </c>
      <c r="M29" s="243">
        <f t="shared" si="1"/>
        <v>32760</v>
      </c>
    </row>
    <row r="30" spans="1:13" x14ac:dyDescent="0.25">
      <c r="A30" s="24"/>
      <c r="B30" s="27"/>
      <c r="C30" s="27"/>
      <c r="D30" s="27"/>
      <c r="E30" s="25"/>
      <c r="F30" s="25">
        <f t="shared" si="0"/>
        <v>0</v>
      </c>
      <c r="G30" s="250"/>
      <c r="H30" s="236">
        <v>45742</v>
      </c>
      <c r="I30" s="237">
        <v>20</v>
      </c>
      <c r="J30" s="237"/>
      <c r="K30" s="237"/>
      <c r="L30" s="238">
        <v>234</v>
      </c>
      <c r="M30" s="239">
        <f t="shared" si="1"/>
        <v>4680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250"/>
      <c r="H31" s="301">
        <v>45743</v>
      </c>
      <c r="I31" s="27">
        <v>20</v>
      </c>
      <c r="J31" s="27"/>
      <c r="K31" s="27"/>
      <c r="L31" s="25">
        <v>234</v>
      </c>
      <c r="M31" s="241">
        <f t="shared" si="1"/>
        <v>4680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250"/>
      <c r="H32" s="301">
        <v>45744</v>
      </c>
      <c r="I32" s="27">
        <v>40</v>
      </c>
      <c r="J32" s="27"/>
      <c r="K32" s="27"/>
      <c r="L32" s="25">
        <v>234</v>
      </c>
      <c r="M32" s="241">
        <f t="shared" si="1"/>
        <v>9360</v>
      </c>
    </row>
    <row r="33" spans="1:13" ht="16.5" thickBot="1" x14ac:dyDescent="0.3">
      <c r="A33" s="24"/>
      <c r="B33" s="27"/>
      <c r="C33" s="27"/>
      <c r="D33" s="27"/>
      <c r="E33" s="25"/>
      <c r="F33" s="25">
        <f t="shared" si="0"/>
        <v>0</v>
      </c>
      <c r="G33" s="250"/>
      <c r="H33" s="242">
        <v>45747</v>
      </c>
      <c r="I33" s="124">
        <v>140</v>
      </c>
      <c r="J33" s="124"/>
      <c r="K33" s="124"/>
      <c r="L33" s="125">
        <v>234</v>
      </c>
      <c r="M33" s="243">
        <f t="shared" si="1"/>
        <v>32760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250"/>
      <c r="H34" s="236">
        <v>45748</v>
      </c>
      <c r="I34" s="237">
        <v>60</v>
      </c>
      <c r="J34" s="237"/>
      <c r="K34" s="237"/>
      <c r="L34" s="238">
        <v>234</v>
      </c>
      <c r="M34" s="239">
        <f t="shared" si="1"/>
        <v>14040</v>
      </c>
    </row>
    <row r="35" spans="1:13" x14ac:dyDescent="0.25">
      <c r="A35" s="24"/>
      <c r="B35" s="27"/>
      <c r="C35" s="27"/>
      <c r="D35" s="27"/>
      <c r="E35" s="25"/>
      <c r="F35" s="25">
        <f t="shared" ref="F35:F51" si="3">B35*E35+C35*E35+D35*E35</f>
        <v>0</v>
      </c>
      <c r="G35" s="250"/>
      <c r="H35" s="240">
        <v>45750</v>
      </c>
      <c r="I35" s="27">
        <v>40</v>
      </c>
      <c r="J35" s="27"/>
      <c r="K35" s="27"/>
      <c r="L35" s="25">
        <v>234</v>
      </c>
      <c r="M35" s="241">
        <f t="shared" si="1"/>
        <v>9360</v>
      </c>
    </row>
    <row r="36" spans="1:13" ht="16.5" thickBot="1" x14ac:dyDescent="0.3">
      <c r="A36" s="24"/>
      <c r="B36" s="27"/>
      <c r="C36" s="27"/>
      <c r="D36" s="27"/>
      <c r="E36" s="25"/>
      <c r="F36" s="25">
        <f t="shared" si="3"/>
        <v>0</v>
      </c>
      <c r="G36" s="250"/>
      <c r="H36" s="242">
        <v>45751</v>
      </c>
      <c r="I36" s="124">
        <v>20</v>
      </c>
      <c r="J36" s="124"/>
      <c r="K36" s="124"/>
      <c r="L36" s="125">
        <v>234</v>
      </c>
      <c r="M36" s="243">
        <f t="shared" si="1"/>
        <v>4680</v>
      </c>
    </row>
    <row r="37" spans="1:13" x14ac:dyDescent="0.25">
      <c r="A37" s="24"/>
      <c r="B37" s="27"/>
      <c r="C37" s="27"/>
      <c r="D37" s="27"/>
      <c r="E37" s="25"/>
      <c r="F37" s="25">
        <f t="shared" si="3"/>
        <v>0</v>
      </c>
      <c r="G37" s="250"/>
      <c r="H37" s="236">
        <v>45754</v>
      </c>
      <c r="I37" s="237">
        <v>40</v>
      </c>
      <c r="J37" s="237"/>
      <c r="K37" s="237"/>
      <c r="L37" s="238">
        <v>234</v>
      </c>
      <c r="M37" s="239">
        <f t="shared" si="1"/>
        <v>9360</v>
      </c>
    </row>
    <row r="38" spans="1:13" x14ac:dyDescent="0.25">
      <c r="A38" s="28">
        <v>45755</v>
      </c>
      <c r="B38" s="27">
        <v>800</v>
      </c>
      <c r="C38" s="27"/>
      <c r="D38" s="27"/>
      <c r="E38" s="25">
        <v>234</v>
      </c>
      <c r="F38" s="25">
        <f t="shared" si="3"/>
        <v>187200</v>
      </c>
      <c r="G38" s="250"/>
      <c r="H38" s="240">
        <v>45755</v>
      </c>
      <c r="I38" s="27">
        <v>120</v>
      </c>
      <c r="J38" s="27"/>
      <c r="K38" s="27"/>
      <c r="L38" s="25">
        <v>234</v>
      </c>
      <c r="M38" s="241">
        <f t="shared" si="1"/>
        <v>28080</v>
      </c>
    </row>
    <row r="39" spans="1:13" x14ac:dyDescent="0.25">
      <c r="A39" s="24"/>
      <c r="B39" s="27"/>
      <c r="C39" s="27"/>
      <c r="D39" s="27"/>
      <c r="E39" s="25"/>
      <c r="F39" s="25">
        <f t="shared" si="3"/>
        <v>0</v>
      </c>
      <c r="G39" s="250"/>
      <c r="H39" s="240">
        <v>45757</v>
      </c>
      <c r="I39" s="27">
        <v>40</v>
      </c>
      <c r="J39" s="27"/>
      <c r="K39" s="27"/>
      <c r="L39" s="25">
        <v>234</v>
      </c>
      <c r="M39" s="241">
        <f t="shared" si="1"/>
        <v>9360</v>
      </c>
    </row>
    <row r="40" spans="1:13" x14ac:dyDescent="0.25">
      <c r="A40" s="24"/>
      <c r="B40" s="27"/>
      <c r="C40" s="27"/>
      <c r="D40" s="27"/>
      <c r="E40" s="25"/>
      <c r="F40" s="25">
        <f t="shared" si="3"/>
        <v>0</v>
      </c>
      <c r="G40" s="250"/>
      <c r="H40" s="240" t="s">
        <v>150</v>
      </c>
      <c r="I40" s="27">
        <v>140</v>
      </c>
      <c r="J40" s="27"/>
      <c r="K40" s="27"/>
      <c r="L40" s="25">
        <v>234</v>
      </c>
      <c r="M40" s="241">
        <f t="shared" si="1"/>
        <v>32760</v>
      </c>
    </row>
    <row r="41" spans="1:13" x14ac:dyDescent="0.25">
      <c r="A41" s="24"/>
      <c r="B41" s="27"/>
      <c r="C41" s="27"/>
      <c r="D41" s="27"/>
      <c r="E41" s="25"/>
      <c r="F41" s="25">
        <f t="shared" si="3"/>
        <v>0</v>
      </c>
      <c r="G41" s="250"/>
      <c r="H41" s="240">
        <v>45762</v>
      </c>
      <c r="I41" s="27">
        <v>20</v>
      </c>
      <c r="J41" s="27"/>
      <c r="K41" s="27"/>
      <c r="L41" s="25">
        <v>234</v>
      </c>
      <c r="M41" s="241">
        <f t="shared" si="1"/>
        <v>4680</v>
      </c>
    </row>
    <row r="42" spans="1:13" x14ac:dyDescent="0.25">
      <c r="A42" s="24"/>
      <c r="B42" s="27"/>
      <c r="C42" s="27"/>
      <c r="D42" s="27"/>
      <c r="E42" s="25"/>
      <c r="F42" s="25">
        <f t="shared" si="3"/>
        <v>0</v>
      </c>
      <c r="G42" s="250"/>
      <c r="H42" s="240">
        <v>45763</v>
      </c>
      <c r="I42" s="27">
        <v>20</v>
      </c>
      <c r="J42" s="27"/>
      <c r="K42" s="27"/>
      <c r="L42" s="25">
        <v>234</v>
      </c>
      <c r="M42" s="241">
        <f t="shared" si="1"/>
        <v>4680</v>
      </c>
    </row>
    <row r="43" spans="1:13" ht="16.5" thickBot="1" x14ac:dyDescent="0.3">
      <c r="A43" s="24"/>
      <c r="B43" s="27"/>
      <c r="C43" s="27"/>
      <c r="D43" s="27"/>
      <c r="E43" s="25"/>
      <c r="F43" s="25">
        <f t="shared" si="3"/>
        <v>0</v>
      </c>
      <c r="G43" s="250"/>
      <c r="H43" s="242">
        <v>45764</v>
      </c>
      <c r="I43" s="124">
        <v>40</v>
      </c>
      <c r="J43" s="124"/>
      <c r="K43" s="124"/>
      <c r="L43" s="125">
        <v>234</v>
      </c>
      <c r="M43" s="243">
        <f t="shared" si="1"/>
        <v>9360</v>
      </c>
    </row>
    <row r="44" spans="1:13" x14ac:dyDescent="0.25">
      <c r="A44" s="24"/>
      <c r="B44" s="27"/>
      <c r="C44" s="27"/>
      <c r="D44" s="27"/>
      <c r="E44" s="25"/>
      <c r="F44" s="25">
        <f t="shared" si="3"/>
        <v>0</v>
      </c>
      <c r="G44" s="250"/>
      <c r="H44" s="236">
        <v>45768</v>
      </c>
      <c r="I44" s="237">
        <v>140</v>
      </c>
      <c r="J44" s="237"/>
      <c r="K44" s="237"/>
      <c r="L44" s="238">
        <v>234</v>
      </c>
      <c r="M44" s="239">
        <f t="shared" si="1"/>
        <v>32760</v>
      </c>
    </row>
    <row r="45" spans="1:13" x14ac:dyDescent="0.25">
      <c r="A45" s="24"/>
      <c r="B45" s="27"/>
      <c r="C45" s="27"/>
      <c r="D45" s="27"/>
      <c r="E45" s="25"/>
      <c r="F45" s="25">
        <f t="shared" si="3"/>
        <v>0</v>
      </c>
      <c r="G45" s="250"/>
      <c r="H45" s="301">
        <v>45769</v>
      </c>
      <c r="I45" s="27">
        <v>60</v>
      </c>
      <c r="J45" s="27"/>
      <c r="K45" s="27"/>
      <c r="L45" s="25">
        <v>234</v>
      </c>
      <c r="M45" s="241">
        <f t="shared" si="1"/>
        <v>14040</v>
      </c>
    </row>
    <row r="46" spans="1:13" x14ac:dyDescent="0.25">
      <c r="A46" s="24"/>
      <c r="B46" s="27"/>
      <c r="C46" s="27"/>
      <c r="D46" s="27"/>
      <c r="E46" s="25"/>
      <c r="F46" s="25">
        <f t="shared" si="3"/>
        <v>0</v>
      </c>
      <c r="G46" s="250"/>
      <c r="H46" s="240">
        <v>45770</v>
      </c>
      <c r="I46" s="27">
        <v>180</v>
      </c>
      <c r="J46" s="27"/>
      <c r="K46" s="27"/>
      <c r="L46" s="25">
        <v>234</v>
      </c>
      <c r="M46" s="241">
        <f t="shared" si="1"/>
        <v>42120</v>
      </c>
    </row>
    <row r="47" spans="1:13" x14ac:dyDescent="0.25">
      <c r="A47" s="24"/>
      <c r="B47" s="27"/>
      <c r="C47" s="27"/>
      <c r="D47" s="27"/>
      <c r="E47" s="25"/>
      <c r="F47" s="25">
        <f t="shared" si="3"/>
        <v>0</v>
      </c>
      <c r="G47" s="250"/>
      <c r="H47" s="240">
        <v>45775</v>
      </c>
      <c r="I47" s="27">
        <v>60</v>
      </c>
      <c r="J47" s="27"/>
      <c r="K47" s="27"/>
      <c r="L47" s="25">
        <v>234</v>
      </c>
      <c r="M47" s="241">
        <f t="shared" si="1"/>
        <v>14040</v>
      </c>
    </row>
    <row r="48" spans="1:13" x14ac:dyDescent="0.25">
      <c r="A48" s="24"/>
      <c r="B48" s="27"/>
      <c r="C48" s="27"/>
      <c r="D48" s="27"/>
      <c r="E48" s="25"/>
      <c r="F48" s="25">
        <f t="shared" si="3"/>
        <v>0</v>
      </c>
      <c r="G48" s="250"/>
      <c r="H48" s="240">
        <v>45776</v>
      </c>
      <c r="I48" s="27">
        <v>20</v>
      </c>
      <c r="J48" s="27"/>
      <c r="K48" s="27"/>
      <c r="L48" s="25">
        <v>234</v>
      </c>
      <c r="M48" s="241">
        <f t="shared" si="1"/>
        <v>4680</v>
      </c>
    </row>
    <row r="49" spans="1:13" ht="16.5" thickBot="1" x14ac:dyDescent="0.3">
      <c r="A49" s="24"/>
      <c r="B49" s="27"/>
      <c r="C49" s="27"/>
      <c r="D49" s="27"/>
      <c r="E49" s="25"/>
      <c r="F49" s="25">
        <f t="shared" si="3"/>
        <v>0</v>
      </c>
      <c r="G49" s="250"/>
      <c r="H49" s="242">
        <v>45777</v>
      </c>
      <c r="I49" s="124">
        <v>20</v>
      </c>
      <c r="J49" s="124"/>
      <c r="K49" s="124"/>
      <c r="L49" s="125">
        <v>234</v>
      </c>
      <c r="M49" s="243">
        <f t="shared" si="1"/>
        <v>4680</v>
      </c>
    </row>
    <row r="50" spans="1:13" ht="16.5" thickBot="1" x14ac:dyDescent="0.3">
      <c r="A50" s="24"/>
      <c r="B50" s="27"/>
      <c r="C50" s="27"/>
      <c r="D50" s="27"/>
      <c r="E50" s="25"/>
      <c r="F50" s="25">
        <f t="shared" si="3"/>
        <v>0</v>
      </c>
      <c r="G50" s="25"/>
      <c r="H50" s="122" t="s">
        <v>156</v>
      </c>
      <c r="I50" s="119">
        <v>80</v>
      </c>
      <c r="J50" s="119"/>
      <c r="K50" s="119"/>
      <c r="L50" s="125">
        <v>234</v>
      </c>
      <c r="M50" s="120">
        <f t="shared" si="1"/>
        <v>18720</v>
      </c>
    </row>
    <row r="51" spans="1:13" x14ac:dyDescent="0.25">
      <c r="A51" s="24" t="s">
        <v>159</v>
      </c>
      <c r="B51" s="27">
        <v>1000</v>
      </c>
      <c r="C51" s="27"/>
      <c r="D51" s="27"/>
      <c r="E51" s="25">
        <v>232</v>
      </c>
      <c r="F51" s="25">
        <f t="shared" si="3"/>
        <v>232000</v>
      </c>
      <c r="G51" s="25"/>
      <c r="H51" s="28" t="s">
        <v>159</v>
      </c>
      <c r="I51" s="27">
        <v>20</v>
      </c>
      <c r="J51" s="27"/>
      <c r="K51" s="27"/>
      <c r="L51" s="25">
        <v>232</v>
      </c>
      <c r="M51" s="25">
        <f t="shared" si="1"/>
        <v>4640</v>
      </c>
    </row>
    <row r="52" spans="1:13" x14ac:dyDescent="0.25">
      <c r="G52" s="25"/>
      <c r="H52" s="28" t="s">
        <v>160</v>
      </c>
      <c r="I52" s="27">
        <v>20</v>
      </c>
      <c r="J52" s="27"/>
      <c r="K52" s="27"/>
      <c r="L52" s="25">
        <v>232</v>
      </c>
      <c r="M52" s="25">
        <f t="shared" si="1"/>
        <v>4640</v>
      </c>
    </row>
    <row r="53" spans="1:13" x14ac:dyDescent="0.25">
      <c r="A53" s="24"/>
      <c r="B53" s="27"/>
      <c r="C53" s="27"/>
      <c r="D53" s="27"/>
      <c r="E53" s="25"/>
      <c r="F53" s="25">
        <f t="shared" ref="F53:F69" si="4">B53*E53+C53*E53+D53*E53</f>
        <v>0</v>
      </c>
      <c r="G53" s="25"/>
      <c r="H53" s="28" t="s">
        <v>161</v>
      </c>
      <c r="I53" s="27">
        <v>20</v>
      </c>
      <c r="J53" s="27"/>
      <c r="K53" s="27"/>
      <c r="L53" s="25">
        <v>232</v>
      </c>
      <c r="M53" s="25">
        <f t="shared" si="1"/>
        <v>4640</v>
      </c>
    </row>
    <row r="54" spans="1:13" x14ac:dyDescent="0.25">
      <c r="A54" s="24"/>
      <c r="B54" s="27"/>
      <c r="C54" s="27"/>
      <c r="D54" s="27"/>
      <c r="E54" s="25"/>
      <c r="F54" s="25">
        <f t="shared" si="4"/>
        <v>0</v>
      </c>
      <c r="G54" s="25"/>
      <c r="H54" s="28" t="s">
        <v>162</v>
      </c>
      <c r="I54" s="27">
        <v>20</v>
      </c>
      <c r="J54" s="27"/>
      <c r="K54" s="27"/>
      <c r="L54" s="25">
        <v>232</v>
      </c>
      <c r="M54" s="25">
        <f t="shared" si="1"/>
        <v>4640</v>
      </c>
    </row>
    <row r="55" spans="1:13" x14ac:dyDescent="0.25">
      <c r="A55" s="24"/>
      <c r="B55" s="27"/>
      <c r="C55" s="27"/>
      <c r="D55" s="27"/>
      <c r="E55" s="25"/>
      <c r="F55" s="25">
        <f t="shared" si="4"/>
        <v>0</v>
      </c>
      <c r="G55" s="25"/>
      <c r="H55" s="24" t="s">
        <v>163</v>
      </c>
      <c r="I55" s="27">
        <v>60</v>
      </c>
      <c r="J55" s="27"/>
      <c r="K55" s="27"/>
      <c r="L55" s="25">
        <v>232</v>
      </c>
      <c r="M55" s="25">
        <f>I55*L55+J55*L55+K55*L55</f>
        <v>13920</v>
      </c>
    </row>
    <row r="56" spans="1:13" x14ac:dyDescent="0.25">
      <c r="A56" s="24"/>
      <c r="B56" s="27"/>
      <c r="C56" s="27"/>
      <c r="D56" s="27"/>
      <c r="E56" s="25"/>
      <c r="F56" s="25">
        <f t="shared" si="4"/>
        <v>0</v>
      </c>
      <c r="G56" s="25"/>
      <c r="H56" s="28" t="s">
        <v>166</v>
      </c>
      <c r="I56" s="27">
        <v>40</v>
      </c>
      <c r="J56" s="27"/>
      <c r="K56" s="27"/>
      <c r="L56" s="25">
        <v>232</v>
      </c>
      <c r="M56" s="25">
        <f t="shared" si="1"/>
        <v>9280</v>
      </c>
    </row>
    <row r="57" spans="1:13" x14ac:dyDescent="0.25">
      <c r="A57" s="24"/>
      <c r="B57" s="27"/>
      <c r="C57" s="27"/>
      <c r="D57" s="27"/>
      <c r="E57" s="25"/>
      <c r="F57" s="25">
        <f t="shared" si="4"/>
        <v>0</v>
      </c>
      <c r="G57" s="25"/>
      <c r="H57" s="28" t="s">
        <v>168</v>
      </c>
      <c r="I57" s="27">
        <v>20</v>
      </c>
      <c r="J57" s="27"/>
      <c r="K57" s="27"/>
      <c r="L57" s="25">
        <v>232</v>
      </c>
      <c r="M57" s="25">
        <f t="shared" si="1"/>
        <v>4640</v>
      </c>
    </row>
    <row r="58" spans="1:13" x14ac:dyDescent="0.25">
      <c r="A58" s="24"/>
      <c r="B58" s="27"/>
      <c r="C58" s="27"/>
      <c r="D58" s="27"/>
      <c r="E58" s="25"/>
      <c r="F58" s="25">
        <f t="shared" si="4"/>
        <v>0</v>
      </c>
      <c r="G58" s="25"/>
      <c r="H58" s="28" t="s">
        <v>171</v>
      </c>
      <c r="I58" s="27">
        <v>40</v>
      </c>
      <c r="J58" s="27"/>
      <c r="K58" s="27"/>
      <c r="L58" s="25">
        <v>232</v>
      </c>
      <c r="M58" s="25">
        <f t="shared" si="1"/>
        <v>9280</v>
      </c>
    </row>
    <row r="59" spans="1:13" x14ac:dyDescent="0.25">
      <c r="A59" s="24"/>
      <c r="B59" s="27"/>
      <c r="C59" s="27"/>
      <c r="D59" s="27"/>
      <c r="E59" s="25"/>
      <c r="F59" s="25">
        <f t="shared" si="4"/>
        <v>0</v>
      </c>
      <c r="G59" s="25"/>
      <c r="H59" s="28" t="s">
        <v>177</v>
      </c>
      <c r="I59" s="27">
        <v>40</v>
      </c>
      <c r="J59" s="27"/>
      <c r="K59" s="27"/>
      <c r="L59" s="25">
        <v>232</v>
      </c>
      <c r="M59" s="25">
        <f t="shared" si="1"/>
        <v>9280</v>
      </c>
    </row>
    <row r="60" spans="1:13" x14ac:dyDescent="0.25">
      <c r="A60" s="24"/>
      <c r="B60" s="27"/>
      <c r="C60" s="27"/>
      <c r="D60" s="27"/>
      <c r="E60" s="25"/>
      <c r="F60" s="25">
        <f t="shared" si="4"/>
        <v>0</v>
      </c>
      <c r="G60" s="30"/>
      <c r="H60" s="28"/>
      <c r="I60" s="27"/>
      <c r="J60" s="27"/>
      <c r="K60" s="27"/>
      <c r="L60" s="25"/>
      <c r="M60" s="25">
        <f t="shared" si="1"/>
        <v>0</v>
      </c>
    </row>
    <row r="61" spans="1:13" x14ac:dyDescent="0.25">
      <c r="A61" s="24"/>
      <c r="B61" s="27"/>
      <c r="C61" s="27"/>
      <c r="D61" s="27"/>
      <c r="E61" s="25"/>
      <c r="F61" s="25">
        <f t="shared" si="4"/>
        <v>0</v>
      </c>
      <c r="G61" s="30"/>
      <c r="H61" s="28"/>
      <c r="I61" s="27"/>
      <c r="J61" s="27"/>
      <c r="K61" s="27"/>
      <c r="L61" s="25"/>
      <c r="M61" s="25">
        <f t="shared" si="1"/>
        <v>0</v>
      </c>
    </row>
    <row r="62" spans="1:13" x14ac:dyDescent="0.25">
      <c r="A62" s="24"/>
      <c r="B62" s="27"/>
      <c r="C62" s="27"/>
      <c r="D62" s="27"/>
      <c r="E62" s="25"/>
      <c r="F62" s="25">
        <f t="shared" si="4"/>
        <v>0</v>
      </c>
      <c r="G62" s="30"/>
      <c r="H62" s="28"/>
      <c r="I62" s="27"/>
      <c r="J62" s="27"/>
      <c r="K62" s="27"/>
      <c r="L62" s="25"/>
      <c r="M62" s="25">
        <f t="shared" si="1"/>
        <v>0</v>
      </c>
    </row>
    <row r="63" spans="1:13" x14ac:dyDescent="0.25">
      <c r="A63" s="24"/>
      <c r="B63" s="27"/>
      <c r="C63" s="27"/>
      <c r="D63" s="27"/>
      <c r="E63" s="25"/>
      <c r="F63" s="25">
        <f t="shared" si="4"/>
        <v>0</v>
      </c>
      <c r="G63" s="30"/>
      <c r="H63" s="28"/>
      <c r="I63" s="27"/>
      <c r="J63" s="27"/>
      <c r="K63" s="27"/>
      <c r="L63" s="25"/>
      <c r="M63" s="25">
        <f t="shared" si="1"/>
        <v>0</v>
      </c>
    </row>
    <row r="64" spans="1:13" x14ac:dyDescent="0.25">
      <c r="A64" s="24"/>
      <c r="B64" s="27"/>
      <c r="C64" s="27"/>
      <c r="D64" s="27"/>
      <c r="E64" s="25"/>
      <c r="F64" s="25">
        <f t="shared" si="4"/>
        <v>0</v>
      </c>
      <c r="G64" s="30"/>
      <c r="H64" s="28"/>
      <c r="I64" s="27"/>
      <c r="J64" s="27"/>
      <c r="K64" s="27"/>
      <c r="L64" s="25"/>
      <c r="M64" s="25">
        <f t="shared" si="1"/>
        <v>0</v>
      </c>
    </row>
    <row r="65" spans="1:13" x14ac:dyDescent="0.25">
      <c r="A65" s="24"/>
      <c r="B65" s="27"/>
      <c r="C65" s="27"/>
      <c r="D65" s="27"/>
      <c r="E65" s="25"/>
      <c r="F65" s="25">
        <f t="shared" si="4"/>
        <v>0</v>
      </c>
      <c r="G65" s="30"/>
      <c r="H65" s="28"/>
      <c r="I65" s="27"/>
      <c r="J65" s="27"/>
      <c r="K65" s="27"/>
      <c r="L65" s="25"/>
      <c r="M65" s="25">
        <f t="shared" si="1"/>
        <v>0</v>
      </c>
    </row>
    <row r="66" spans="1:13" x14ac:dyDescent="0.25">
      <c r="A66" s="24"/>
      <c r="B66" s="27"/>
      <c r="C66" s="27"/>
      <c r="D66" s="27"/>
      <c r="E66" s="25"/>
      <c r="F66" s="25">
        <f t="shared" si="4"/>
        <v>0</v>
      </c>
      <c r="G66" s="30"/>
      <c r="H66" s="28"/>
      <c r="I66" s="27"/>
      <c r="J66" s="27"/>
      <c r="K66" s="27"/>
      <c r="L66" s="25"/>
      <c r="M66" s="25">
        <f t="shared" si="1"/>
        <v>0</v>
      </c>
    </row>
    <row r="67" spans="1:13" x14ac:dyDescent="0.25">
      <c r="A67" s="24"/>
      <c r="B67" s="27"/>
      <c r="C67" s="27"/>
      <c r="D67" s="27"/>
      <c r="E67" s="25"/>
      <c r="F67" s="25">
        <f t="shared" si="4"/>
        <v>0</v>
      </c>
      <c r="G67" s="30"/>
      <c r="H67" s="28"/>
      <c r="I67" s="27"/>
      <c r="J67" s="27"/>
      <c r="K67" s="27"/>
      <c r="L67" s="25"/>
      <c r="M67" s="25">
        <f t="shared" si="1"/>
        <v>0</v>
      </c>
    </row>
    <row r="68" spans="1:13" x14ac:dyDescent="0.25">
      <c r="A68" s="24"/>
      <c r="B68" s="27"/>
      <c r="C68" s="27"/>
      <c r="D68" s="27"/>
      <c r="E68" s="25"/>
      <c r="F68" s="25">
        <f t="shared" si="4"/>
        <v>0</v>
      </c>
      <c r="G68" s="30"/>
      <c r="H68" s="24"/>
      <c r="I68" s="27"/>
      <c r="J68" s="27"/>
      <c r="K68" s="27"/>
      <c r="L68" s="25"/>
      <c r="M68" s="25">
        <f t="shared" si="1"/>
        <v>0</v>
      </c>
    </row>
    <row r="69" spans="1:13" x14ac:dyDescent="0.25">
      <c r="A69" s="24"/>
      <c r="B69" s="27"/>
      <c r="C69" s="27"/>
      <c r="D69" s="27"/>
      <c r="E69" s="25"/>
      <c r="F69" s="25">
        <f t="shared" si="4"/>
        <v>0</v>
      </c>
      <c r="G69" s="30"/>
      <c r="H69" s="24"/>
      <c r="I69" s="27"/>
      <c r="J69" s="27"/>
      <c r="K69" s="27"/>
      <c r="L69" s="25"/>
      <c r="M69" s="25">
        <f t="shared" si="1"/>
        <v>0</v>
      </c>
    </row>
    <row r="70" spans="1:13" x14ac:dyDescent="0.25">
      <c r="A70" s="24"/>
      <c r="B70" s="27">
        <f>SUM(B3:B69)</f>
        <v>5800</v>
      </c>
      <c r="C70" s="27">
        <f>SUM(C3:C69)</f>
        <v>0</v>
      </c>
      <c r="D70" s="27">
        <f>SUM(D3:D69)</f>
        <v>0</v>
      </c>
      <c r="E70" s="25"/>
      <c r="F70" s="25"/>
      <c r="G70" s="30"/>
      <c r="H70" s="24"/>
      <c r="I70" s="27">
        <f>SUM(I3:I69)</f>
        <v>5080</v>
      </c>
      <c r="J70" s="27">
        <f t="shared" ref="J70:K70" si="5">SUM(J3:J69)</f>
        <v>0</v>
      </c>
      <c r="K70" s="27">
        <f t="shared" si="5"/>
        <v>0</v>
      </c>
      <c r="L70" s="25"/>
      <c r="M70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0"/>
  <sheetViews>
    <sheetView topLeftCell="F1" workbookViewId="0">
      <pane ySplit="1" topLeftCell="A50" activePane="bottomLeft" state="frozen"/>
      <selection pane="bottomLeft" activeCell="K65" sqref="K65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0" width="12.42578125" style="26" customWidth="1"/>
    <col min="11" max="11" width="11.85546875" style="26" customWidth="1"/>
    <col min="12" max="12" width="11.7109375" style="26" customWidth="1"/>
    <col min="13" max="13" width="10.5703125" style="29" customWidth="1"/>
    <col min="14" max="14" width="14.42578125" style="29" bestFit="1" customWidth="1"/>
    <col min="15" max="15" width="8.85546875" style="26"/>
    <col min="16" max="16" width="14.42578125" style="26" bestFit="1" customWidth="1"/>
    <col min="17" max="18" width="12.7109375" style="26" bestFit="1" customWidth="1"/>
    <col min="19" max="16384" width="8.85546875" style="26"/>
  </cols>
  <sheetData>
    <row r="1" spans="1:24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28</v>
      </c>
      <c r="K1" s="57" t="s">
        <v>29</v>
      </c>
      <c r="L1" s="57"/>
      <c r="M1" s="58" t="s">
        <v>18</v>
      </c>
      <c r="N1" s="58" t="s">
        <v>19</v>
      </c>
      <c r="O1" s="59"/>
      <c r="P1" s="57" t="s">
        <v>28</v>
      </c>
      <c r="Q1" s="57" t="s">
        <v>29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/>
      <c r="P2" s="27">
        <f>0+B70-J70</f>
        <v>0</v>
      </c>
      <c r="Q2" s="27">
        <f>0+C70-K70</f>
        <v>0</v>
      </c>
      <c r="R2" s="27">
        <f>0+D70-L70</f>
        <v>0</v>
      </c>
      <c r="S2" s="27"/>
      <c r="T2" s="27"/>
      <c r="U2" s="31"/>
      <c r="V2" s="31"/>
      <c r="W2" s="31"/>
      <c r="X2" s="31"/>
    </row>
    <row r="3" spans="1:24" x14ac:dyDescent="0.25">
      <c r="A3" s="28">
        <v>45511</v>
      </c>
      <c r="B3" s="27">
        <v>4220</v>
      </c>
      <c r="C3" s="27"/>
      <c r="D3" s="27"/>
      <c r="E3" s="25">
        <v>145</v>
      </c>
      <c r="F3" s="25">
        <f>B3*E3+C3*E3+D3*E3</f>
        <v>611900</v>
      </c>
      <c r="G3" s="30"/>
      <c r="H3" s="28"/>
      <c r="I3" s="24" t="s">
        <v>47</v>
      </c>
      <c r="J3" s="27">
        <v>6</v>
      </c>
      <c r="K3" s="27"/>
      <c r="L3" s="27"/>
      <c r="M3" s="25">
        <v>145</v>
      </c>
      <c r="N3" s="25">
        <f>J3*M3+K3*M3+L3*M3</f>
        <v>870</v>
      </c>
      <c r="P3" s="61">
        <v>145</v>
      </c>
      <c r="Q3" s="61">
        <v>145</v>
      </c>
      <c r="R3" s="61"/>
      <c r="S3" s="25"/>
      <c r="T3" s="25"/>
      <c r="U3" s="29"/>
      <c r="V3" s="29"/>
      <c r="W3" s="29"/>
    </row>
    <row r="4" spans="1:24" x14ac:dyDescent="0.25">
      <c r="A4" s="24"/>
      <c r="B4" s="27"/>
      <c r="C4" s="27">
        <v>780</v>
      </c>
      <c r="D4" s="27"/>
      <c r="E4" s="25">
        <v>145</v>
      </c>
      <c r="F4" s="25">
        <f t="shared" ref="F4:F69" si="0">B4*E4+C4*E4+D4*E4</f>
        <v>113100</v>
      </c>
      <c r="G4" s="30"/>
      <c r="H4" s="28">
        <v>45535</v>
      </c>
      <c r="I4" s="24" t="s">
        <v>47</v>
      </c>
      <c r="J4" s="27">
        <v>10</v>
      </c>
      <c r="K4" s="27"/>
      <c r="L4" s="27"/>
      <c r="M4" s="25">
        <v>145</v>
      </c>
      <c r="N4" s="25">
        <f t="shared" ref="N4:N69" si="1">J4*M4+K4*M4+L4*M4</f>
        <v>1450</v>
      </c>
      <c r="P4" s="25">
        <f>P2*P3</f>
        <v>0</v>
      </c>
      <c r="Q4" s="25">
        <f t="shared" ref="Q4:R4" si="2">Q2*Q3</f>
        <v>0</v>
      </c>
      <c r="R4" s="25">
        <f t="shared" si="2"/>
        <v>0</v>
      </c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45545</v>
      </c>
      <c r="I5" s="24" t="s">
        <v>47</v>
      </c>
      <c r="J5" s="27">
        <v>5</v>
      </c>
      <c r="K5" s="27"/>
      <c r="L5" s="27"/>
      <c r="M5" s="25">
        <v>145</v>
      </c>
      <c r="N5" s="25">
        <f t="shared" si="1"/>
        <v>725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45551</v>
      </c>
      <c r="I6" s="24" t="s">
        <v>47</v>
      </c>
      <c r="J6" s="27">
        <v>5</v>
      </c>
      <c r="K6" s="27"/>
      <c r="L6" s="27"/>
      <c r="M6" s="25">
        <v>145</v>
      </c>
      <c r="N6" s="25">
        <f t="shared" si="1"/>
        <v>725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45560</v>
      </c>
      <c r="I7" s="24" t="s">
        <v>47</v>
      </c>
      <c r="J7" s="27">
        <v>20</v>
      </c>
      <c r="K7" s="27"/>
      <c r="L7" s="27"/>
      <c r="M7" s="25">
        <v>145</v>
      </c>
      <c r="N7" s="25">
        <f t="shared" si="1"/>
        <v>2900</v>
      </c>
    </row>
    <row r="8" spans="1:24" ht="16.5" thickBot="1" x14ac:dyDescent="0.3">
      <c r="A8" s="24"/>
      <c r="B8" s="27"/>
      <c r="C8" s="27"/>
      <c r="D8" s="27"/>
      <c r="E8" s="25"/>
      <c r="F8" s="25">
        <f t="shared" si="0"/>
        <v>0</v>
      </c>
      <c r="G8" s="30"/>
      <c r="H8" s="127">
        <v>45561</v>
      </c>
      <c r="I8" s="123" t="s">
        <v>47</v>
      </c>
      <c r="J8" s="124">
        <v>20</v>
      </c>
      <c r="K8" s="124"/>
      <c r="L8" s="124"/>
      <c r="M8" s="125">
        <v>145</v>
      </c>
      <c r="N8" s="125">
        <f t="shared" si="1"/>
        <v>2900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122">
        <v>45567</v>
      </c>
      <c r="I9" s="118" t="s">
        <v>47</v>
      </c>
      <c r="J9" s="119">
        <v>114</v>
      </c>
      <c r="K9" s="119"/>
      <c r="L9" s="119"/>
      <c r="M9" s="120">
        <v>145</v>
      </c>
      <c r="N9" s="120">
        <f t="shared" si="1"/>
        <v>16530</v>
      </c>
    </row>
    <row r="10" spans="1:24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45568</v>
      </c>
      <c r="I10" s="24" t="s">
        <v>47</v>
      </c>
      <c r="J10" s="27">
        <v>55</v>
      </c>
      <c r="K10" s="27"/>
      <c r="L10" s="27"/>
      <c r="M10" s="25">
        <v>145</v>
      </c>
      <c r="N10" s="25">
        <f t="shared" si="1"/>
        <v>7975</v>
      </c>
    </row>
    <row r="11" spans="1:24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45572</v>
      </c>
      <c r="I11" s="24" t="s">
        <v>47</v>
      </c>
      <c r="J11" s="27">
        <v>60</v>
      </c>
      <c r="K11" s="27"/>
      <c r="L11" s="27"/>
      <c r="M11" s="25">
        <v>145</v>
      </c>
      <c r="N11" s="25">
        <f t="shared" si="1"/>
        <v>8700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45573</v>
      </c>
      <c r="I12" s="24" t="s">
        <v>47</v>
      </c>
      <c r="J12" s="27">
        <v>10</v>
      </c>
      <c r="K12" s="27"/>
      <c r="L12" s="27"/>
      <c r="M12" s="25">
        <v>145</v>
      </c>
      <c r="N12" s="25">
        <f t="shared" si="1"/>
        <v>1450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4" t="s">
        <v>47</v>
      </c>
      <c r="J13" s="27">
        <v>35</v>
      </c>
      <c r="K13" s="27"/>
      <c r="L13" s="27"/>
      <c r="M13" s="25">
        <v>145</v>
      </c>
      <c r="N13" s="25">
        <f t="shared" si="1"/>
        <v>5075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45581</v>
      </c>
      <c r="I14" s="24" t="s">
        <v>47</v>
      </c>
      <c r="J14" s="27">
        <v>100</v>
      </c>
      <c r="K14" s="27"/>
      <c r="L14" s="27"/>
      <c r="M14" s="25">
        <v>145</v>
      </c>
      <c r="N14" s="25">
        <f t="shared" si="1"/>
        <v>14500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45582</v>
      </c>
      <c r="I15" s="24" t="s">
        <v>47</v>
      </c>
      <c r="J15" s="27">
        <v>40</v>
      </c>
      <c r="K15" s="27"/>
      <c r="L15" s="27"/>
      <c r="M15" s="25">
        <v>145</v>
      </c>
      <c r="N15" s="25">
        <f t="shared" si="1"/>
        <v>5800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28">
        <v>45583</v>
      </c>
      <c r="I16" s="24" t="s">
        <v>47</v>
      </c>
      <c r="J16" s="27">
        <v>160</v>
      </c>
      <c r="K16" s="27"/>
      <c r="L16" s="27"/>
      <c r="M16" s="25">
        <v>145</v>
      </c>
      <c r="N16" s="25">
        <f t="shared" si="1"/>
        <v>23200</v>
      </c>
    </row>
    <row r="17" spans="1:14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28">
        <v>45589</v>
      </c>
      <c r="I17" s="24" t="s">
        <v>47</v>
      </c>
      <c r="J17" s="27">
        <v>100</v>
      </c>
      <c r="K17" s="27"/>
      <c r="L17" s="27"/>
      <c r="M17" s="25">
        <v>145</v>
      </c>
      <c r="N17" s="25">
        <f t="shared" si="1"/>
        <v>14500</v>
      </c>
    </row>
    <row r="18" spans="1:14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28">
        <v>45593</v>
      </c>
      <c r="I18" s="24" t="s">
        <v>47</v>
      </c>
      <c r="J18" s="27">
        <v>200</v>
      </c>
      <c r="K18" s="27"/>
      <c r="L18" s="27"/>
      <c r="M18" s="25">
        <v>145</v>
      </c>
      <c r="N18" s="25">
        <f t="shared" si="1"/>
        <v>29000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28">
        <v>45594</v>
      </c>
      <c r="I19" s="24" t="s">
        <v>47</v>
      </c>
      <c r="J19" s="27">
        <v>80</v>
      </c>
      <c r="K19" s="27"/>
      <c r="L19" s="27"/>
      <c r="M19" s="25">
        <v>145</v>
      </c>
      <c r="N19" s="25">
        <f t="shared" si="1"/>
        <v>11600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>
        <v>45596</v>
      </c>
      <c r="I20" s="24" t="s">
        <v>47</v>
      </c>
      <c r="J20" s="27">
        <v>125</v>
      </c>
      <c r="K20" s="27"/>
      <c r="L20" s="27"/>
      <c r="M20" s="25">
        <v>145</v>
      </c>
      <c r="N20" s="25">
        <f t="shared" si="1"/>
        <v>18125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>
        <v>45597</v>
      </c>
      <c r="I21" s="24" t="s">
        <v>47</v>
      </c>
      <c r="J21" s="27">
        <v>125</v>
      </c>
      <c r="K21" s="27"/>
      <c r="L21" s="27"/>
      <c r="M21" s="25">
        <v>145</v>
      </c>
      <c r="N21" s="25">
        <f t="shared" si="1"/>
        <v>18125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>
        <v>45601</v>
      </c>
      <c r="I22" s="24" t="s">
        <v>47</v>
      </c>
      <c r="J22" s="27">
        <v>375</v>
      </c>
      <c r="K22" s="27"/>
      <c r="L22" s="27"/>
      <c r="M22" s="25">
        <v>145</v>
      </c>
      <c r="N22" s="25">
        <f t="shared" si="1"/>
        <v>54375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>
        <v>45604</v>
      </c>
      <c r="I23" s="24" t="s">
        <v>47</v>
      </c>
      <c r="J23" s="27">
        <v>125</v>
      </c>
      <c r="K23" s="27"/>
      <c r="L23" s="27"/>
      <c r="M23" s="25">
        <v>145</v>
      </c>
      <c r="N23" s="25">
        <f t="shared" si="1"/>
        <v>18125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8">
        <v>45621</v>
      </c>
      <c r="I24" s="24" t="s">
        <v>47</v>
      </c>
      <c r="J24" s="27">
        <v>60</v>
      </c>
      <c r="K24" s="27"/>
      <c r="L24" s="27"/>
      <c r="M24" s="25">
        <v>145</v>
      </c>
      <c r="N24" s="25">
        <f t="shared" si="1"/>
        <v>8700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8">
        <v>45630</v>
      </c>
      <c r="I25" s="24" t="s">
        <v>47</v>
      </c>
      <c r="J25" s="27">
        <v>100</v>
      </c>
      <c r="K25" s="27"/>
      <c r="L25" s="27"/>
      <c r="M25" s="25">
        <v>145</v>
      </c>
      <c r="N25" s="25">
        <f t="shared" si="1"/>
        <v>14500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8">
        <v>45635</v>
      </c>
      <c r="I26" s="24" t="s">
        <v>47</v>
      </c>
      <c r="J26" s="27">
        <v>10</v>
      </c>
      <c r="K26" s="27"/>
      <c r="L26" s="27"/>
      <c r="M26" s="25">
        <v>145</v>
      </c>
      <c r="N26" s="25">
        <f t="shared" si="1"/>
        <v>1450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8">
        <v>45636</v>
      </c>
      <c r="I27" s="24" t="s">
        <v>47</v>
      </c>
      <c r="J27" s="27">
        <v>40</v>
      </c>
      <c r="K27" s="27"/>
      <c r="L27" s="27"/>
      <c r="M27" s="25">
        <v>145</v>
      </c>
      <c r="N27" s="25">
        <f t="shared" si="1"/>
        <v>5800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8">
        <v>45637</v>
      </c>
      <c r="I28" s="24" t="s">
        <v>47</v>
      </c>
      <c r="J28" s="27">
        <v>60</v>
      </c>
      <c r="K28" s="27"/>
      <c r="L28" s="27"/>
      <c r="M28" s="25">
        <v>145</v>
      </c>
      <c r="N28" s="25">
        <f t="shared" si="1"/>
        <v>8700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8">
        <v>45638</v>
      </c>
      <c r="I29" s="24" t="s">
        <v>47</v>
      </c>
      <c r="J29" s="27">
        <v>60</v>
      </c>
      <c r="K29" s="27"/>
      <c r="L29" s="27"/>
      <c r="M29" s="25">
        <v>145</v>
      </c>
      <c r="N29" s="25">
        <f t="shared" si="1"/>
        <v>8700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8">
        <v>45639</v>
      </c>
      <c r="I30" s="24" t="s">
        <v>47</v>
      </c>
      <c r="J30" s="141">
        <v>20</v>
      </c>
      <c r="K30" s="27"/>
      <c r="L30" s="27"/>
      <c r="M30" s="25">
        <v>145</v>
      </c>
      <c r="N30" s="25">
        <f t="shared" si="1"/>
        <v>2900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8">
        <v>45642</v>
      </c>
      <c r="I31" s="24" t="s">
        <v>47</v>
      </c>
      <c r="J31" s="27">
        <v>80</v>
      </c>
      <c r="K31" s="27"/>
      <c r="L31" s="27"/>
      <c r="M31" s="25">
        <v>145</v>
      </c>
      <c r="N31" s="25">
        <f t="shared" si="1"/>
        <v>11600</v>
      </c>
    </row>
    <row r="32" spans="1:14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28">
        <v>45643</v>
      </c>
      <c r="I32" s="24" t="s">
        <v>47</v>
      </c>
      <c r="J32" s="27">
        <v>60</v>
      </c>
      <c r="K32" s="27"/>
      <c r="L32" s="27"/>
      <c r="M32" s="25">
        <v>145</v>
      </c>
      <c r="N32" s="25">
        <f t="shared" si="1"/>
        <v>8700</v>
      </c>
    </row>
    <row r="33" spans="1:14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28">
        <v>45644</v>
      </c>
      <c r="I33" s="24" t="s">
        <v>47</v>
      </c>
      <c r="J33" s="27">
        <v>80</v>
      </c>
      <c r="K33" s="27"/>
      <c r="L33" s="27"/>
      <c r="M33" s="25">
        <v>145</v>
      </c>
      <c r="N33" s="25">
        <f t="shared" si="1"/>
        <v>11600</v>
      </c>
    </row>
    <row r="34" spans="1:14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28">
        <v>45645</v>
      </c>
      <c r="I34" s="24" t="s">
        <v>47</v>
      </c>
      <c r="J34" s="27">
        <v>80</v>
      </c>
      <c r="K34" s="27"/>
      <c r="L34" s="27"/>
      <c r="M34" s="25">
        <v>145</v>
      </c>
      <c r="N34" s="25">
        <f t="shared" si="1"/>
        <v>11600</v>
      </c>
    </row>
    <row r="35" spans="1:14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28">
        <v>45646</v>
      </c>
      <c r="I35" s="24" t="s">
        <v>47</v>
      </c>
      <c r="J35" s="27">
        <v>40</v>
      </c>
      <c r="K35" s="27"/>
      <c r="L35" s="27"/>
      <c r="M35" s="25">
        <v>145</v>
      </c>
      <c r="N35" s="25">
        <f t="shared" si="1"/>
        <v>5800</v>
      </c>
    </row>
    <row r="36" spans="1:14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28">
        <v>45649</v>
      </c>
      <c r="I36" s="24" t="s">
        <v>47</v>
      </c>
      <c r="J36" s="27">
        <v>40</v>
      </c>
      <c r="K36" s="27"/>
      <c r="L36" s="27"/>
      <c r="M36" s="25">
        <v>145</v>
      </c>
      <c r="N36" s="25">
        <f t="shared" si="1"/>
        <v>5800</v>
      </c>
    </row>
    <row r="37" spans="1:14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28">
        <v>45650</v>
      </c>
      <c r="I37" s="24" t="s">
        <v>47</v>
      </c>
      <c r="J37" s="27">
        <v>100</v>
      </c>
      <c r="K37" s="27"/>
      <c r="L37" s="27"/>
      <c r="M37" s="25">
        <v>145</v>
      </c>
      <c r="N37" s="25">
        <f t="shared" si="1"/>
        <v>14500</v>
      </c>
    </row>
    <row r="38" spans="1:14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28">
        <v>45651</v>
      </c>
      <c r="I38" s="24" t="s">
        <v>47</v>
      </c>
      <c r="J38" s="27">
        <v>80</v>
      </c>
      <c r="K38" s="27"/>
      <c r="L38" s="27"/>
      <c r="M38" s="25">
        <v>145</v>
      </c>
      <c r="N38" s="25">
        <f t="shared" si="1"/>
        <v>11600</v>
      </c>
    </row>
    <row r="39" spans="1:14" x14ac:dyDescent="0.25">
      <c r="A39" s="166" t="s">
        <v>108</v>
      </c>
      <c r="B39" s="167"/>
      <c r="C39" s="167"/>
      <c r="D39" s="167"/>
      <c r="E39" s="168"/>
      <c r="F39" s="168">
        <f t="shared" si="0"/>
        <v>0</v>
      </c>
      <c r="G39" s="168"/>
      <c r="H39" s="169"/>
      <c r="I39" s="166"/>
      <c r="J39" s="167"/>
      <c r="K39" s="167"/>
      <c r="L39" s="167"/>
      <c r="M39" s="168"/>
      <c r="N39" s="168">
        <f t="shared" si="1"/>
        <v>0</v>
      </c>
    </row>
    <row r="40" spans="1:14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28">
        <v>45666</v>
      </c>
      <c r="I40" s="24" t="s">
        <v>47</v>
      </c>
      <c r="J40" s="27">
        <v>80</v>
      </c>
      <c r="K40" s="27"/>
      <c r="L40" s="27"/>
      <c r="M40" s="25">
        <v>145</v>
      </c>
      <c r="N40" s="25">
        <f t="shared" si="1"/>
        <v>11600</v>
      </c>
    </row>
    <row r="41" spans="1:14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28">
        <v>45667</v>
      </c>
      <c r="I41" s="24" t="s">
        <v>47</v>
      </c>
      <c r="J41" s="27">
        <v>60</v>
      </c>
      <c r="K41" s="27"/>
      <c r="L41" s="27"/>
      <c r="M41" s="25">
        <v>145</v>
      </c>
      <c r="N41" s="25">
        <f t="shared" si="1"/>
        <v>8700</v>
      </c>
    </row>
    <row r="42" spans="1:14" x14ac:dyDescent="0.25">
      <c r="A42" s="24"/>
      <c r="B42" s="27"/>
      <c r="C42" s="27"/>
      <c r="D42" s="27"/>
      <c r="E42" s="25"/>
      <c r="F42" s="25">
        <f t="shared" si="0"/>
        <v>0</v>
      </c>
      <c r="G42" s="30"/>
      <c r="H42" s="28">
        <v>45670</v>
      </c>
      <c r="I42" s="24" t="s">
        <v>47</v>
      </c>
      <c r="J42" s="27">
        <v>40</v>
      </c>
      <c r="K42" s="27"/>
      <c r="L42" s="27"/>
      <c r="M42" s="25">
        <v>145</v>
      </c>
      <c r="N42" s="25">
        <f t="shared" si="1"/>
        <v>5800</v>
      </c>
    </row>
    <row r="43" spans="1:14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28">
        <v>45671</v>
      </c>
      <c r="I43" s="24" t="s">
        <v>47</v>
      </c>
      <c r="J43" s="27">
        <v>20</v>
      </c>
      <c r="K43" s="27"/>
      <c r="L43" s="27"/>
      <c r="M43" s="25">
        <v>145</v>
      </c>
      <c r="N43" s="25">
        <f t="shared" si="1"/>
        <v>2900</v>
      </c>
    </row>
    <row r="44" spans="1:14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28">
        <v>45672</v>
      </c>
      <c r="I44" s="24" t="s">
        <v>47</v>
      </c>
      <c r="J44" s="27">
        <v>80</v>
      </c>
      <c r="K44" s="27"/>
      <c r="L44" s="27"/>
      <c r="M44" s="25">
        <v>145</v>
      </c>
      <c r="N44" s="25">
        <f t="shared" si="1"/>
        <v>11600</v>
      </c>
    </row>
    <row r="45" spans="1:14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28">
        <v>45673</v>
      </c>
      <c r="I45" s="24" t="s">
        <v>47</v>
      </c>
      <c r="J45" s="27">
        <v>120</v>
      </c>
      <c r="K45" s="27"/>
      <c r="L45" s="27"/>
      <c r="M45" s="25">
        <v>145</v>
      </c>
      <c r="N45" s="25">
        <f t="shared" si="1"/>
        <v>17400</v>
      </c>
    </row>
    <row r="46" spans="1:14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28">
        <v>45674</v>
      </c>
      <c r="I46" s="24" t="s">
        <v>47</v>
      </c>
      <c r="J46" s="27">
        <v>80</v>
      </c>
      <c r="K46" s="27"/>
      <c r="L46" s="27"/>
      <c r="M46" s="25">
        <v>145</v>
      </c>
      <c r="N46" s="25">
        <f t="shared" si="1"/>
        <v>11600</v>
      </c>
    </row>
    <row r="47" spans="1:14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28">
        <v>45677</v>
      </c>
      <c r="I47" s="24" t="s">
        <v>47</v>
      </c>
      <c r="J47" s="27">
        <v>100</v>
      </c>
      <c r="K47" s="27"/>
      <c r="L47" s="27"/>
      <c r="M47" s="25">
        <v>145</v>
      </c>
      <c r="N47" s="25">
        <f t="shared" si="1"/>
        <v>14500</v>
      </c>
    </row>
    <row r="48" spans="1:14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28">
        <v>45678</v>
      </c>
      <c r="I48" s="24" t="s">
        <v>47</v>
      </c>
      <c r="J48" s="27">
        <v>80</v>
      </c>
      <c r="K48" s="27"/>
      <c r="L48" s="27"/>
      <c r="M48" s="25">
        <v>145</v>
      </c>
      <c r="N48" s="25">
        <f t="shared" si="1"/>
        <v>11600</v>
      </c>
    </row>
    <row r="49" spans="1:14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28">
        <v>45679</v>
      </c>
      <c r="I49" s="24" t="s">
        <v>47</v>
      </c>
      <c r="J49" s="27">
        <v>40</v>
      </c>
      <c r="K49" s="27"/>
      <c r="L49" s="27"/>
      <c r="M49" s="25">
        <v>145</v>
      </c>
      <c r="N49" s="25">
        <f t="shared" si="1"/>
        <v>5800</v>
      </c>
    </row>
    <row r="50" spans="1:14" x14ac:dyDescent="0.25">
      <c r="A50" s="24"/>
      <c r="B50" s="27"/>
      <c r="C50" s="27"/>
      <c r="D50" s="27"/>
      <c r="E50" s="25"/>
      <c r="F50" s="25">
        <f t="shared" si="0"/>
        <v>0</v>
      </c>
      <c r="G50" s="30"/>
      <c r="H50" s="28">
        <v>45680</v>
      </c>
      <c r="I50" s="24" t="s">
        <v>47</v>
      </c>
      <c r="J50" s="27">
        <v>100</v>
      </c>
      <c r="K50" s="27"/>
      <c r="L50" s="27"/>
      <c r="M50" s="25">
        <v>145</v>
      </c>
      <c r="N50" s="25">
        <f t="shared" si="1"/>
        <v>14500</v>
      </c>
    </row>
    <row r="51" spans="1:14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28">
        <v>45681</v>
      </c>
      <c r="I51" s="24" t="s">
        <v>47</v>
      </c>
      <c r="J51" s="27">
        <v>200</v>
      </c>
      <c r="K51" s="27"/>
      <c r="L51" s="27"/>
      <c r="M51" s="25">
        <v>145</v>
      </c>
      <c r="N51" s="25">
        <f t="shared" si="1"/>
        <v>29000</v>
      </c>
    </row>
    <row r="52" spans="1:14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28">
        <v>45684</v>
      </c>
      <c r="I52" s="24" t="s">
        <v>47</v>
      </c>
      <c r="J52" s="27">
        <v>60</v>
      </c>
      <c r="K52" s="27"/>
      <c r="L52" s="27"/>
      <c r="M52" s="25">
        <v>145</v>
      </c>
      <c r="N52" s="25">
        <f t="shared" si="1"/>
        <v>8700</v>
      </c>
    </row>
    <row r="53" spans="1:14" x14ac:dyDescent="0.25">
      <c r="A53" s="24"/>
      <c r="B53" s="27"/>
      <c r="C53" s="27"/>
      <c r="D53" s="27"/>
      <c r="E53" s="25"/>
      <c r="F53" s="25">
        <f t="shared" si="0"/>
        <v>0</v>
      </c>
      <c r="G53" s="30"/>
      <c r="H53" s="28">
        <v>45685</v>
      </c>
      <c r="I53" s="24" t="s">
        <v>47</v>
      </c>
      <c r="J53" s="27">
        <v>200</v>
      </c>
      <c r="K53" s="27"/>
      <c r="L53" s="27"/>
      <c r="M53" s="25">
        <v>145</v>
      </c>
      <c r="N53" s="25">
        <f t="shared" si="1"/>
        <v>29000</v>
      </c>
    </row>
    <row r="54" spans="1:14" x14ac:dyDescent="0.25">
      <c r="A54" s="24"/>
      <c r="B54" s="27"/>
      <c r="C54" s="27"/>
      <c r="D54" s="27"/>
      <c r="E54" s="25"/>
      <c r="F54" s="25">
        <f t="shared" si="0"/>
        <v>0</v>
      </c>
      <c r="G54" s="30"/>
      <c r="H54" s="28">
        <v>45686</v>
      </c>
      <c r="I54" s="24" t="s">
        <v>47</v>
      </c>
      <c r="J54" s="27">
        <v>140</v>
      </c>
      <c r="K54" s="27"/>
      <c r="L54" s="27"/>
      <c r="M54" s="25">
        <v>145</v>
      </c>
      <c r="N54" s="25">
        <f t="shared" si="1"/>
        <v>20300</v>
      </c>
    </row>
    <row r="55" spans="1:14" x14ac:dyDescent="0.25">
      <c r="A55" s="24"/>
      <c r="B55" s="27"/>
      <c r="C55" s="27"/>
      <c r="D55" s="27"/>
      <c r="E55" s="25"/>
      <c r="F55" s="25">
        <f t="shared" si="0"/>
        <v>0</v>
      </c>
      <c r="G55" s="30"/>
      <c r="H55" s="28">
        <v>45687</v>
      </c>
      <c r="I55" s="24" t="s">
        <v>47</v>
      </c>
      <c r="J55" s="27">
        <v>140</v>
      </c>
      <c r="K55" s="27"/>
      <c r="L55" s="27"/>
      <c r="M55" s="25">
        <v>145</v>
      </c>
      <c r="N55" s="25">
        <f t="shared" si="1"/>
        <v>20300</v>
      </c>
    </row>
    <row r="56" spans="1:14" x14ac:dyDescent="0.25">
      <c r="A56" s="24"/>
      <c r="B56" s="27"/>
      <c r="C56" s="27"/>
      <c r="D56" s="27"/>
      <c r="E56" s="25"/>
      <c r="F56" s="25">
        <f t="shared" si="0"/>
        <v>0</v>
      </c>
      <c r="G56" s="30"/>
      <c r="H56" s="28">
        <v>45688</v>
      </c>
      <c r="I56" s="24" t="s">
        <v>47</v>
      </c>
      <c r="J56" s="27"/>
      <c r="K56" s="27">
        <v>160</v>
      </c>
      <c r="L56" s="27"/>
      <c r="M56" s="25">
        <v>145</v>
      </c>
      <c r="N56" s="25">
        <f t="shared" si="1"/>
        <v>23200</v>
      </c>
    </row>
    <row r="57" spans="1:14" x14ac:dyDescent="0.25">
      <c r="A57" s="24"/>
      <c r="B57" s="27"/>
      <c r="C57" s="27"/>
      <c r="D57" s="27"/>
      <c r="E57" s="25"/>
      <c r="F57" s="25">
        <f t="shared" si="0"/>
        <v>0</v>
      </c>
      <c r="G57" s="30"/>
      <c r="H57" s="169">
        <v>45691</v>
      </c>
      <c r="I57" s="24" t="s">
        <v>47</v>
      </c>
      <c r="J57" s="27"/>
      <c r="K57" s="27">
        <v>180</v>
      </c>
      <c r="L57" s="27"/>
      <c r="M57" s="25">
        <v>145</v>
      </c>
      <c r="N57" s="25">
        <f t="shared" si="1"/>
        <v>26100</v>
      </c>
    </row>
    <row r="58" spans="1:14" x14ac:dyDescent="0.25">
      <c r="A58" s="24"/>
      <c r="B58" s="27"/>
      <c r="C58" s="27"/>
      <c r="D58" s="27"/>
      <c r="E58" s="25"/>
      <c r="F58" s="25">
        <f t="shared" si="0"/>
        <v>0</v>
      </c>
      <c r="G58" s="30"/>
      <c r="H58" s="28">
        <v>45693</v>
      </c>
      <c r="I58" s="24" t="s">
        <v>47</v>
      </c>
      <c r="J58" s="27"/>
      <c r="K58" s="27">
        <v>260</v>
      </c>
      <c r="L58" s="27"/>
      <c r="M58" s="25">
        <v>145</v>
      </c>
      <c r="N58" s="25">
        <f t="shared" si="1"/>
        <v>37700</v>
      </c>
    </row>
    <row r="59" spans="1:14" x14ac:dyDescent="0.25">
      <c r="A59" s="24"/>
      <c r="B59" s="27"/>
      <c r="C59" s="27"/>
      <c r="D59" s="27"/>
      <c r="E59" s="25"/>
      <c r="F59" s="25">
        <f t="shared" si="0"/>
        <v>0</v>
      </c>
      <c r="G59" s="30"/>
      <c r="H59" s="28">
        <v>45694</v>
      </c>
      <c r="I59" s="24" t="s">
        <v>47</v>
      </c>
      <c r="J59" s="27"/>
      <c r="K59" s="27">
        <v>140</v>
      </c>
      <c r="L59" s="27"/>
      <c r="M59" s="25">
        <v>145</v>
      </c>
      <c r="N59" s="25">
        <f t="shared" si="1"/>
        <v>20300</v>
      </c>
    </row>
    <row r="60" spans="1:14" x14ac:dyDescent="0.25">
      <c r="A60" s="24"/>
      <c r="B60" s="27"/>
      <c r="C60" s="27"/>
      <c r="D60" s="27"/>
      <c r="E60" s="25"/>
      <c r="F60" s="25">
        <f t="shared" si="0"/>
        <v>0</v>
      </c>
      <c r="G60" s="30"/>
      <c r="H60" s="28">
        <v>45698</v>
      </c>
      <c r="I60" s="24" t="s">
        <v>47</v>
      </c>
      <c r="J60" s="27"/>
      <c r="K60" s="27">
        <v>40</v>
      </c>
      <c r="L60" s="27"/>
      <c r="M60" s="25">
        <v>145</v>
      </c>
      <c r="N60" s="25">
        <f t="shared" si="1"/>
        <v>5800</v>
      </c>
    </row>
    <row r="61" spans="1:14" x14ac:dyDescent="0.25">
      <c r="A61" s="24"/>
      <c r="B61" s="27"/>
      <c r="C61" s="27"/>
      <c r="D61" s="27"/>
      <c r="E61" s="25"/>
      <c r="F61" s="25">
        <f t="shared" si="0"/>
        <v>0</v>
      </c>
      <c r="G61" s="30"/>
      <c r="H61" s="28"/>
      <c r="I61" s="24"/>
      <c r="J61" s="27"/>
      <c r="K61" s="27"/>
      <c r="L61" s="27"/>
      <c r="M61" s="25"/>
      <c r="N61" s="25">
        <f t="shared" si="1"/>
        <v>0</v>
      </c>
    </row>
    <row r="62" spans="1:14" x14ac:dyDescent="0.25">
      <c r="A62" s="24"/>
      <c r="B62" s="27"/>
      <c r="C62" s="27"/>
      <c r="D62" s="27"/>
      <c r="E62" s="25"/>
      <c r="F62" s="25">
        <f t="shared" si="0"/>
        <v>0</v>
      </c>
      <c r="G62" s="30"/>
      <c r="H62" s="28"/>
      <c r="I62" s="24"/>
      <c r="J62" s="27"/>
      <c r="K62" s="27"/>
      <c r="L62" s="27"/>
      <c r="M62" s="25"/>
      <c r="N62" s="25">
        <f t="shared" si="1"/>
        <v>0</v>
      </c>
    </row>
    <row r="63" spans="1:14" x14ac:dyDescent="0.25">
      <c r="A63" s="24"/>
      <c r="B63" s="27"/>
      <c r="C63" s="27"/>
      <c r="D63" s="27"/>
      <c r="E63" s="25"/>
      <c r="F63" s="25">
        <f t="shared" si="0"/>
        <v>0</v>
      </c>
      <c r="G63" s="30"/>
      <c r="H63" s="28"/>
      <c r="I63" s="24"/>
      <c r="J63" s="27"/>
      <c r="K63" s="27"/>
      <c r="L63" s="27"/>
      <c r="M63" s="25"/>
      <c r="N63" s="25">
        <f t="shared" si="1"/>
        <v>0</v>
      </c>
    </row>
    <row r="64" spans="1:14" x14ac:dyDescent="0.25">
      <c r="A64" s="24"/>
      <c r="B64" s="27"/>
      <c r="C64" s="27"/>
      <c r="D64" s="27"/>
      <c r="E64" s="25"/>
      <c r="F64" s="25">
        <f t="shared" si="0"/>
        <v>0</v>
      </c>
      <c r="G64" s="30"/>
      <c r="H64" s="28"/>
      <c r="I64" s="24"/>
      <c r="J64" s="27"/>
      <c r="K64" s="27"/>
      <c r="L64" s="27"/>
      <c r="M64" s="25"/>
      <c r="N64" s="25">
        <f t="shared" si="1"/>
        <v>0</v>
      </c>
    </row>
    <row r="65" spans="1:14" x14ac:dyDescent="0.25">
      <c r="A65" s="24"/>
      <c r="B65" s="27"/>
      <c r="C65" s="27"/>
      <c r="D65" s="27"/>
      <c r="E65" s="25"/>
      <c r="F65" s="25">
        <f t="shared" si="0"/>
        <v>0</v>
      </c>
      <c r="G65" s="30"/>
      <c r="H65" s="28"/>
      <c r="I65" s="24"/>
      <c r="J65" s="27"/>
      <c r="K65" s="27"/>
      <c r="L65" s="27"/>
      <c r="M65" s="25"/>
      <c r="N65" s="25">
        <f t="shared" si="1"/>
        <v>0</v>
      </c>
    </row>
    <row r="66" spans="1:14" x14ac:dyDescent="0.25">
      <c r="A66" s="24"/>
      <c r="B66" s="27"/>
      <c r="C66" s="27"/>
      <c r="D66" s="27"/>
      <c r="E66" s="25"/>
      <c r="F66" s="25">
        <f t="shared" si="0"/>
        <v>0</v>
      </c>
      <c r="G66" s="30"/>
      <c r="H66" s="28"/>
      <c r="I66" s="24"/>
      <c r="J66" s="27"/>
      <c r="K66" s="27"/>
      <c r="L66" s="27"/>
      <c r="M66" s="25"/>
      <c r="N66" s="25">
        <f t="shared" si="1"/>
        <v>0</v>
      </c>
    </row>
    <row r="67" spans="1:14" x14ac:dyDescent="0.25">
      <c r="A67" s="24"/>
      <c r="B67" s="27"/>
      <c r="C67" s="27"/>
      <c r="D67" s="27"/>
      <c r="E67" s="25"/>
      <c r="F67" s="25">
        <f t="shared" si="0"/>
        <v>0</v>
      </c>
      <c r="G67" s="30"/>
      <c r="H67" s="28"/>
      <c r="I67" s="24"/>
      <c r="J67" s="27"/>
      <c r="K67" s="27"/>
      <c r="L67" s="27"/>
      <c r="M67" s="25"/>
      <c r="N67" s="25">
        <f t="shared" si="1"/>
        <v>0</v>
      </c>
    </row>
    <row r="68" spans="1:14" x14ac:dyDescent="0.25">
      <c r="A68" s="24"/>
      <c r="B68" s="27"/>
      <c r="C68" s="27"/>
      <c r="D68" s="27"/>
      <c r="E68" s="25"/>
      <c r="F68" s="25">
        <f t="shared" si="0"/>
        <v>0</v>
      </c>
      <c r="G68" s="30"/>
      <c r="H68" s="24"/>
      <c r="I68" s="24"/>
      <c r="J68" s="27"/>
      <c r="K68" s="27"/>
      <c r="L68" s="27"/>
      <c r="M68" s="25"/>
      <c r="N68" s="25">
        <f t="shared" si="1"/>
        <v>0</v>
      </c>
    </row>
    <row r="69" spans="1:14" x14ac:dyDescent="0.25">
      <c r="A69" s="24"/>
      <c r="B69" s="27"/>
      <c r="C69" s="27"/>
      <c r="D69" s="27"/>
      <c r="E69" s="25"/>
      <c r="F69" s="25">
        <f t="shared" si="0"/>
        <v>0</v>
      </c>
      <c r="G69" s="30"/>
      <c r="H69" s="24"/>
      <c r="I69" s="24"/>
      <c r="J69" s="27"/>
      <c r="K69" s="27"/>
      <c r="L69" s="27"/>
      <c r="M69" s="25"/>
      <c r="N69" s="25">
        <f t="shared" si="1"/>
        <v>0</v>
      </c>
    </row>
    <row r="70" spans="1:14" x14ac:dyDescent="0.25">
      <c r="A70" s="24"/>
      <c r="B70" s="27">
        <f>SUM(B3:B69)</f>
        <v>4220</v>
      </c>
      <c r="C70" s="27">
        <f>SUM(C3:C69)</f>
        <v>780</v>
      </c>
      <c r="D70" s="27">
        <f>SUM(D3:D69)</f>
        <v>0</v>
      </c>
      <c r="E70" s="25"/>
      <c r="F70" s="25"/>
      <c r="G70" s="30"/>
      <c r="H70" s="24"/>
      <c r="I70" s="24"/>
      <c r="J70" s="27">
        <f>SUM(J3:J69)</f>
        <v>4220</v>
      </c>
      <c r="K70" s="27">
        <f t="shared" ref="K70:L70" si="3">SUM(K3:K69)</f>
        <v>780</v>
      </c>
      <c r="L70" s="27">
        <f t="shared" si="3"/>
        <v>0</v>
      </c>
      <c r="M70" s="25"/>
      <c r="N70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0"/>
  <sheetViews>
    <sheetView workbookViewId="0">
      <pane ySplit="1" topLeftCell="A2" activePane="bottomLeft" state="frozen"/>
      <selection pane="bottomLeft" activeCell="D14" sqref="D14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51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51</v>
      </c>
      <c r="I1" s="58" t="s">
        <v>18</v>
      </c>
      <c r="J1" s="58" t="s">
        <v>19</v>
      </c>
      <c r="K1" s="59"/>
      <c r="L1" s="59"/>
      <c r="M1" s="57" t="s">
        <v>51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1075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/>
      <c r="B3" s="27">
        <v>150</v>
      </c>
      <c r="C3" s="148">
        <v>55</v>
      </c>
      <c r="D3" s="25">
        <f t="shared" ref="D3:D14" si="0">B3*C3</f>
        <v>8250</v>
      </c>
      <c r="E3" s="30"/>
      <c r="F3" s="28"/>
      <c r="G3" s="24"/>
      <c r="H3" s="27"/>
      <c r="I3" s="25"/>
      <c r="J3" s="25"/>
      <c r="K3" s="163" t="s">
        <v>105</v>
      </c>
      <c r="M3" s="25">
        <v>55</v>
      </c>
      <c r="N3" s="25"/>
      <c r="O3" s="25"/>
      <c r="P3" s="25"/>
      <c r="Q3" s="25"/>
      <c r="R3" s="29"/>
      <c r="S3" s="29"/>
      <c r="T3" s="29"/>
    </row>
    <row r="4" spans="1:21" x14ac:dyDescent="0.25">
      <c r="A4" s="28">
        <v>45594</v>
      </c>
      <c r="B4" s="27">
        <v>75</v>
      </c>
      <c r="C4" s="148">
        <v>55</v>
      </c>
      <c r="D4" s="25">
        <f t="shared" si="0"/>
        <v>4125</v>
      </c>
      <c r="E4" s="30"/>
      <c r="F4" s="28"/>
      <c r="G4" s="24"/>
      <c r="H4" s="27"/>
      <c r="I4" s="25"/>
      <c r="J4" s="25">
        <f>H4*I4</f>
        <v>0</v>
      </c>
      <c r="M4" s="25">
        <f>M2*M3</f>
        <v>59125</v>
      </c>
      <c r="N4" s="25"/>
      <c r="O4" s="25"/>
      <c r="P4" s="25"/>
      <c r="Q4" s="25"/>
      <c r="R4" s="29"/>
      <c r="S4" s="29"/>
      <c r="T4" s="29"/>
    </row>
    <row r="5" spans="1:21" x14ac:dyDescent="0.25">
      <c r="A5" s="28">
        <v>45601</v>
      </c>
      <c r="B5" s="27">
        <v>75</v>
      </c>
      <c r="C5" s="148">
        <v>55</v>
      </c>
      <c r="D5" s="25">
        <f t="shared" si="0"/>
        <v>4125</v>
      </c>
      <c r="E5" s="30"/>
      <c r="F5" s="28"/>
      <c r="G5" s="24"/>
      <c r="H5" s="27"/>
      <c r="I5" s="25"/>
      <c r="J5" s="25">
        <f t="shared" ref="J5:J19" si="1">H5*I5</f>
        <v>0</v>
      </c>
    </row>
    <row r="6" spans="1:21" x14ac:dyDescent="0.25">
      <c r="A6" s="28">
        <v>45636</v>
      </c>
      <c r="B6" s="27">
        <v>75</v>
      </c>
      <c r="C6" s="148">
        <v>55</v>
      </c>
      <c r="D6" s="25">
        <f t="shared" si="0"/>
        <v>4125</v>
      </c>
      <c r="E6" s="30"/>
      <c r="F6" s="28"/>
      <c r="G6" s="24"/>
      <c r="H6" s="27"/>
      <c r="I6" s="25"/>
      <c r="J6" s="25">
        <f t="shared" si="1"/>
        <v>0</v>
      </c>
    </row>
    <row r="7" spans="1:21" x14ac:dyDescent="0.25">
      <c r="A7" s="28">
        <v>45645</v>
      </c>
      <c r="B7" s="27">
        <v>150</v>
      </c>
      <c r="C7" s="25">
        <v>55</v>
      </c>
      <c r="D7" s="25">
        <f t="shared" si="0"/>
        <v>8250</v>
      </c>
      <c r="E7" s="30"/>
      <c r="F7" s="24"/>
      <c r="G7" s="24"/>
      <c r="H7" s="27"/>
      <c r="I7" s="25"/>
      <c r="J7" s="25">
        <f t="shared" si="1"/>
        <v>0</v>
      </c>
    </row>
    <row r="8" spans="1:21" x14ac:dyDescent="0.25">
      <c r="A8" s="169">
        <v>45691</v>
      </c>
      <c r="B8" s="27">
        <v>475</v>
      </c>
      <c r="C8" s="25">
        <v>55</v>
      </c>
      <c r="D8" s="25">
        <f t="shared" si="0"/>
        <v>26125</v>
      </c>
      <c r="E8" s="30"/>
      <c r="F8" s="24"/>
      <c r="G8" s="24"/>
      <c r="H8" s="27"/>
      <c r="I8" s="25"/>
      <c r="J8" s="25">
        <f t="shared" si="1"/>
        <v>0</v>
      </c>
    </row>
    <row r="9" spans="1:21" x14ac:dyDescent="0.25">
      <c r="A9" s="28">
        <v>45695</v>
      </c>
      <c r="B9" s="27">
        <v>250</v>
      </c>
      <c r="C9" s="25">
        <v>55</v>
      </c>
      <c r="D9" s="25">
        <f t="shared" si="0"/>
        <v>13750</v>
      </c>
      <c r="E9" s="30"/>
      <c r="F9" s="24"/>
      <c r="G9" s="24"/>
      <c r="H9" s="27"/>
      <c r="I9" s="25"/>
      <c r="J9" s="25">
        <f t="shared" si="1"/>
        <v>0</v>
      </c>
    </row>
    <row r="10" spans="1:21" x14ac:dyDescent="0.25">
      <c r="A10" s="24"/>
      <c r="B10" s="27"/>
      <c r="C10" s="25"/>
      <c r="D10" s="25">
        <f t="shared" si="0"/>
        <v>0</v>
      </c>
      <c r="E10" s="30"/>
      <c r="F10" s="28">
        <v>45701</v>
      </c>
      <c r="G10" s="197" t="s">
        <v>119</v>
      </c>
      <c r="H10" s="133">
        <v>1000</v>
      </c>
      <c r="I10" s="165">
        <v>46</v>
      </c>
      <c r="J10" s="25">
        <f t="shared" si="1"/>
        <v>46000</v>
      </c>
    </row>
    <row r="11" spans="1:21" x14ac:dyDescent="0.25">
      <c r="A11" s="28">
        <v>45712</v>
      </c>
      <c r="B11" s="27">
        <v>450</v>
      </c>
      <c r="C11" s="25">
        <v>55</v>
      </c>
      <c r="D11" s="25">
        <f t="shared" si="0"/>
        <v>24750</v>
      </c>
      <c r="E11" s="30"/>
      <c r="F11" s="24"/>
      <c r="G11" s="24"/>
      <c r="H11" s="27"/>
      <c r="I11" s="25"/>
      <c r="J11" s="25">
        <f t="shared" si="1"/>
        <v>0</v>
      </c>
    </row>
    <row r="12" spans="1:21" x14ac:dyDescent="0.25">
      <c r="A12" s="28">
        <v>45716</v>
      </c>
      <c r="B12" s="27">
        <v>300</v>
      </c>
      <c r="C12" s="25">
        <v>55</v>
      </c>
      <c r="D12" s="25">
        <f t="shared" si="0"/>
        <v>16500</v>
      </c>
      <c r="E12" s="30"/>
      <c r="F12" s="24"/>
      <c r="G12" s="24"/>
      <c r="H12" s="27"/>
      <c r="I12" s="25"/>
      <c r="J12" s="25">
        <f t="shared" si="1"/>
        <v>0</v>
      </c>
    </row>
    <row r="13" spans="1:21" x14ac:dyDescent="0.25">
      <c r="A13" s="166" t="s">
        <v>135</v>
      </c>
      <c r="B13" s="167"/>
      <c r="C13" s="168"/>
      <c r="D13" s="168"/>
      <c r="E13" s="168"/>
      <c r="F13" s="166"/>
      <c r="G13" s="166"/>
      <c r="H13" s="167"/>
      <c r="I13" s="168"/>
      <c r="J13" s="168">
        <f t="shared" si="1"/>
        <v>0</v>
      </c>
    </row>
    <row r="14" spans="1:21" x14ac:dyDescent="0.25">
      <c r="A14" s="28">
        <v>45733</v>
      </c>
      <c r="B14" s="27">
        <v>75</v>
      </c>
      <c r="C14" s="25">
        <v>55</v>
      </c>
      <c r="D14" s="25">
        <f t="shared" si="0"/>
        <v>4125</v>
      </c>
      <c r="E14" s="30"/>
      <c r="F14" s="24"/>
      <c r="G14" s="24"/>
      <c r="H14" s="27"/>
      <c r="I14" s="25"/>
      <c r="J14" s="25">
        <f t="shared" si="1"/>
        <v>0</v>
      </c>
    </row>
    <row r="15" spans="1:21" x14ac:dyDescent="0.25">
      <c r="A15" s="24"/>
      <c r="B15" s="27"/>
      <c r="C15" s="25"/>
      <c r="D15" s="25"/>
      <c r="E15" s="30"/>
      <c r="F15" s="24"/>
      <c r="G15" s="24"/>
      <c r="H15" s="27"/>
      <c r="I15" s="25"/>
      <c r="J15" s="25">
        <f t="shared" si="1"/>
        <v>0</v>
      </c>
    </row>
    <row r="16" spans="1:21" x14ac:dyDescent="0.25">
      <c r="A16" s="24"/>
      <c r="B16" s="27"/>
      <c r="C16" s="25"/>
      <c r="D16" s="25"/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/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/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/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2075</v>
      </c>
      <c r="C20" s="25"/>
      <c r="D20" s="25"/>
      <c r="E20" s="30"/>
      <c r="F20" s="24"/>
      <c r="G20" s="24"/>
      <c r="H20" s="27">
        <f>SUM(H3:H19)</f>
        <v>1000</v>
      </c>
      <c r="I20" s="25"/>
      <c r="J20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pane ySplit="1" topLeftCell="A40" activePane="bottomLeft" state="frozen"/>
      <selection pane="bottomLeft" activeCell="C60" sqref="C60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3.42578125" style="26" customWidth="1"/>
    <col min="13" max="16384" width="8.85546875" style="26"/>
  </cols>
  <sheetData>
    <row r="1" spans="1:20" s="60" customFormat="1" ht="42.75" x14ac:dyDescent="0.25">
      <c r="A1" s="57" t="s">
        <v>17</v>
      </c>
      <c r="B1" s="57" t="s">
        <v>34</v>
      </c>
      <c r="C1" s="58" t="s">
        <v>18</v>
      </c>
      <c r="D1" s="58" t="s">
        <v>19</v>
      </c>
      <c r="E1" s="58"/>
      <c r="F1" s="57" t="s">
        <v>22</v>
      </c>
      <c r="G1" s="57" t="s">
        <v>34</v>
      </c>
      <c r="H1" s="58" t="s">
        <v>18</v>
      </c>
      <c r="I1" s="58" t="s">
        <v>19</v>
      </c>
      <c r="J1" s="59"/>
      <c r="K1" s="59"/>
      <c r="L1" s="57" t="s">
        <v>34</v>
      </c>
      <c r="M1" s="57"/>
      <c r="N1" s="57"/>
      <c r="O1" s="57"/>
      <c r="P1" s="57"/>
    </row>
    <row r="2" spans="1:20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5"/>
      <c r="I2" s="25"/>
      <c r="K2" s="31"/>
      <c r="L2" s="27">
        <f>0+B65-G65</f>
        <v>1440</v>
      </c>
      <c r="M2" s="27"/>
      <c r="N2" s="27"/>
      <c r="O2" s="27"/>
      <c r="P2" s="27"/>
      <c r="Q2" s="31"/>
      <c r="R2" s="31"/>
      <c r="S2" s="31"/>
      <c r="T2" s="31"/>
    </row>
    <row r="3" spans="1:20" x14ac:dyDescent="0.25">
      <c r="A3" s="28">
        <v>45513</v>
      </c>
      <c r="B3" s="27">
        <v>1000</v>
      </c>
      <c r="C3" s="25">
        <v>18</v>
      </c>
      <c r="D3" s="25">
        <f>B3*C3</f>
        <v>18000</v>
      </c>
      <c r="E3" s="30"/>
      <c r="F3" s="28"/>
      <c r="G3" s="27"/>
      <c r="H3" s="25"/>
      <c r="I3" s="25">
        <f>G3*H3</f>
        <v>0</v>
      </c>
      <c r="L3" s="25">
        <v>24</v>
      </c>
      <c r="M3" s="25"/>
      <c r="N3" s="25"/>
      <c r="O3" s="25"/>
      <c r="P3" s="25"/>
      <c r="Q3" s="29"/>
      <c r="R3" s="29"/>
      <c r="S3" s="29"/>
    </row>
    <row r="4" spans="1:20" x14ac:dyDescent="0.25">
      <c r="A4" s="24"/>
      <c r="B4" s="27"/>
      <c r="C4" s="25"/>
      <c r="D4" s="25"/>
      <c r="E4" s="30"/>
      <c r="F4" s="24"/>
      <c r="G4" s="27">
        <v>6.5</v>
      </c>
      <c r="H4" s="25">
        <v>18</v>
      </c>
      <c r="I4" s="25">
        <f t="shared" ref="I4:I64" si="0">G4*H4</f>
        <v>117</v>
      </c>
      <c r="L4" s="25">
        <f>L2*L3</f>
        <v>34560</v>
      </c>
      <c r="M4" s="25"/>
      <c r="N4" s="25"/>
      <c r="O4" s="25"/>
      <c r="P4" s="25"/>
      <c r="Q4" s="29"/>
      <c r="R4" s="29"/>
      <c r="S4" s="29"/>
    </row>
    <row r="5" spans="1:20" x14ac:dyDescent="0.25">
      <c r="A5" s="24"/>
      <c r="B5" s="27"/>
      <c r="C5" s="25"/>
      <c r="D5" s="25"/>
      <c r="E5" s="30"/>
      <c r="F5" s="28">
        <v>45535</v>
      </c>
      <c r="G5" s="27">
        <v>5</v>
      </c>
      <c r="H5" s="25">
        <v>18</v>
      </c>
      <c r="I5" s="25">
        <f t="shared" si="0"/>
        <v>90</v>
      </c>
    </row>
    <row r="6" spans="1:20" ht="16.5" thickBot="1" x14ac:dyDescent="0.3">
      <c r="A6" s="123"/>
      <c r="B6" s="124"/>
      <c r="C6" s="125"/>
      <c r="D6" s="125"/>
      <c r="E6" s="126"/>
      <c r="F6" s="123"/>
      <c r="G6" s="124">
        <v>1</v>
      </c>
      <c r="H6" s="125">
        <v>18</v>
      </c>
      <c r="I6" s="125">
        <f t="shared" si="0"/>
        <v>18</v>
      </c>
    </row>
    <row r="7" spans="1:20" x14ac:dyDescent="0.25">
      <c r="A7" s="118"/>
      <c r="B7" s="119"/>
      <c r="C7" s="120"/>
      <c r="D7" s="120"/>
      <c r="E7" s="121"/>
      <c r="F7" s="122">
        <v>45567</v>
      </c>
      <c r="G7" s="119">
        <v>6.5</v>
      </c>
      <c r="H7" s="120">
        <v>18</v>
      </c>
      <c r="I7" s="120">
        <f t="shared" si="0"/>
        <v>117</v>
      </c>
    </row>
    <row r="8" spans="1:20" x14ac:dyDescent="0.25">
      <c r="A8" s="24"/>
      <c r="B8" s="27"/>
      <c r="C8" s="25"/>
      <c r="D8" s="25"/>
      <c r="E8" s="30"/>
      <c r="F8" s="28">
        <v>45568</v>
      </c>
      <c r="G8" s="27">
        <v>7</v>
      </c>
      <c r="H8" s="25">
        <v>18</v>
      </c>
      <c r="I8" s="25">
        <f t="shared" si="0"/>
        <v>126</v>
      </c>
    </row>
    <row r="9" spans="1:20" x14ac:dyDescent="0.25">
      <c r="A9" s="24"/>
      <c r="B9" s="27"/>
      <c r="C9" s="25"/>
      <c r="D9" s="25"/>
      <c r="E9" s="30"/>
      <c r="F9" s="28">
        <v>45576</v>
      </c>
      <c r="G9" s="133">
        <v>24</v>
      </c>
      <c r="H9" s="25">
        <v>18</v>
      </c>
      <c r="I9" s="25">
        <f t="shared" si="0"/>
        <v>432</v>
      </c>
      <c r="J9" s="134" t="s">
        <v>50</v>
      </c>
    </row>
    <row r="10" spans="1:20" x14ac:dyDescent="0.25">
      <c r="A10" s="24"/>
      <c r="B10" s="27"/>
      <c r="C10" s="25"/>
      <c r="D10" s="25"/>
      <c r="E10" s="30"/>
      <c r="F10" s="28">
        <v>45580</v>
      </c>
      <c r="G10" s="27">
        <v>7.5</v>
      </c>
      <c r="H10" s="25">
        <v>18</v>
      </c>
      <c r="I10" s="25">
        <f t="shared" si="0"/>
        <v>135</v>
      </c>
    </row>
    <row r="11" spans="1:20" x14ac:dyDescent="0.25">
      <c r="A11" s="24"/>
      <c r="B11" s="27"/>
      <c r="C11" s="25"/>
      <c r="D11" s="25"/>
      <c r="E11" s="30"/>
      <c r="F11" s="28">
        <v>45583</v>
      </c>
      <c r="G11" s="27">
        <v>10.4</v>
      </c>
      <c r="H11" s="25">
        <v>18</v>
      </c>
      <c r="I11" s="25">
        <f t="shared" si="0"/>
        <v>187.20000000000002</v>
      </c>
    </row>
    <row r="12" spans="1:20" x14ac:dyDescent="0.25">
      <c r="A12" s="24"/>
      <c r="B12" s="27"/>
      <c r="C12" s="25"/>
      <c r="D12" s="25"/>
      <c r="E12" s="30"/>
      <c r="F12" s="28">
        <v>45589</v>
      </c>
      <c r="G12" s="27">
        <v>0.3</v>
      </c>
      <c r="H12" s="25">
        <v>18</v>
      </c>
      <c r="I12" s="25">
        <f t="shared" si="0"/>
        <v>5.3999999999999995</v>
      </c>
    </row>
    <row r="13" spans="1:20" x14ac:dyDescent="0.25">
      <c r="A13" s="24"/>
      <c r="B13" s="27"/>
      <c r="C13" s="25"/>
      <c r="D13" s="25"/>
      <c r="E13" s="30"/>
      <c r="F13" s="28">
        <v>45593</v>
      </c>
      <c r="G13" s="27">
        <v>100</v>
      </c>
      <c r="H13" s="25">
        <v>18</v>
      </c>
      <c r="I13" s="25">
        <f t="shared" si="0"/>
        <v>1800</v>
      </c>
    </row>
    <row r="14" spans="1:20" x14ac:dyDescent="0.25">
      <c r="A14" s="24"/>
      <c r="B14" s="27"/>
      <c r="C14" s="25"/>
      <c r="D14" s="25"/>
      <c r="E14" s="30"/>
      <c r="F14" s="28">
        <v>45595</v>
      </c>
      <c r="G14" s="27">
        <v>31.8</v>
      </c>
      <c r="H14" s="25">
        <v>18</v>
      </c>
      <c r="I14" s="25">
        <f t="shared" si="0"/>
        <v>572.4</v>
      </c>
    </row>
    <row r="15" spans="1:20" x14ac:dyDescent="0.25">
      <c r="A15" s="24"/>
      <c r="B15" s="27"/>
      <c r="C15" s="25"/>
      <c r="D15" s="25"/>
      <c r="E15" s="30"/>
      <c r="F15" s="28">
        <v>45604</v>
      </c>
      <c r="G15" s="27">
        <v>50</v>
      </c>
      <c r="H15" s="25">
        <v>18</v>
      </c>
      <c r="I15" s="25">
        <f t="shared" si="0"/>
        <v>900</v>
      </c>
    </row>
    <row r="16" spans="1:20" x14ac:dyDescent="0.25">
      <c r="A16" s="24"/>
      <c r="B16" s="27"/>
      <c r="C16" s="25"/>
      <c r="D16" s="25"/>
      <c r="E16" s="30"/>
      <c r="F16" s="28">
        <v>45630</v>
      </c>
      <c r="G16" s="27">
        <v>50</v>
      </c>
      <c r="H16" s="25">
        <v>18</v>
      </c>
      <c r="I16" s="25">
        <f t="shared" si="0"/>
        <v>900</v>
      </c>
    </row>
    <row r="17" spans="1:9" x14ac:dyDescent="0.25">
      <c r="A17" s="24"/>
      <c r="B17" s="27"/>
      <c r="C17" s="25"/>
      <c r="D17" s="25"/>
      <c r="E17" s="30"/>
      <c r="F17" s="28">
        <v>46014</v>
      </c>
      <c r="G17" s="27">
        <v>50</v>
      </c>
      <c r="H17" s="25">
        <v>18</v>
      </c>
      <c r="I17" s="25">
        <f t="shared" si="0"/>
        <v>900</v>
      </c>
    </row>
    <row r="18" spans="1:9" x14ac:dyDescent="0.25">
      <c r="A18" s="166"/>
      <c r="B18" s="167"/>
      <c r="C18" s="168"/>
      <c r="D18" s="168"/>
      <c r="E18" s="168"/>
      <c r="F18" s="169" t="s">
        <v>108</v>
      </c>
      <c r="G18" s="167"/>
      <c r="H18" s="168"/>
      <c r="I18" s="168">
        <f t="shared" si="0"/>
        <v>0</v>
      </c>
    </row>
    <row r="19" spans="1:9" x14ac:dyDescent="0.25">
      <c r="A19" s="24"/>
      <c r="B19" s="27"/>
      <c r="C19" s="25"/>
      <c r="D19" s="25"/>
      <c r="E19" s="30"/>
      <c r="F19" s="28">
        <v>45673</v>
      </c>
      <c r="G19" s="27">
        <v>200</v>
      </c>
      <c r="H19" s="25">
        <v>18</v>
      </c>
      <c r="I19" s="25">
        <f t="shared" si="0"/>
        <v>3600</v>
      </c>
    </row>
    <row r="20" spans="1:9" x14ac:dyDescent="0.25">
      <c r="A20" s="24"/>
      <c r="B20" s="27"/>
      <c r="C20" s="25"/>
      <c r="D20" s="25"/>
      <c r="E20" s="30"/>
      <c r="F20" s="28">
        <v>45674</v>
      </c>
      <c r="G20" s="27">
        <v>100</v>
      </c>
      <c r="H20" s="25">
        <v>18</v>
      </c>
      <c r="I20" s="25">
        <f t="shared" si="0"/>
        <v>1800</v>
      </c>
    </row>
    <row r="21" spans="1:9" x14ac:dyDescent="0.25">
      <c r="A21" s="24"/>
      <c r="B21" s="27"/>
      <c r="C21" s="25"/>
      <c r="D21" s="25"/>
      <c r="E21" s="30"/>
      <c r="F21" s="28">
        <v>45677</v>
      </c>
      <c r="G21" s="27">
        <v>100</v>
      </c>
      <c r="H21" s="25">
        <v>18</v>
      </c>
      <c r="I21" s="25">
        <f t="shared" si="0"/>
        <v>1800</v>
      </c>
    </row>
    <row r="22" spans="1:9" x14ac:dyDescent="0.25">
      <c r="A22" s="28">
        <v>45678</v>
      </c>
      <c r="B22" s="27">
        <v>1000</v>
      </c>
      <c r="C22" s="25">
        <v>24</v>
      </c>
      <c r="D22" s="25">
        <f>B22*C22</f>
        <v>24000</v>
      </c>
      <c r="E22" s="30"/>
      <c r="F22" s="28">
        <v>45678</v>
      </c>
      <c r="G22" s="27">
        <v>250</v>
      </c>
      <c r="H22" s="25">
        <v>18</v>
      </c>
      <c r="I22" s="25">
        <f t="shared" si="0"/>
        <v>4500</v>
      </c>
    </row>
    <row r="23" spans="1:9" x14ac:dyDescent="0.25">
      <c r="A23" s="24"/>
      <c r="B23" s="27"/>
      <c r="C23" s="25"/>
      <c r="D23" s="25">
        <f t="shared" ref="D23:D64" si="1">B23*C23</f>
        <v>0</v>
      </c>
      <c r="E23" s="30"/>
      <c r="F23" s="28"/>
      <c r="G23" s="27">
        <v>100</v>
      </c>
      <c r="H23" s="61">
        <v>24</v>
      </c>
      <c r="I23" s="25">
        <f t="shared" si="0"/>
        <v>2400</v>
      </c>
    </row>
    <row r="24" spans="1:9" x14ac:dyDescent="0.25">
      <c r="A24" s="24"/>
      <c r="B24" s="27"/>
      <c r="C24" s="25"/>
      <c r="D24" s="25">
        <f t="shared" si="1"/>
        <v>0</v>
      </c>
      <c r="E24" s="30"/>
      <c r="F24" s="28">
        <v>45679</v>
      </c>
      <c r="G24" s="27">
        <v>100</v>
      </c>
      <c r="H24" s="25">
        <v>24</v>
      </c>
      <c r="I24" s="25">
        <f t="shared" si="0"/>
        <v>2400</v>
      </c>
    </row>
    <row r="25" spans="1:9" x14ac:dyDescent="0.25">
      <c r="A25" s="24"/>
      <c r="B25" s="27"/>
      <c r="C25" s="25"/>
      <c r="D25" s="25">
        <f t="shared" si="1"/>
        <v>0</v>
      </c>
      <c r="E25" s="30"/>
      <c r="F25" s="28">
        <v>45685</v>
      </c>
      <c r="G25" s="27">
        <v>50</v>
      </c>
      <c r="H25" s="25">
        <v>24</v>
      </c>
      <c r="I25" s="25">
        <f t="shared" si="0"/>
        <v>1200</v>
      </c>
    </row>
    <row r="26" spans="1:9" x14ac:dyDescent="0.25">
      <c r="A26" s="24"/>
      <c r="B26" s="27"/>
      <c r="C26" s="25"/>
      <c r="D26" s="25">
        <f t="shared" si="1"/>
        <v>0</v>
      </c>
      <c r="E26" s="30"/>
      <c r="F26" s="169" t="s">
        <v>136</v>
      </c>
      <c r="G26" s="141">
        <v>50</v>
      </c>
      <c r="H26" s="148">
        <v>24</v>
      </c>
      <c r="I26" s="148">
        <f t="shared" si="0"/>
        <v>1200</v>
      </c>
    </row>
    <row r="27" spans="1:9" x14ac:dyDescent="0.25">
      <c r="A27" s="24"/>
      <c r="B27" s="27"/>
      <c r="C27" s="25"/>
      <c r="D27" s="25">
        <f t="shared" si="1"/>
        <v>0</v>
      </c>
      <c r="E27" s="30"/>
      <c r="F27" s="28">
        <v>45698</v>
      </c>
      <c r="G27" s="27">
        <v>250</v>
      </c>
      <c r="H27" s="25">
        <v>24</v>
      </c>
      <c r="I27" s="25">
        <f t="shared" si="0"/>
        <v>6000</v>
      </c>
    </row>
    <row r="28" spans="1:9" x14ac:dyDescent="0.25">
      <c r="A28" s="24"/>
      <c r="B28" s="27"/>
      <c r="C28" s="25"/>
      <c r="D28" s="25">
        <f t="shared" si="1"/>
        <v>0</v>
      </c>
      <c r="E28" s="30"/>
      <c r="F28" s="28">
        <v>45699</v>
      </c>
      <c r="G28" s="27">
        <v>150</v>
      </c>
      <c r="H28" s="25">
        <v>24</v>
      </c>
      <c r="I28" s="25">
        <f t="shared" si="0"/>
        <v>3600</v>
      </c>
    </row>
    <row r="29" spans="1:9" x14ac:dyDescent="0.25">
      <c r="A29" s="28">
        <v>45700</v>
      </c>
      <c r="B29" s="27">
        <v>1000</v>
      </c>
      <c r="C29" s="25">
        <v>24</v>
      </c>
      <c r="D29" s="25">
        <f t="shared" si="1"/>
        <v>24000</v>
      </c>
      <c r="E29" s="30"/>
      <c r="F29" s="28">
        <v>45700</v>
      </c>
      <c r="G29" s="27">
        <v>200</v>
      </c>
      <c r="H29" s="25">
        <v>24</v>
      </c>
      <c r="I29" s="25">
        <f t="shared" si="0"/>
        <v>4800</v>
      </c>
    </row>
    <row r="30" spans="1:9" x14ac:dyDescent="0.25">
      <c r="A30" s="24"/>
      <c r="B30" s="27"/>
      <c r="C30" s="25"/>
      <c r="D30" s="25">
        <f t="shared" si="1"/>
        <v>0</v>
      </c>
      <c r="E30" s="30"/>
      <c r="F30" s="28">
        <v>45701</v>
      </c>
      <c r="G30" s="27">
        <v>200</v>
      </c>
      <c r="H30" s="25">
        <v>24</v>
      </c>
      <c r="I30" s="25">
        <f t="shared" si="0"/>
        <v>4800</v>
      </c>
    </row>
    <row r="31" spans="1:9" x14ac:dyDescent="0.25">
      <c r="A31" s="24"/>
      <c r="B31" s="27"/>
      <c r="C31" s="25"/>
      <c r="D31" s="25">
        <f t="shared" si="1"/>
        <v>0</v>
      </c>
      <c r="E31" s="30"/>
      <c r="F31" s="28">
        <v>45702</v>
      </c>
      <c r="G31" s="27">
        <v>250</v>
      </c>
      <c r="H31" s="25">
        <v>24</v>
      </c>
      <c r="I31" s="25">
        <f t="shared" si="0"/>
        <v>6000</v>
      </c>
    </row>
    <row r="32" spans="1:9" x14ac:dyDescent="0.25">
      <c r="A32" s="24"/>
      <c r="B32" s="27"/>
      <c r="C32" s="25"/>
      <c r="D32" s="25">
        <f t="shared" si="1"/>
        <v>0</v>
      </c>
      <c r="E32" s="30"/>
      <c r="F32" s="28">
        <v>45705</v>
      </c>
      <c r="G32" s="27">
        <v>50</v>
      </c>
      <c r="H32" s="25">
        <v>24</v>
      </c>
      <c r="I32" s="25">
        <f t="shared" si="0"/>
        <v>1200</v>
      </c>
    </row>
    <row r="33" spans="1:9" ht="16.5" thickBot="1" x14ac:dyDescent="0.3">
      <c r="A33" s="166"/>
      <c r="B33" s="167"/>
      <c r="C33" s="168"/>
      <c r="D33" s="168">
        <f t="shared" si="1"/>
        <v>0</v>
      </c>
      <c r="E33" s="168"/>
      <c r="F33" s="232" t="s">
        <v>135</v>
      </c>
      <c r="G33" s="234"/>
      <c r="H33" s="235"/>
      <c r="I33" s="235">
        <f t="shared" si="0"/>
        <v>0</v>
      </c>
    </row>
    <row r="34" spans="1:9" x14ac:dyDescent="0.25">
      <c r="A34" s="24"/>
      <c r="B34" s="27"/>
      <c r="C34" s="25"/>
      <c r="D34" s="25">
        <f t="shared" si="1"/>
        <v>0</v>
      </c>
      <c r="E34" s="231"/>
      <c r="F34" s="236">
        <v>45719</v>
      </c>
      <c r="G34" s="237">
        <v>100</v>
      </c>
      <c r="H34" s="238">
        <v>24</v>
      </c>
      <c r="I34" s="239">
        <f t="shared" si="0"/>
        <v>2400</v>
      </c>
    </row>
    <row r="35" spans="1:9" x14ac:dyDescent="0.25">
      <c r="A35" s="24"/>
      <c r="B35" s="27"/>
      <c r="C35" s="25"/>
      <c r="D35" s="25">
        <f t="shared" si="1"/>
        <v>0</v>
      </c>
      <c r="E35" s="231"/>
      <c r="F35" s="240">
        <v>45720</v>
      </c>
      <c r="G35" s="27">
        <v>50</v>
      </c>
      <c r="H35" s="25">
        <v>24</v>
      </c>
      <c r="I35" s="241">
        <f t="shared" si="0"/>
        <v>1200</v>
      </c>
    </row>
    <row r="36" spans="1:9" ht="16.5" thickBot="1" x14ac:dyDescent="0.3">
      <c r="A36" s="24"/>
      <c r="B36" s="27"/>
      <c r="C36" s="25"/>
      <c r="D36" s="25">
        <f t="shared" si="1"/>
        <v>0</v>
      </c>
      <c r="E36" s="231"/>
      <c r="F36" s="242">
        <v>45723</v>
      </c>
      <c r="G36" s="124">
        <v>450</v>
      </c>
      <c r="H36" s="125">
        <v>24</v>
      </c>
      <c r="I36" s="243">
        <f t="shared" si="0"/>
        <v>10800</v>
      </c>
    </row>
    <row r="37" spans="1:9" ht="16.5" thickBot="1" x14ac:dyDescent="0.3">
      <c r="A37" s="28">
        <v>45727</v>
      </c>
      <c r="B37" s="27">
        <v>1000</v>
      </c>
      <c r="C37" s="25">
        <v>24</v>
      </c>
      <c r="D37" s="25">
        <f t="shared" si="1"/>
        <v>24000</v>
      </c>
      <c r="E37" s="231"/>
      <c r="F37" s="276">
        <v>45729</v>
      </c>
      <c r="G37" s="253">
        <v>50</v>
      </c>
      <c r="H37" s="254">
        <v>24</v>
      </c>
      <c r="I37" s="255">
        <f t="shared" si="0"/>
        <v>1200</v>
      </c>
    </row>
    <row r="38" spans="1:9" ht="16.5" thickBot="1" x14ac:dyDescent="0.3">
      <c r="A38" s="24"/>
      <c r="B38" s="27"/>
      <c r="C38" s="25"/>
      <c r="D38" s="25">
        <f t="shared" si="1"/>
        <v>0</v>
      </c>
      <c r="E38" s="231"/>
      <c r="F38" s="276">
        <v>45735</v>
      </c>
      <c r="G38" s="253">
        <v>50</v>
      </c>
      <c r="H38" s="254">
        <v>24</v>
      </c>
      <c r="I38" s="255">
        <f t="shared" si="0"/>
        <v>1200</v>
      </c>
    </row>
    <row r="39" spans="1:9" x14ac:dyDescent="0.25">
      <c r="A39" s="24"/>
      <c r="B39" s="27"/>
      <c r="C39" s="25"/>
      <c r="D39" s="25">
        <f t="shared" si="1"/>
        <v>0</v>
      </c>
      <c r="E39" s="231"/>
      <c r="F39" s="236">
        <v>45740</v>
      </c>
      <c r="G39" s="237">
        <v>50</v>
      </c>
      <c r="H39" s="238">
        <v>24</v>
      </c>
      <c r="I39" s="239">
        <f t="shared" si="0"/>
        <v>1200</v>
      </c>
    </row>
    <row r="40" spans="1:9" x14ac:dyDescent="0.25">
      <c r="A40" s="24"/>
      <c r="B40" s="27"/>
      <c r="C40" s="25"/>
      <c r="D40" s="25">
        <f t="shared" si="1"/>
        <v>0</v>
      </c>
      <c r="E40" s="231"/>
      <c r="F40" s="240">
        <v>45742</v>
      </c>
      <c r="G40" s="27">
        <v>150</v>
      </c>
      <c r="H40" s="25">
        <v>24</v>
      </c>
      <c r="I40" s="241">
        <f t="shared" si="0"/>
        <v>3600</v>
      </c>
    </row>
    <row r="41" spans="1:9" x14ac:dyDescent="0.25">
      <c r="A41" s="24"/>
      <c r="B41" s="27"/>
      <c r="C41" s="25"/>
      <c r="D41" s="25">
        <f t="shared" si="1"/>
        <v>0</v>
      </c>
      <c r="E41" s="231"/>
      <c r="F41" s="240">
        <v>45743</v>
      </c>
      <c r="G41" s="27">
        <v>100</v>
      </c>
      <c r="H41" s="25">
        <v>24</v>
      </c>
      <c r="I41" s="241">
        <f t="shared" si="0"/>
        <v>2400</v>
      </c>
    </row>
    <row r="42" spans="1:9" ht="16.5" thickBot="1" x14ac:dyDescent="0.3">
      <c r="A42" s="24"/>
      <c r="B42" s="27"/>
      <c r="C42" s="25"/>
      <c r="D42" s="25">
        <f t="shared" si="1"/>
        <v>0</v>
      </c>
      <c r="E42" s="231"/>
      <c r="F42" s="242">
        <v>45747</v>
      </c>
      <c r="G42" s="124">
        <v>350</v>
      </c>
      <c r="H42" s="125">
        <v>24</v>
      </c>
      <c r="I42" s="243">
        <f t="shared" si="0"/>
        <v>8400</v>
      </c>
    </row>
    <row r="43" spans="1:9" x14ac:dyDescent="0.25">
      <c r="A43" s="24"/>
      <c r="B43" s="27"/>
      <c r="C43" s="25"/>
      <c r="D43" s="25">
        <f t="shared" si="1"/>
        <v>0</v>
      </c>
      <c r="E43" s="231"/>
      <c r="F43" s="236">
        <v>45748</v>
      </c>
      <c r="G43" s="237">
        <v>250</v>
      </c>
      <c r="H43" s="238">
        <v>24</v>
      </c>
      <c r="I43" s="239">
        <f t="shared" si="0"/>
        <v>6000</v>
      </c>
    </row>
    <row r="44" spans="1:9" x14ac:dyDescent="0.25">
      <c r="A44" s="28">
        <v>45749</v>
      </c>
      <c r="B44" s="27">
        <v>1000</v>
      </c>
      <c r="C44" s="25">
        <v>24</v>
      </c>
      <c r="D44" s="25">
        <f t="shared" si="1"/>
        <v>24000</v>
      </c>
      <c r="E44" s="231"/>
      <c r="F44" s="301">
        <v>45749</v>
      </c>
      <c r="G44" s="27">
        <v>50</v>
      </c>
      <c r="H44" s="25">
        <v>24</v>
      </c>
      <c r="I44" s="241">
        <f t="shared" si="0"/>
        <v>1200</v>
      </c>
    </row>
    <row r="45" spans="1:9" ht="16.5" thickBot="1" x14ac:dyDescent="0.3">
      <c r="A45" s="24"/>
      <c r="B45" s="27"/>
      <c r="C45" s="25"/>
      <c r="D45" s="25">
        <f t="shared" si="1"/>
        <v>0</v>
      </c>
      <c r="E45" s="231"/>
      <c r="F45" s="306">
        <v>45750</v>
      </c>
      <c r="G45" s="124">
        <v>50</v>
      </c>
      <c r="H45" s="125">
        <v>24</v>
      </c>
      <c r="I45" s="243">
        <f t="shared" si="0"/>
        <v>1200</v>
      </c>
    </row>
    <row r="46" spans="1:9" x14ac:dyDescent="0.25">
      <c r="A46" s="24"/>
      <c r="B46" s="27"/>
      <c r="C46" s="25"/>
      <c r="D46" s="25">
        <f t="shared" si="1"/>
        <v>0</v>
      </c>
      <c r="E46" s="231"/>
      <c r="F46" s="236">
        <v>45757</v>
      </c>
      <c r="G46" s="237">
        <v>300</v>
      </c>
      <c r="H46" s="238">
        <v>24</v>
      </c>
      <c r="I46" s="239">
        <f t="shared" si="0"/>
        <v>7200</v>
      </c>
    </row>
    <row r="47" spans="1:9" x14ac:dyDescent="0.25">
      <c r="A47" s="24"/>
      <c r="B47" s="27"/>
      <c r="C47" s="25"/>
      <c r="D47" s="25">
        <f t="shared" si="1"/>
        <v>0</v>
      </c>
      <c r="E47" s="231"/>
      <c r="F47" s="240" t="s">
        <v>150</v>
      </c>
      <c r="G47" s="27">
        <v>50</v>
      </c>
      <c r="H47" s="25">
        <v>24</v>
      </c>
      <c r="I47" s="241">
        <f t="shared" si="0"/>
        <v>1200</v>
      </c>
    </row>
    <row r="48" spans="1:9" ht="16.5" thickBot="1" x14ac:dyDescent="0.3">
      <c r="A48" s="24"/>
      <c r="B48" s="27"/>
      <c r="C48" s="25"/>
      <c r="D48" s="25">
        <f t="shared" si="1"/>
        <v>0</v>
      </c>
      <c r="E48" s="231"/>
      <c r="F48" s="242">
        <v>45764</v>
      </c>
      <c r="G48" s="124">
        <v>50</v>
      </c>
      <c r="H48" s="125">
        <v>24</v>
      </c>
      <c r="I48" s="243">
        <f t="shared" si="0"/>
        <v>1200</v>
      </c>
    </row>
    <row r="49" spans="1:9" x14ac:dyDescent="0.25">
      <c r="A49" s="28">
        <v>45768</v>
      </c>
      <c r="B49" s="27">
        <v>1000</v>
      </c>
      <c r="C49" s="25">
        <v>24</v>
      </c>
      <c r="D49" s="25">
        <f t="shared" si="1"/>
        <v>24000</v>
      </c>
      <c r="E49" s="231"/>
      <c r="F49" s="236">
        <v>45768</v>
      </c>
      <c r="G49" s="237">
        <v>400</v>
      </c>
      <c r="H49" s="238">
        <v>24</v>
      </c>
      <c r="I49" s="239">
        <f t="shared" si="0"/>
        <v>9600</v>
      </c>
    </row>
    <row r="50" spans="1:9" x14ac:dyDescent="0.25">
      <c r="A50" s="24"/>
      <c r="B50" s="27"/>
      <c r="C50" s="25"/>
      <c r="D50" s="25">
        <f t="shared" si="1"/>
        <v>0</v>
      </c>
      <c r="E50" s="231"/>
      <c r="F50" s="301">
        <v>45769</v>
      </c>
      <c r="G50" s="27">
        <v>200</v>
      </c>
      <c r="H50" s="25">
        <v>24</v>
      </c>
      <c r="I50" s="241">
        <f t="shared" si="0"/>
        <v>4800</v>
      </c>
    </row>
    <row r="51" spans="1:9" x14ac:dyDescent="0.25">
      <c r="A51" s="24"/>
      <c r="B51" s="27"/>
      <c r="C51" s="25"/>
      <c r="D51" s="25">
        <f t="shared" si="1"/>
        <v>0</v>
      </c>
      <c r="E51" s="231"/>
      <c r="F51" s="240">
        <v>45771</v>
      </c>
      <c r="G51" s="27">
        <v>250</v>
      </c>
      <c r="H51" s="25">
        <v>24</v>
      </c>
      <c r="I51" s="241">
        <f t="shared" si="0"/>
        <v>6000</v>
      </c>
    </row>
    <row r="52" spans="1:9" x14ac:dyDescent="0.25">
      <c r="A52" s="24"/>
      <c r="B52" s="27"/>
      <c r="C52" s="25"/>
      <c r="D52" s="25">
        <f t="shared" si="1"/>
        <v>0</v>
      </c>
      <c r="E52" s="231"/>
      <c r="F52" s="240">
        <v>45775</v>
      </c>
      <c r="G52" s="27">
        <v>60</v>
      </c>
      <c r="H52" s="25">
        <v>24</v>
      </c>
      <c r="I52" s="241">
        <f t="shared" si="0"/>
        <v>1440</v>
      </c>
    </row>
    <row r="53" spans="1:9" ht="16.5" thickBot="1" x14ac:dyDescent="0.3">
      <c r="A53" s="24"/>
      <c r="B53" s="27"/>
      <c r="C53" s="25"/>
      <c r="D53" s="25">
        <f t="shared" si="1"/>
        <v>0</v>
      </c>
      <c r="E53" s="231"/>
      <c r="F53" s="242">
        <v>45776</v>
      </c>
      <c r="G53" s="124">
        <v>50</v>
      </c>
      <c r="H53" s="125">
        <v>24</v>
      </c>
      <c r="I53" s="243">
        <f t="shared" si="0"/>
        <v>1200</v>
      </c>
    </row>
    <row r="54" spans="1:9" ht="16.5" thickBot="1" x14ac:dyDescent="0.3">
      <c r="A54" s="24"/>
      <c r="B54" s="27"/>
      <c r="C54" s="25"/>
      <c r="D54" s="25">
        <f t="shared" si="1"/>
        <v>0</v>
      </c>
      <c r="E54" s="30"/>
      <c r="F54" s="122" t="s">
        <v>156</v>
      </c>
      <c r="G54" s="119">
        <v>50</v>
      </c>
      <c r="H54" s="125">
        <v>24</v>
      </c>
      <c r="I54" s="120">
        <f t="shared" si="0"/>
        <v>1200</v>
      </c>
    </row>
    <row r="55" spans="1:9" ht="16.5" thickBot="1" x14ac:dyDescent="0.3">
      <c r="A55" s="24"/>
      <c r="B55" s="27"/>
      <c r="C55" s="25"/>
      <c r="D55" s="25">
        <f t="shared" si="1"/>
        <v>0</v>
      </c>
      <c r="E55" s="30"/>
      <c r="F55" s="28" t="s">
        <v>161</v>
      </c>
      <c r="G55" s="27">
        <v>250</v>
      </c>
      <c r="H55" s="125">
        <v>24</v>
      </c>
      <c r="I55" s="25">
        <f t="shared" si="0"/>
        <v>6000</v>
      </c>
    </row>
    <row r="56" spans="1:9" ht="16.5" thickBot="1" x14ac:dyDescent="0.3">
      <c r="A56" s="24" t="s">
        <v>170</v>
      </c>
      <c r="B56" s="27">
        <v>2000</v>
      </c>
      <c r="C56" s="25">
        <v>24</v>
      </c>
      <c r="D56" s="25">
        <f t="shared" si="1"/>
        <v>48000</v>
      </c>
      <c r="E56" s="30"/>
      <c r="F56" s="28" t="s">
        <v>171</v>
      </c>
      <c r="G56" s="27">
        <v>250</v>
      </c>
      <c r="H56" s="125">
        <v>24</v>
      </c>
      <c r="I56" s="25">
        <f t="shared" si="0"/>
        <v>6000</v>
      </c>
    </row>
    <row r="57" spans="1:9" ht="16.5" thickBot="1" x14ac:dyDescent="0.3">
      <c r="A57" s="24"/>
      <c r="B57" s="27"/>
      <c r="C57" s="25"/>
      <c r="D57" s="25">
        <f t="shared" si="1"/>
        <v>0</v>
      </c>
      <c r="E57" s="30"/>
      <c r="F57" s="28" t="s">
        <v>172</v>
      </c>
      <c r="G57" s="27">
        <v>250</v>
      </c>
      <c r="H57" s="125">
        <v>24</v>
      </c>
      <c r="I57" s="25">
        <f t="shared" si="0"/>
        <v>6000</v>
      </c>
    </row>
    <row r="58" spans="1:9" ht="16.5" thickBot="1" x14ac:dyDescent="0.3">
      <c r="A58" s="24"/>
      <c r="B58" s="27"/>
      <c r="C58" s="25"/>
      <c r="D58" s="25">
        <f t="shared" si="1"/>
        <v>0</v>
      </c>
      <c r="E58" s="30"/>
      <c r="F58" s="28" t="s">
        <v>173</v>
      </c>
      <c r="G58" s="27">
        <v>300</v>
      </c>
      <c r="H58" s="125">
        <v>24</v>
      </c>
      <c r="I58" s="25">
        <f t="shared" si="0"/>
        <v>7200</v>
      </c>
    </row>
    <row r="59" spans="1:9" x14ac:dyDescent="0.25">
      <c r="A59" s="24"/>
      <c r="B59" s="27"/>
      <c r="C59" s="25"/>
      <c r="D59" s="25">
        <f t="shared" si="1"/>
        <v>0</v>
      </c>
      <c r="E59" s="30"/>
      <c r="F59" s="28"/>
      <c r="G59" s="27"/>
      <c r="H59" s="25"/>
      <c r="I59" s="25">
        <f t="shared" si="0"/>
        <v>0</v>
      </c>
    </row>
    <row r="60" spans="1:9" x14ac:dyDescent="0.25">
      <c r="A60" s="24"/>
      <c r="B60" s="27"/>
      <c r="C60" s="25"/>
      <c r="D60" s="25">
        <f t="shared" si="1"/>
        <v>0</v>
      </c>
      <c r="E60" s="30"/>
      <c r="F60" s="28"/>
      <c r="G60" s="27"/>
      <c r="H60" s="25"/>
      <c r="I60" s="25">
        <f t="shared" si="0"/>
        <v>0</v>
      </c>
    </row>
    <row r="61" spans="1:9" x14ac:dyDescent="0.25">
      <c r="A61" s="24"/>
      <c r="B61" s="27"/>
      <c r="C61" s="25"/>
      <c r="D61" s="25">
        <f t="shared" si="1"/>
        <v>0</v>
      </c>
      <c r="E61" s="30"/>
      <c r="F61" s="28"/>
      <c r="G61" s="27"/>
      <c r="H61" s="25"/>
      <c r="I61" s="25">
        <f t="shared" si="0"/>
        <v>0</v>
      </c>
    </row>
    <row r="62" spans="1:9" x14ac:dyDescent="0.25">
      <c r="A62" s="24"/>
      <c r="B62" s="27"/>
      <c r="C62" s="25"/>
      <c r="D62" s="25">
        <f t="shared" si="1"/>
        <v>0</v>
      </c>
      <c r="E62" s="30"/>
      <c r="F62" s="28"/>
      <c r="G62" s="27"/>
      <c r="H62" s="25"/>
      <c r="I62" s="25">
        <f t="shared" si="0"/>
        <v>0</v>
      </c>
    </row>
    <row r="63" spans="1:9" x14ac:dyDescent="0.25">
      <c r="A63" s="24"/>
      <c r="B63" s="27"/>
      <c r="C63" s="25"/>
      <c r="D63" s="25">
        <f t="shared" si="1"/>
        <v>0</v>
      </c>
      <c r="E63" s="30"/>
      <c r="F63" s="24"/>
      <c r="G63" s="27"/>
      <c r="H63" s="25"/>
      <c r="I63" s="25">
        <f t="shared" si="0"/>
        <v>0</v>
      </c>
    </row>
    <row r="64" spans="1:9" x14ac:dyDescent="0.25">
      <c r="A64" s="24"/>
      <c r="B64" s="27"/>
      <c r="C64" s="25"/>
      <c r="D64" s="25">
        <f t="shared" si="1"/>
        <v>0</v>
      </c>
      <c r="E64" s="30"/>
      <c r="F64" s="24"/>
      <c r="G64" s="27"/>
      <c r="H64" s="25"/>
      <c r="I64" s="25">
        <f t="shared" si="0"/>
        <v>0</v>
      </c>
    </row>
    <row r="65" spans="1:9" x14ac:dyDescent="0.25">
      <c r="A65" s="24"/>
      <c r="B65" s="27">
        <f>SUM(B3:B64)</f>
        <v>8000</v>
      </c>
      <c r="C65" s="25"/>
      <c r="D65" s="25"/>
      <c r="E65" s="30"/>
      <c r="F65" s="24"/>
      <c r="G65" s="27">
        <f>SUM(G3:G64)</f>
        <v>6560</v>
      </c>
      <c r="H65" s="25"/>
      <c r="I65" s="25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5"/>
  <sheetViews>
    <sheetView workbookViewId="0">
      <pane ySplit="1" topLeftCell="A2" activePane="bottomLeft" state="frozen"/>
      <selection pane="bottomLeft" activeCell="P2" sqref="P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11" width="11.28515625" style="26" customWidth="1"/>
    <col min="12" max="12" width="10.5703125" style="29" customWidth="1"/>
    <col min="13" max="13" width="14.42578125" style="29" bestFit="1" customWidth="1"/>
    <col min="14" max="15" width="8.85546875" style="26"/>
    <col min="16" max="16" width="14.42578125" style="26" bestFit="1" customWidth="1"/>
    <col min="17" max="16384" width="8.85546875" style="26"/>
  </cols>
  <sheetData>
    <row r="1" spans="1:24" s="60" customFormat="1" ht="42.75" x14ac:dyDescent="0.25">
      <c r="A1" s="57" t="s">
        <v>17</v>
      </c>
      <c r="B1" s="57" t="s">
        <v>32</v>
      </c>
      <c r="C1" s="57" t="s">
        <v>32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32</v>
      </c>
      <c r="J1" s="57" t="s">
        <v>32</v>
      </c>
      <c r="K1" s="57"/>
      <c r="L1" s="58" t="s">
        <v>18</v>
      </c>
      <c r="M1" s="58" t="s">
        <v>19</v>
      </c>
      <c r="N1" s="59"/>
      <c r="O1" s="59"/>
      <c r="P1" s="57" t="s">
        <v>32</v>
      </c>
      <c r="Q1" s="57" t="s">
        <v>32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5"/>
      <c r="M2" s="25"/>
      <c r="O2" s="31"/>
      <c r="P2" s="27">
        <f>0+B95-I95</f>
        <v>-256</v>
      </c>
      <c r="Q2" s="27">
        <f>0+C95-J95</f>
        <v>0</v>
      </c>
      <c r="R2" s="27"/>
      <c r="S2" s="27"/>
      <c r="T2" s="27"/>
      <c r="U2" s="31"/>
      <c r="V2" s="31"/>
      <c r="W2" s="31"/>
      <c r="X2" s="31"/>
    </row>
    <row r="3" spans="1:24" x14ac:dyDescent="0.25">
      <c r="A3" s="28">
        <v>45517</v>
      </c>
      <c r="B3" s="27">
        <v>2520</v>
      </c>
      <c r="C3" s="27"/>
      <c r="D3" s="27"/>
      <c r="E3" s="25">
        <v>56</v>
      </c>
      <c r="F3" s="25">
        <f>B3*E3+C3*E3+D3*E3</f>
        <v>141120</v>
      </c>
      <c r="G3" s="30"/>
      <c r="H3" s="28"/>
      <c r="I3" s="27"/>
      <c r="J3" s="27"/>
      <c r="K3" s="27"/>
      <c r="L3" s="25"/>
      <c r="M3" s="25">
        <f>I3*L3+J3*L3+K3*L3</f>
        <v>0</v>
      </c>
      <c r="P3" s="25">
        <v>57</v>
      </c>
      <c r="Q3" s="25">
        <v>59</v>
      </c>
      <c r="R3" s="25"/>
      <c r="S3" s="25"/>
      <c r="T3" s="25"/>
      <c r="U3" s="29"/>
      <c r="V3" s="29"/>
      <c r="W3" s="29"/>
    </row>
    <row r="4" spans="1:24" x14ac:dyDescent="0.25">
      <c r="A4" s="24"/>
      <c r="B4" s="27"/>
      <c r="C4" s="27"/>
      <c r="D4" s="27"/>
      <c r="E4" s="25"/>
      <c r="F4" s="25">
        <f t="shared" ref="F4:F94" si="0">B4*E4+C4*E4+D4*E4</f>
        <v>0</v>
      </c>
      <c r="G4" s="30"/>
      <c r="H4" s="24"/>
      <c r="I4" s="116">
        <v>10</v>
      </c>
      <c r="J4" s="116"/>
      <c r="K4" s="116"/>
      <c r="L4" s="25">
        <v>56</v>
      </c>
      <c r="M4" s="25">
        <f t="shared" ref="M4:M93" si="1">I4*L4+J4*L4+K4*L4</f>
        <v>560</v>
      </c>
      <c r="P4" s="25">
        <f>P2*P3</f>
        <v>-14592</v>
      </c>
      <c r="Q4" s="25">
        <f>Q2*Q3</f>
        <v>0</v>
      </c>
      <c r="R4" s="25"/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45535</v>
      </c>
      <c r="I5" s="27">
        <v>10</v>
      </c>
      <c r="J5" s="27"/>
      <c r="K5" s="27"/>
      <c r="L5" s="25">
        <v>56</v>
      </c>
      <c r="M5" s="25">
        <f t="shared" si="1"/>
        <v>560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45545</v>
      </c>
      <c r="I6" s="27">
        <v>13</v>
      </c>
      <c r="J6" s="27"/>
      <c r="K6" s="27"/>
      <c r="L6" s="25">
        <v>56</v>
      </c>
      <c r="M6" s="25">
        <f t="shared" si="1"/>
        <v>728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45551</v>
      </c>
      <c r="I7" s="27">
        <v>10</v>
      </c>
      <c r="J7" s="27"/>
      <c r="K7" s="27"/>
      <c r="L7" s="25">
        <v>56</v>
      </c>
      <c r="M7" s="25">
        <f t="shared" si="1"/>
        <v>560</v>
      </c>
    </row>
    <row r="8" spans="1:24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45558</v>
      </c>
      <c r="I8" s="27">
        <v>10</v>
      </c>
      <c r="J8" s="27"/>
      <c r="K8" s="27"/>
      <c r="L8" s="25">
        <v>56</v>
      </c>
      <c r="M8" s="25">
        <f t="shared" si="1"/>
        <v>560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45560</v>
      </c>
      <c r="I9" s="27">
        <v>10</v>
      </c>
      <c r="J9" s="27"/>
      <c r="K9" s="27"/>
      <c r="L9" s="25">
        <v>56</v>
      </c>
      <c r="M9" s="25">
        <f t="shared" si="1"/>
        <v>560</v>
      </c>
    </row>
    <row r="10" spans="1:24" ht="16.5" thickBot="1" x14ac:dyDescent="0.3">
      <c r="A10" s="123"/>
      <c r="B10" s="124"/>
      <c r="C10" s="124"/>
      <c r="D10" s="124"/>
      <c r="E10" s="125"/>
      <c r="F10" s="25">
        <f t="shared" si="0"/>
        <v>0</v>
      </c>
      <c r="G10" s="126"/>
      <c r="H10" s="127">
        <v>45561</v>
      </c>
      <c r="I10" s="124">
        <v>21</v>
      </c>
      <c r="J10" s="124"/>
      <c r="K10" s="124"/>
      <c r="L10" s="125">
        <v>56</v>
      </c>
      <c r="M10" s="25">
        <f t="shared" si="1"/>
        <v>1176</v>
      </c>
    </row>
    <row r="11" spans="1:24" x14ac:dyDescent="0.25">
      <c r="A11" s="118"/>
      <c r="B11" s="119"/>
      <c r="C11" s="119"/>
      <c r="D11" s="119"/>
      <c r="E11" s="120"/>
      <c r="F11" s="25">
        <f t="shared" si="0"/>
        <v>0</v>
      </c>
      <c r="G11" s="121"/>
      <c r="H11" s="122">
        <v>45567</v>
      </c>
      <c r="I11" s="119">
        <v>122</v>
      </c>
      <c r="J11" s="119"/>
      <c r="K11" s="119"/>
      <c r="L11" s="120">
        <v>56</v>
      </c>
      <c r="M11" s="25">
        <f t="shared" si="1"/>
        <v>6832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45568</v>
      </c>
      <c r="I12" s="27">
        <v>96</v>
      </c>
      <c r="J12" s="27"/>
      <c r="K12" s="27"/>
      <c r="L12" s="25">
        <v>56</v>
      </c>
      <c r="M12" s="25">
        <f t="shared" si="1"/>
        <v>5376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7">
        <v>-2</v>
      </c>
      <c r="J13" s="27"/>
      <c r="K13" s="27"/>
      <c r="L13" s="25">
        <v>56</v>
      </c>
      <c r="M13" s="25">
        <f t="shared" si="1"/>
        <v>-112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45580</v>
      </c>
      <c r="I14" s="137">
        <v>57.5</v>
      </c>
      <c r="J14" s="137"/>
      <c r="K14" s="137"/>
      <c r="L14" s="25">
        <v>56</v>
      </c>
      <c r="M14" s="25">
        <f t="shared" si="1"/>
        <v>3220</v>
      </c>
      <c r="N14" s="136" t="s">
        <v>55</v>
      </c>
      <c r="P14" s="134" t="s">
        <v>56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45583</v>
      </c>
      <c r="I15" s="27">
        <v>128</v>
      </c>
      <c r="J15" s="27"/>
      <c r="K15" s="27"/>
      <c r="L15" s="25">
        <v>56</v>
      </c>
      <c r="M15" s="25">
        <f t="shared" si="1"/>
        <v>7168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139">
        <v>45594</v>
      </c>
      <c r="I16" s="27">
        <v>354.5</v>
      </c>
      <c r="J16" s="27"/>
      <c r="K16" s="27"/>
      <c r="L16" s="25">
        <v>56</v>
      </c>
      <c r="M16" s="25">
        <f t="shared" si="1"/>
        <v>19852</v>
      </c>
    </row>
    <row r="17" spans="1:13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139">
        <v>45595</v>
      </c>
      <c r="I17" s="27">
        <v>143</v>
      </c>
      <c r="J17" s="27"/>
      <c r="K17" s="27"/>
      <c r="L17" s="25">
        <v>56</v>
      </c>
      <c r="M17" s="25">
        <f t="shared" si="1"/>
        <v>8008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139">
        <v>45601</v>
      </c>
      <c r="I18" s="27">
        <v>180</v>
      </c>
      <c r="J18" s="27"/>
      <c r="K18" s="27"/>
      <c r="L18" s="25">
        <v>56</v>
      </c>
      <c r="M18" s="25">
        <f t="shared" si="1"/>
        <v>10080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39">
        <v>45604</v>
      </c>
      <c r="I19" s="27">
        <v>128</v>
      </c>
      <c r="J19" s="27"/>
      <c r="K19" s="27"/>
      <c r="L19" s="25">
        <v>56</v>
      </c>
      <c r="M19" s="25">
        <f t="shared" si="1"/>
        <v>7168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139">
        <v>45631</v>
      </c>
      <c r="I20" s="27">
        <v>128</v>
      </c>
      <c r="J20" s="27"/>
      <c r="K20" s="27"/>
      <c r="L20" s="25">
        <v>56</v>
      </c>
      <c r="M20" s="25">
        <f t="shared" si="1"/>
        <v>7168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139">
        <v>45636</v>
      </c>
      <c r="I21" s="27">
        <v>128</v>
      </c>
      <c r="J21" s="27"/>
      <c r="K21" s="27"/>
      <c r="L21" s="25">
        <v>56</v>
      </c>
      <c r="M21" s="25">
        <f t="shared" si="1"/>
        <v>7168</v>
      </c>
    </row>
    <row r="22" spans="1:13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139">
        <v>45638</v>
      </c>
      <c r="I22" s="27">
        <v>128</v>
      </c>
      <c r="J22" s="27"/>
      <c r="K22" s="27"/>
      <c r="L22" s="25">
        <v>56</v>
      </c>
      <c r="M22" s="25">
        <f t="shared" si="1"/>
        <v>7168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139">
        <v>45642</v>
      </c>
      <c r="I23" s="27">
        <v>128</v>
      </c>
      <c r="J23" s="27"/>
      <c r="K23" s="27"/>
      <c r="L23" s="25">
        <v>56</v>
      </c>
      <c r="M23" s="25">
        <f t="shared" si="1"/>
        <v>7168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139">
        <v>45649</v>
      </c>
      <c r="I24" s="27">
        <v>256</v>
      </c>
      <c r="J24" s="27"/>
      <c r="K24" s="27"/>
      <c r="L24" s="25">
        <v>56</v>
      </c>
      <c r="M24" s="25">
        <f t="shared" si="1"/>
        <v>14336</v>
      </c>
    </row>
    <row r="25" spans="1:13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139">
        <v>45650</v>
      </c>
      <c r="I25" s="27">
        <v>128</v>
      </c>
      <c r="J25" s="27"/>
      <c r="K25" s="27"/>
      <c r="L25" s="25">
        <v>56</v>
      </c>
      <c r="M25" s="25">
        <f t="shared" si="1"/>
        <v>7168</v>
      </c>
    </row>
    <row r="26" spans="1:13" x14ac:dyDescent="0.25">
      <c r="A26" s="166" t="s">
        <v>109</v>
      </c>
      <c r="B26" s="167"/>
      <c r="C26" s="167"/>
      <c r="D26" s="167"/>
      <c r="E26" s="168"/>
      <c r="F26" s="168">
        <f t="shared" si="0"/>
        <v>0</v>
      </c>
      <c r="G26" s="168"/>
      <c r="H26" s="166" t="s">
        <v>109</v>
      </c>
      <c r="I26" s="167"/>
      <c r="J26" s="167"/>
      <c r="K26" s="167"/>
      <c r="L26" s="168"/>
      <c r="M26" s="168">
        <f t="shared" si="1"/>
        <v>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139">
        <v>45666</v>
      </c>
      <c r="I27" s="27">
        <v>100</v>
      </c>
      <c r="J27" s="27"/>
      <c r="K27" s="27"/>
      <c r="L27" s="25">
        <v>56</v>
      </c>
      <c r="M27" s="25">
        <f t="shared" si="1"/>
        <v>5600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139">
        <v>45667</v>
      </c>
      <c r="I28" s="27">
        <v>128</v>
      </c>
      <c r="J28" s="27"/>
      <c r="K28" s="27"/>
      <c r="L28" s="25">
        <v>56</v>
      </c>
      <c r="M28" s="25">
        <f t="shared" si="1"/>
        <v>7168</v>
      </c>
    </row>
    <row r="29" spans="1:13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139">
        <v>45673</v>
      </c>
      <c r="I29" s="27">
        <v>105</v>
      </c>
      <c r="J29" s="27"/>
      <c r="K29" s="27"/>
      <c r="L29" s="25">
        <v>56</v>
      </c>
      <c r="M29" s="25">
        <f t="shared" si="1"/>
        <v>5880</v>
      </c>
    </row>
    <row r="30" spans="1:13" x14ac:dyDescent="0.25">
      <c r="A30" s="28">
        <v>45677</v>
      </c>
      <c r="B30" s="27">
        <v>1680</v>
      </c>
      <c r="C30" s="27"/>
      <c r="D30" s="27"/>
      <c r="E30" s="25">
        <v>66.8</v>
      </c>
      <c r="F30" s="25">
        <f t="shared" si="0"/>
        <v>112224</v>
      </c>
      <c r="G30" s="30"/>
      <c r="H30" s="139">
        <v>45680</v>
      </c>
      <c r="I30" s="27">
        <v>128</v>
      </c>
      <c r="J30" s="27"/>
      <c r="K30" s="27"/>
      <c r="L30" s="61">
        <v>66.8</v>
      </c>
      <c r="M30" s="25">
        <f t="shared" si="1"/>
        <v>8550.4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139">
        <v>45681</v>
      </c>
      <c r="I31" s="27">
        <v>128</v>
      </c>
      <c r="J31" s="27"/>
      <c r="K31" s="27"/>
      <c r="L31" s="25">
        <v>66.8</v>
      </c>
      <c r="M31" s="25">
        <f t="shared" si="1"/>
        <v>8550.4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139">
        <v>45685</v>
      </c>
      <c r="I32" s="27">
        <v>128</v>
      </c>
      <c r="J32" s="27"/>
      <c r="K32" s="27"/>
      <c r="L32" s="25">
        <v>66.8</v>
      </c>
      <c r="M32" s="25">
        <f t="shared" si="1"/>
        <v>8550.4</v>
      </c>
    </row>
    <row r="33" spans="1:13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139">
        <v>45686</v>
      </c>
      <c r="I33" s="27">
        <v>105</v>
      </c>
      <c r="J33" s="27"/>
      <c r="K33" s="27"/>
      <c r="L33" s="25">
        <v>66.8</v>
      </c>
      <c r="M33" s="25">
        <f t="shared" si="1"/>
        <v>7014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139">
        <v>45687</v>
      </c>
      <c r="I34" s="27">
        <v>36</v>
      </c>
      <c r="J34" s="27"/>
      <c r="K34" s="27"/>
      <c r="L34" s="25">
        <v>66.8</v>
      </c>
      <c r="M34" s="25">
        <f t="shared" si="1"/>
        <v>2404.7999999999997</v>
      </c>
    </row>
    <row r="35" spans="1:13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139">
        <v>45688</v>
      </c>
      <c r="I35" s="27">
        <v>105</v>
      </c>
      <c r="J35" s="27"/>
      <c r="K35" s="27"/>
      <c r="L35" s="25">
        <v>66.8</v>
      </c>
      <c r="M35" s="25">
        <f t="shared" si="1"/>
        <v>7014</v>
      </c>
    </row>
    <row r="36" spans="1:13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196">
        <v>45691</v>
      </c>
      <c r="I36" s="27">
        <v>105</v>
      </c>
      <c r="J36" s="27"/>
      <c r="K36" s="27"/>
      <c r="L36" s="25">
        <v>66.8</v>
      </c>
      <c r="M36" s="25">
        <f t="shared" si="1"/>
        <v>7014</v>
      </c>
    </row>
    <row r="37" spans="1:13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139">
        <v>45692</v>
      </c>
      <c r="I37" s="27">
        <v>70</v>
      </c>
      <c r="J37" s="27"/>
      <c r="K37" s="27"/>
      <c r="L37" s="25">
        <v>66.8</v>
      </c>
      <c r="M37" s="25">
        <f t="shared" si="1"/>
        <v>4676</v>
      </c>
    </row>
    <row r="38" spans="1:13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139">
        <v>45693</v>
      </c>
      <c r="I38" s="27">
        <v>105</v>
      </c>
      <c r="J38" s="27"/>
      <c r="K38" s="27"/>
      <c r="L38" s="25">
        <v>66.8</v>
      </c>
      <c r="M38" s="25">
        <f t="shared" si="1"/>
        <v>7014</v>
      </c>
    </row>
    <row r="39" spans="1:13" x14ac:dyDescent="0.25">
      <c r="A39" s="24"/>
      <c r="B39" s="27"/>
      <c r="C39" s="27"/>
      <c r="D39" s="27"/>
      <c r="E39" s="25"/>
      <c r="F39" s="25">
        <f t="shared" si="0"/>
        <v>0</v>
      </c>
      <c r="G39" s="30"/>
      <c r="H39" s="139">
        <v>45694</v>
      </c>
      <c r="I39" s="27">
        <v>105</v>
      </c>
      <c r="J39" s="27"/>
      <c r="K39" s="27"/>
      <c r="L39" s="25">
        <v>66.8</v>
      </c>
      <c r="M39" s="25">
        <f t="shared" si="1"/>
        <v>7014</v>
      </c>
    </row>
    <row r="40" spans="1:13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139">
        <v>45698</v>
      </c>
      <c r="I40" s="27">
        <v>105</v>
      </c>
      <c r="J40" s="27"/>
      <c r="K40" s="27"/>
      <c r="L40" s="25">
        <v>66.8</v>
      </c>
      <c r="M40" s="25">
        <f t="shared" si="1"/>
        <v>7014</v>
      </c>
    </row>
    <row r="41" spans="1:13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139">
        <v>45699</v>
      </c>
      <c r="I41" s="27">
        <v>140</v>
      </c>
      <c r="J41" s="27"/>
      <c r="K41" s="27"/>
      <c r="L41" s="25">
        <v>66.8</v>
      </c>
      <c r="M41" s="25">
        <f t="shared" si="1"/>
        <v>9352</v>
      </c>
    </row>
    <row r="42" spans="1:13" x14ac:dyDescent="0.25">
      <c r="A42" s="28">
        <v>45700</v>
      </c>
      <c r="B42" s="27"/>
      <c r="C42" s="27">
        <v>840</v>
      </c>
      <c r="D42" s="27"/>
      <c r="E42" s="25">
        <v>59</v>
      </c>
      <c r="F42" s="25">
        <f t="shared" si="0"/>
        <v>49560</v>
      </c>
      <c r="G42" s="30"/>
      <c r="H42" s="139">
        <v>45700</v>
      </c>
      <c r="I42" s="27">
        <v>245</v>
      </c>
      <c r="J42" s="27"/>
      <c r="K42" s="27"/>
      <c r="L42" s="25">
        <v>66.8</v>
      </c>
      <c r="M42" s="25">
        <f t="shared" si="1"/>
        <v>16366</v>
      </c>
    </row>
    <row r="43" spans="1:13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139">
        <v>45701</v>
      </c>
      <c r="I43" s="27">
        <v>140</v>
      </c>
      <c r="J43" s="27"/>
      <c r="K43" s="27"/>
      <c r="L43" s="25">
        <v>66.8</v>
      </c>
      <c r="M43" s="25">
        <f t="shared" si="1"/>
        <v>9352</v>
      </c>
    </row>
    <row r="44" spans="1:13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139">
        <v>45706</v>
      </c>
      <c r="I44" s="27"/>
      <c r="J44" s="27">
        <v>105</v>
      </c>
      <c r="K44" s="27"/>
      <c r="L44" s="25">
        <v>59</v>
      </c>
      <c r="M44" s="25">
        <f t="shared" si="1"/>
        <v>6195</v>
      </c>
    </row>
    <row r="45" spans="1:13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139"/>
      <c r="I45" s="27">
        <v>35</v>
      </c>
      <c r="J45" s="27"/>
      <c r="K45" s="27"/>
      <c r="L45" s="25">
        <v>66.8</v>
      </c>
      <c r="M45" s="25">
        <f t="shared" si="1"/>
        <v>2338</v>
      </c>
    </row>
    <row r="46" spans="1:13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139">
        <v>45707</v>
      </c>
      <c r="I46" s="27"/>
      <c r="J46" s="27">
        <v>105</v>
      </c>
      <c r="K46" s="27"/>
      <c r="L46" s="25">
        <v>59</v>
      </c>
      <c r="M46" s="25">
        <f t="shared" si="1"/>
        <v>6195</v>
      </c>
    </row>
    <row r="47" spans="1:13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139">
        <v>45708</v>
      </c>
      <c r="I47" s="27"/>
      <c r="J47" s="27">
        <v>140</v>
      </c>
      <c r="K47" s="27"/>
      <c r="L47" s="25">
        <v>59</v>
      </c>
      <c r="M47" s="25">
        <f t="shared" si="1"/>
        <v>8260</v>
      </c>
    </row>
    <row r="48" spans="1:13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139">
        <v>45712</v>
      </c>
      <c r="I48" s="27"/>
      <c r="J48" s="27">
        <v>140</v>
      </c>
      <c r="K48" s="27"/>
      <c r="L48" s="25">
        <v>59</v>
      </c>
      <c r="M48" s="25">
        <f t="shared" si="1"/>
        <v>8260</v>
      </c>
    </row>
    <row r="49" spans="1:13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139">
        <v>45713</v>
      </c>
      <c r="I49" s="27"/>
      <c r="J49" s="27">
        <v>280</v>
      </c>
      <c r="K49" s="27"/>
      <c r="L49" s="25">
        <v>59</v>
      </c>
      <c r="M49" s="25">
        <f t="shared" si="1"/>
        <v>16520</v>
      </c>
    </row>
    <row r="50" spans="1:13" x14ac:dyDescent="0.25">
      <c r="A50" s="28">
        <v>45714</v>
      </c>
      <c r="B50" s="27">
        <v>2240</v>
      </c>
      <c r="C50" s="27"/>
      <c r="D50" s="27"/>
      <c r="E50" s="130">
        <v>57</v>
      </c>
      <c r="F50" s="25">
        <f t="shared" si="0"/>
        <v>127680</v>
      </c>
      <c r="G50" s="30"/>
      <c r="H50" s="139">
        <v>45714</v>
      </c>
      <c r="I50" s="27"/>
      <c r="J50" s="27">
        <v>70</v>
      </c>
      <c r="K50" s="27"/>
      <c r="L50" s="25">
        <v>59</v>
      </c>
      <c r="M50" s="25">
        <f t="shared" si="1"/>
        <v>4130</v>
      </c>
    </row>
    <row r="51" spans="1:13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139"/>
      <c r="I51" s="27">
        <v>256</v>
      </c>
      <c r="J51" s="218">
        <v>0</v>
      </c>
      <c r="K51" s="27"/>
      <c r="L51" s="25">
        <v>57</v>
      </c>
      <c r="M51" s="25">
        <f t="shared" si="1"/>
        <v>14592</v>
      </c>
    </row>
    <row r="52" spans="1:13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139">
        <v>45716</v>
      </c>
      <c r="I52" s="27">
        <v>128</v>
      </c>
      <c r="J52" s="27"/>
      <c r="K52" s="27"/>
      <c r="L52" s="25">
        <v>57</v>
      </c>
      <c r="M52" s="25">
        <f t="shared" si="1"/>
        <v>7296</v>
      </c>
    </row>
    <row r="53" spans="1:13" ht="16.5" thickBot="1" x14ac:dyDescent="0.3">
      <c r="A53" s="24"/>
      <c r="B53" s="27"/>
      <c r="C53" s="27"/>
      <c r="D53" s="27"/>
      <c r="E53" s="25"/>
      <c r="F53" s="25">
        <f t="shared" si="0"/>
        <v>0</v>
      </c>
      <c r="G53" s="30"/>
      <c r="H53" s="277" t="s">
        <v>135</v>
      </c>
      <c r="I53" s="234"/>
      <c r="J53" s="234"/>
      <c r="K53" s="234"/>
      <c r="L53" s="235"/>
      <c r="M53" s="235">
        <f t="shared" si="1"/>
        <v>0</v>
      </c>
    </row>
    <row r="54" spans="1:13" x14ac:dyDescent="0.25">
      <c r="A54" s="24"/>
      <c r="B54" s="27"/>
      <c r="C54" s="27"/>
      <c r="D54" s="27"/>
      <c r="E54" s="25"/>
      <c r="F54" s="25">
        <f t="shared" si="0"/>
        <v>0</v>
      </c>
      <c r="G54" s="231"/>
      <c r="H54" s="279">
        <v>45719</v>
      </c>
      <c r="I54" s="237">
        <v>256</v>
      </c>
      <c r="J54" s="237"/>
      <c r="K54" s="237"/>
      <c r="L54" s="238">
        <v>57</v>
      </c>
      <c r="M54" s="239">
        <f t="shared" si="1"/>
        <v>14592</v>
      </c>
    </row>
    <row r="55" spans="1:13" ht="16.5" thickBot="1" x14ac:dyDescent="0.3">
      <c r="A55" s="24"/>
      <c r="B55" s="27"/>
      <c r="C55" s="27"/>
      <c r="D55" s="27"/>
      <c r="E55" s="25"/>
      <c r="F55" s="25">
        <f t="shared" si="0"/>
        <v>0</v>
      </c>
      <c r="G55" s="231"/>
      <c r="H55" s="280">
        <v>45720</v>
      </c>
      <c r="I55" s="124">
        <v>128</v>
      </c>
      <c r="J55" s="124"/>
      <c r="K55" s="124"/>
      <c r="L55" s="125">
        <v>57</v>
      </c>
      <c r="M55" s="243">
        <f t="shared" si="1"/>
        <v>7296</v>
      </c>
    </row>
    <row r="56" spans="1:13" x14ac:dyDescent="0.25">
      <c r="A56" s="24"/>
      <c r="B56" s="27"/>
      <c r="C56" s="27"/>
      <c r="D56" s="27"/>
      <c r="E56" s="25"/>
      <c r="F56" s="25">
        <f t="shared" si="0"/>
        <v>0</v>
      </c>
      <c r="G56" s="231"/>
      <c r="H56" s="279">
        <v>45726</v>
      </c>
      <c r="I56" s="237">
        <v>128</v>
      </c>
      <c r="J56" s="237"/>
      <c r="K56" s="237"/>
      <c r="L56" s="238">
        <v>57</v>
      </c>
      <c r="M56" s="239">
        <f t="shared" si="1"/>
        <v>7296</v>
      </c>
    </row>
    <row r="57" spans="1:13" x14ac:dyDescent="0.25">
      <c r="A57" s="24"/>
      <c r="B57" s="27"/>
      <c r="C57" s="27"/>
      <c r="D57" s="27"/>
      <c r="E57" s="25"/>
      <c r="F57" s="25">
        <f t="shared" si="0"/>
        <v>0</v>
      </c>
      <c r="G57" s="231"/>
      <c r="H57" s="281">
        <v>45727</v>
      </c>
      <c r="I57" s="27">
        <v>256</v>
      </c>
      <c r="J57" s="27"/>
      <c r="K57" s="27"/>
      <c r="L57" s="25">
        <v>57</v>
      </c>
      <c r="M57" s="241">
        <f t="shared" si="1"/>
        <v>14592</v>
      </c>
    </row>
    <row r="58" spans="1:13" x14ac:dyDescent="0.25">
      <c r="A58" s="24"/>
      <c r="B58" s="27"/>
      <c r="C58" s="27"/>
      <c r="D58" s="27"/>
      <c r="E58" s="25"/>
      <c r="F58" s="25">
        <f t="shared" si="0"/>
        <v>0</v>
      </c>
      <c r="G58" s="231"/>
      <c r="H58" s="281">
        <v>45728</v>
      </c>
      <c r="I58" s="27">
        <v>128</v>
      </c>
      <c r="J58" s="27"/>
      <c r="K58" s="27"/>
      <c r="L58" s="25">
        <v>57</v>
      </c>
      <c r="M58" s="241">
        <f t="shared" si="1"/>
        <v>7296</v>
      </c>
    </row>
    <row r="59" spans="1:13" x14ac:dyDescent="0.25">
      <c r="A59" s="24"/>
      <c r="B59" s="27"/>
      <c r="C59" s="27"/>
      <c r="D59" s="27"/>
      <c r="E59" s="25"/>
      <c r="F59" s="25">
        <f t="shared" si="0"/>
        <v>0</v>
      </c>
      <c r="G59" s="231"/>
      <c r="H59" s="281">
        <v>45729</v>
      </c>
      <c r="I59" s="27">
        <v>128</v>
      </c>
      <c r="J59" s="27"/>
      <c r="K59" s="27"/>
      <c r="L59" s="25">
        <v>57</v>
      </c>
      <c r="M59" s="241">
        <f t="shared" si="1"/>
        <v>7296</v>
      </c>
    </row>
    <row r="60" spans="1:13" ht="16.5" thickBot="1" x14ac:dyDescent="0.3">
      <c r="A60" s="24"/>
      <c r="B60" s="27"/>
      <c r="C60" s="27"/>
      <c r="D60" s="27"/>
      <c r="E60" s="25"/>
      <c r="F60" s="25">
        <f t="shared" si="0"/>
        <v>0</v>
      </c>
      <c r="G60" s="231"/>
      <c r="H60" s="280">
        <v>45730</v>
      </c>
      <c r="I60" s="124">
        <v>128</v>
      </c>
      <c r="J60" s="124"/>
      <c r="K60" s="124"/>
      <c r="L60" s="125">
        <v>57</v>
      </c>
      <c r="M60" s="243">
        <f t="shared" si="1"/>
        <v>7296</v>
      </c>
    </row>
    <row r="61" spans="1:13" x14ac:dyDescent="0.25">
      <c r="A61" s="24"/>
      <c r="B61" s="27"/>
      <c r="C61" s="27"/>
      <c r="D61" s="27"/>
      <c r="E61" s="25"/>
      <c r="F61" s="25">
        <f t="shared" si="0"/>
        <v>0</v>
      </c>
      <c r="G61" s="231"/>
      <c r="H61" s="279">
        <v>45733</v>
      </c>
      <c r="I61" s="237">
        <v>256</v>
      </c>
      <c r="J61" s="237"/>
      <c r="K61" s="237"/>
      <c r="L61" s="238">
        <v>57</v>
      </c>
      <c r="M61" s="239">
        <f t="shared" si="1"/>
        <v>14592</v>
      </c>
    </row>
    <row r="62" spans="1:13" x14ac:dyDescent="0.25">
      <c r="A62" s="24"/>
      <c r="B62" s="27"/>
      <c r="C62" s="27"/>
      <c r="D62" s="27"/>
      <c r="E62" s="25"/>
      <c r="F62" s="25">
        <f t="shared" si="0"/>
        <v>0</v>
      </c>
      <c r="G62" s="231"/>
      <c r="H62" s="307">
        <v>45734</v>
      </c>
      <c r="I62" s="27">
        <v>128</v>
      </c>
      <c r="J62" s="27"/>
      <c r="K62" s="27"/>
      <c r="L62" s="25">
        <v>57</v>
      </c>
      <c r="M62" s="241">
        <f t="shared" si="1"/>
        <v>7296</v>
      </c>
    </row>
    <row r="63" spans="1:13" x14ac:dyDescent="0.25">
      <c r="A63" s="24"/>
      <c r="B63" s="27"/>
      <c r="C63" s="27"/>
      <c r="D63" s="27"/>
      <c r="E63" s="25"/>
      <c r="F63" s="25">
        <f t="shared" si="0"/>
        <v>0</v>
      </c>
      <c r="G63" s="231"/>
      <c r="H63" s="307">
        <v>45735</v>
      </c>
      <c r="I63" s="27">
        <v>256</v>
      </c>
      <c r="J63" s="27"/>
      <c r="K63" s="27"/>
      <c r="L63" s="25">
        <v>57</v>
      </c>
      <c r="M63" s="241">
        <f t="shared" si="1"/>
        <v>14592</v>
      </c>
    </row>
    <row r="64" spans="1:13" x14ac:dyDescent="0.25">
      <c r="A64" s="28"/>
      <c r="B64" s="27"/>
      <c r="C64" s="27"/>
      <c r="D64" s="27"/>
      <c r="E64" s="25"/>
      <c r="F64" s="25">
        <f t="shared" si="0"/>
        <v>0</v>
      </c>
      <c r="G64" s="231"/>
      <c r="H64" s="307">
        <v>45736</v>
      </c>
      <c r="I64" s="27">
        <v>64</v>
      </c>
      <c r="J64" s="27"/>
      <c r="K64" s="27"/>
      <c r="L64" s="25">
        <v>57</v>
      </c>
      <c r="M64" s="241">
        <f t="shared" si="1"/>
        <v>3648</v>
      </c>
    </row>
    <row r="65" spans="1:13" ht="16.5" thickBot="1" x14ac:dyDescent="0.3">
      <c r="A65" s="28">
        <v>45737</v>
      </c>
      <c r="B65" s="27">
        <v>2240</v>
      </c>
      <c r="C65" s="27"/>
      <c r="D65" s="27"/>
      <c r="E65" s="25">
        <v>57</v>
      </c>
      <c r="F65" s="25">
        <f t="shared" si="0"/>
        <v>127680</v>
      </c>
      <c r="G65" s="231"/>
      <c r="H65" s="308">
        <v>45737</v>
      </c>
      <c r="I65" s="124">
        <v>128</v>
      </c>
      <c r="J65" s="124"/>
      <c r="K65" s="124"/>
      <c r="L65" s="125">
        <v>57</v>
      </c>
      <c r="M65" s="243">
        <f t="shared" si="1"/>
        <v>7296</v>
      </c>
    </row>
    <row r="66" spans="1:13" x14ac:dyDescent="0.25">
      <c r="A66" s="24"/>
      <c r="B66" s="27"/>
      <c r="C66" s="27"/>
      <c r="D66" s="27"/>
      <c r="E66" s="25"/>
      <c r="F66" s="25">
        <f t="shared" si="0"/>
        <v>0</v>
      </c>
      <c r="G66" s="231"/>
      <c r="H66" s="279">
        <v>45740</v>
      </c>
      <c r="I66" s="237">
        <v>256</v>
      </c>
      <c r="J66" s="237"/>
      <c r="K66" s="237"/>
      <c r="L66" s="238">
        <v>57</v>
      </c>
      <c r="M66" s="239">
        <f t="shared" si="1"/>
        <v>14592</v>
      </c>
    </row>
    <row r="67" spans="1:13" x14ac:dyDescent="0.25">
      <c r="A67" s="24"/>
      <c r="B67" s="27"/>
      <c r="C67" s="27"/>
      <c r="D67" s="27"/>
      <c r="E67" s="25"/>
      <c r="F67" s="25">
        <f t="shared" si="0"/>
        <v>0</v>
      </c>
      <c r="G67" s="231"/>
      <c r="H67" s="307">
        <v>45741</v>
      </c>
      <c r="I67" s="27">
        <v>128</v>
      </c>
      <c r="J67" s="27"/>
      <c r="K67" s="27"/>
      <c r="L67" s="25">
        <v>57</v>
      </c>
      <c r="M67" s="241">
        <f t="shared" si="1"/>
        <v>7296</v>
      </c>
    </row>
    <row r="68" spans="1:13" x14ac:dyDescent="0.25">
      <c r="A68" s="24"/>
      <c r="B68" s="27"/>
      <c r="C68" s="27"/>
      <c r="D68" s="27"/>
      <c r="E68" s="25"/>
      <c r="F68" s="25">
        <f t="shared" si="0"/>
        <v>0</v>
      </c>
      <c r="G68" s="231"/>
      <c r="H68" s="307">
        <v>45742</v>
      </c>
      <c r="I68" s="27">
        <v>128</v>
      </c>
      <c r="J68" s="27"/>
      <c r="K68" s="27"/>
      <c r="L68" s="25">
        <v>57</v>
      </c>
      <c r="M68" s="241">
        <f t="shared" si="1"/>
        <v>7296</v>
      </c>
    </row>
    <row r="69" spans="1:13" x14ac:dyDescent="0.25">
      <c r="A69" s="24"/>
      <c r="B69" s="27"/>
      <c r="C69" s="27"/>
      <c r="D69" s="27"/>
      <c r="E69" s="25"/>
      <c r="F69" s="25">
        <f t="shared" si="0"/>
        <v>0</v>
      </c>
      <c r="G69" s="231"/>
      <c r="H69" s="281">
        <v>45744</v>
      </c>
      <c r="I69" s="27">
        <v>256</v>
      </c>
      <c r="J69" s="27"/>
      <c r="K69" s="27"/>
      <c r="L69" s="25">
        <v>57</v>
      </c>
      <c r="M69" s="241">
        <f t="shared" si="1"/>
        <v>14592</v>
      </c>
    </row>
    <row r="70" spans="1:13" ht="16.5" thickBot="1" x14ac:dyDescent="0.3">
      <c r="A70" s="24"/>
      <c r="B70" s="27"/>
      <c r="C70" s="27"/>
      <c r="D70" s="27"/>
      <c r="E70" s="25"/>
      <c r="F70" s="25">
        <f t="shared" si="0"/>
        <v>0</v>
      </c>
      <c r="G70" s="231"/>
      <c r="H70" s="280">
        <v>45747</v>
      </c>
      <c r="I70" s="124">
        <v>128</v>
      </c>
      <c r="J70" s="124"/>
      <c r="K70" s="124"/>
      <c r="L70" s="125">
        <v>57</v>
      </c>
      <c r="M70" s="243">
        <f t="shared" si="1"/>
        <v>7296</v>
      </c>
    </row>
    <row r="71" spans="1:13" x14ac:dyDescent="0.25">
      <c r="A71" s="24"/>
      <c r="B71" s="27"/>
      <c r="C71" s="27"/>
      <c r="D71" s="27"/>
      <c r="E71" s="25"/>
      <c r="F71" s="25">
        <f t="shared" si="0"/>
        <v>0</v>
      </c>
      <c r="G71" s="231"/>
      <c r="H71" s="279">
        <v>45748</v>
      </c>
      <c r="I71" s="237">
        <v>256</v>
      </c>
      <c r="J71" s="237"/>
      <c r="K71" s="237"/>
      <c r="L71" s="238">
        <v>57</v>
      </c>
      <c r="M71" s="239">
        <f t="shared" si="1"/>
        <v>14592</v>
      </c>
    </row>
    <row r="72" spans="1:13" x14ac:dyDescent="0.25">
      <c r="A72" s="24"/>
      <c r="B72" s="27"/>
      <c r="C72" s="27"/>
      <c r="D72" s="27"/>
      <c r="E72" s="25"/>
      <c r="F72" s="25">
        <f t="shared" si="0"/>
        <v>0</v>
      </c>
      <c r="G72" s="231"/>
      <c r="H72" s="281">
        <v>45750</v>
      </c>
      <c r="I72" s="27">
        <v>128</v>
      </c>
      <c r="J72" s="27"/>
      <c r="K72" s="27"/>
      <c r="L72" s="25">
        <v>57</v>
      </c>
      <c r="M72" s="241">
        <f t="shared" si="1"/>
        <v>7296</v>
      </c>
    </row>
    <row r="73" spans="1:13" ht="16.5" thickBot="1" x14ac:dyDescent="0.3">
      <c r="A73" s="24"/>
      <c r="B73" s="27"/>
      <c r="C73" s="27"/>
      <c r="D73" s="27"/>
      <c r="E73" s="25"/>
      <c r="F73" s="25">
        <f t="shared" si="0"/>
        <v>0</v>
      </c>
      <c r="G73" s="231"/>
      <c r="H73" s="280">
        <v>45751</v>
      </c>
      <c r="I73" s="124">
        <v>128</v>
      </c>
      <c r="J73" s="124"/>
      <c r="K73" s="124"/>
      <c r="L73" s="125">
        <v>57</v>
      </c>
      <c r="M73" s="243">
        <f t="shared" si="1"/>
        <v>7296</v>
      </c>
    </row>
    <row r="74" spans="1:13" x14ac:dyDescent="0.25">
      <c r="A74" s="24"/>
      <c r="B74" s="27"/>
      <c r="C74" s="27"/>
      <c r="D74" s="27"/>
      <c r="E74" s="25"/>
      <c r="F74" s="25">
        <f t="shared" si="0"/>
        <v>0</v>
      </c>
      <c r="G74" s="231"/>
      <c r="H74" s="279">
        <v>45754</v>
      </c>
      <c r="I74" s="237">
        <v>256</v>
      </c>
      <c r="J74" s="237"/>
      <c r="K74" s="237"/>
      <c r="L74" s="238">
        <v>57</v>
      </c>
      <c r="M74" s="239">
        <f t="shared" si="1"/>
        <v>14592</v>
      </c>
    </row>
    <row r="75" spans="1:13" x14ac:dyDescent="0.25">
      <c r="A75" s="28">
        <v>45755</v>
      </c>
      <c r="B75" s="27">
        <v>2240</v>
      </c>
      <c r="C75" s="27"/>
      <c r="D75" s="27"/>
      <c r="E75" s="25">
        <v>57</v>
      </c>
      <c r="F75" s="25">
        <f t="shared" si="0"/>
        <v>127680</v>
      </c>
      <c r="G75" s="231"/>
      <c r="H75" s="281">
        <v>45755</v>
      </c>
      <c r="I75" s="27">
        <v>256</v>
      </c>
      <c r="J75" s="27"/>
      <c r="K75" s="27"/>
      <c r="L75" s="25">
        <v>57</v>
      </c>
      <c r="M75" s="241">
        <f t="shared" si="1"/>
        <v>14592</v>
      </c>
    </row>
    <row r="76" spans="1:13" x14ac:dyDescent="0.25">
      <c r="A76" s="24"/>
      <c r="B76" s="27"/>
      <c r="C76" s="27"/>
      <c r="D76" s="27"/>
      <c r="E76" s="25"/>
      <c r="F76" s="25">
        <f t="shared" si="0"/>
        <v>0</v>
      </c>
      <c r="G76" s="231"/>
      <c r="H76" s="281">
        <v>45757</v>
      </c>
      <c r="I76" s="27">
        <v>128</v>
      </c>
      <c r="J76" s="27"/>
      <c r="K76" s="27"/>
      <c r="L76" s="25">
        <v>57</v>
      </c>
      <c r="M76" s="241">
        <f t="shared" si="1"/>
        <v>7296</v>
      </c>
    </row>
    <row r="77" spans="1:13" x14ac:dyDescent="0.25">
      <c r="A77" s="24"/>
      <c r="B77" s="27"/>
      <c r="C77" s="27"/>
      <c r="D77" s="27"/>
      <c r="E77" s="25"/>
      <c r="F77" s="25">
        <f t="shared" si="0"/>
        <v>0</v>
      </c>
      <c r="G77" s="231"/>
      <c r="H77" s="281" t="s">
        <v>150</v>
      </c>
      <c r="I77" s="27">
        <v>768</v>
      </c>
      <c r="J77" s="27"/>
      <c r="K77" s="27"/>
      <c r="L77" s="25">
        <v>57</v>
      </c>
      <c r="M77" s="241">
        <f t="shared" si="1"/>
        <v>43776</v>
      </c>
    </row>
    <row r="78" spans="1:13" ht="16.5" thickBot="1" x14ac:dyDescent="0.3">
      <c r="A78" s="24"/>
      <c r="B78" s="27"/>
      <c r="C78" s="27"/>
      <c r="D78" s="27"/>
      <c r="E78" s="25"/>
      <c r="F78" s="25">
        <f t="shared" si="0"/>
        <v>0</v>
      </c>
      <c r="G78" s="231"/>
      <c r="H78" s="280">
        <v>45763</v>
      </c>
      <c r="I78" s="124">
        <v>128</v>
      </c>
      <c r="J78" s="124"/>
      <c r="K78" s="124"/>
      <c r="L78" s="125">
        <v>57</v>
      </c>
      <c r="M78" s="243">
        <f t="shared" si="1"/>
        <v>7296</v>
      </c>
    </row>
    <row r="79" spans="1:13" x14ac:dyDescent="0.25">
      <c r="A79" s="24"/>
      <c r="B79" s="27"/>
      <c r="C79" s="27"/>
      <c r="D79" s="27"/>
      <c r="E79" s="25"/>
      <c r="F79" s="25">
        <f t="shared" si="0"/>
        <v>0</v>
      </c>
      <c r="G79" s="231"/>
      <c r="H79" s="279">
        <v>45768</v>
      </c>
      <c r="I79" s="237">
        <v>356</v>
      </c>
      <c r="J79" s="237"/>
      <c r="K79" s="237"/>
      <c r="L79" s="238">
        <v>57</v>
      </c>
      <c r="M79" s="239">
        <f t="shared" si="1"/>
        <v>20292</v>
      </c>
    </row>
    <row r="80" spans="1:13" x14ac:dyDescent="0.25">
      <c r="A80" s="24"/>
      <c r="B80" s="27"/>
      <c r="C80" s="27"/>
      <c r="D80" s="27"/>
      <c r="E80" s="25"/>
      <c r="F80" s="25">
        <f t="shared" si="0"/>
        <v>0</v>
      </c>
      <c r="G80" s="231"/>
      <c r="H80" s="281">
        <v>45771</v>
      </c>
      <c r="I80" s="27">
        <v>28</v>
      </c>
      <c r="J80" s="27"/>
      <c r="K80" s="27"/>
      <c r="L80" s="25">
        <v>57</v>
      </c>
      <c r="M80" s="241">
        <f t="shared" si="1"/>
        <v>1596</v>
      </c>
    </row>
    <row r="81" spans="1:13" x14ac:dyDescent="0.25">
      <c r="A81" s="24"/>
      <c r="B81" s="27"/>
      <c r="C81" s="27"/>
      <c r="D81" s="27"/>
      <c r="E81" s="25"/>
      <c r="F81" s="25">
        <f t="shared" si="0"/>
        <v>0</v>
      </c>
      <c r="G81" s="231"/>
      <c r="H81" s="281">
        <v>45775</v>
      </c>
      <c r="I81" s="27">
        <v>512</v>
      </c>
      <c r="J81" s="27"/>
      <c r="K81" s="27"/>
      <c r="L81" s="25">
        <v>57</v>
      </c>
      <c r="M81" s="241">
        <f t="shared" si="1"/>
        <v>29184</v>
      </c>
    </row>
    <row r="82" spans="1:13" ht="16.5" thickBot="1" x14ac:dyDescent="0.3">
      <c r="A82" s="24"/>
      <c r="B82" s="27"/>
      <c r="C82" s="27"/>
      <c r="D82" s="27"/>
      <c r="E82" s="25"/>
      <c r="F82" s="25">
        <f t="shared" si="0"/>
        <v>0</v>
      </c>
      <c r="G82" s="231"/>
      <c r="H82" s="280">
        <v>45776</v>
      </c>
      <c r="I82" s="124">
        <v>256</v>
      </c>
      <c r="J82" s="124"/>
      <c r="K82" s="124"/>
      <c r="L82" s="125">
        <v>57</v>
      </c>
      <c r="M82" s="243">
        <f t="shared" si="1"/>
        <v>14592</v>
      </c>
    </row>
    <row r="83" spans="1:13" ht="16.5" thickBot="1" x14ac:dyDescent="0.3">
      <c r="A83" s="24"/>
      <c r="B83" s="27"/>
      <c r="C83" s="27"/>
      <c r="D83" s="27"/>
      <c r="E83" s="25"/>
      <c r="F83" s="25">
        <f t="shared" si="0"/>
        <v>0</v>
      </c>
      <c r="G83" s="30"/>
      <c r="H83" s="278" t="s">
        <v>156</v>
      </c>
      <c r="I83" s="119">
        <v>384</v>
      </c>
      <c r="J83" s="119"/>
      <c r="K83" s="119"/>
      <c r="L83" s="125">
        <v>57</v>
      </c>
      <c r="M83" s="120">
        <f t="shared" si="1"/>
        <v>21888</v>
      </c>
    </row>
    <row r="84" spans="1:13" ht="16.5" thickBot="1" x14ac:dyDescent="0.3">
      <c r="A84" s="24"/>
      <c r="B84" s="27"/>
      <c r="C84" s="27"/>
      <c r="D84" s="27"/>
      <c r="E84" s="25"/>
      <c r="F84" s="25">
        <f t="shared" si="0"/>
        <v>0</v>
      </c>
      <c r="G84" s="30"/>
      <c r="H84" s="139" t="s">
        <v>159</v>
      </c>
      <c r="I84" s="27">
        <v>128</v>
      </c>
      <c r="J84" s="27"/>
      <c r="K84" s="27"/>
      <c r="L84" s="125">
        <v>57</v>
      </c>
      <c r="M84" s="25">
        <f t="shared" si="1"/>
        <v>7296</v>
      </c>
    </row>
    <row r="85" spans="1:13" x14ac:dyDescent="0.25">
      <c r="A85" s="24"/>
      <c r="B85" s="27"/>
      <c r="C85" s="27"/>
      <c r="D85" s="27"/>
      <c r="E85" s="25"/>
      <c r="F85" s="25">
        <f t="shared" si="0"/>
        <v>0</v>
      </c>
      <c r="G85" s="30"/>
      <c r="H85" s="139"/>
      <c r="I85" s="27"/>
      <c r="J85" s="27"/>
      <c r="K85" s="27"/>
      <c r="L85" s="25"/>
      <c r="M85" s="25">
        <f t="shared" si="1"/>
        <v>0</v>
      </c>
    </row>
    <row r="86" spans="1:13" x14ac:dyDescent="0.25">
      <c r="A86" s="24"/>
      <c r="B86" s="27"/>
      <c r="C86" s="27"/>
      <c r="D86" s="27"/>
      <c r="E86" s="25"/>
      <c r="F86" s="25">
        <f t="shared" si="0"/>
        <v>0</v>
      </c>
      <c r="G86" s="30"/>
      <c r="H86" s="139"/>
      <c r="I86" s="27"/>
      <c r="J86" s="27"/>
      <c r="K86" s="27"/>
      <c r="L86" s="25"/>
      <c r="M86" s="25">
        <f t="shared" si="1"/>
        <v>0</v>
      </c>
    </row>
    <row r="87" spans="1:13" x14ac:dyDescent="0.25">
      <c r="A87" s="24"/>
      <c r="B87" s="27"/>
      <c r="C87" s="27"/>
      <c r="D87" s="27"/>
      <c r="E87" s="25"/>
      <c r="F87" s="25">
        <f t="shared" si="0"/>
        <v>0</v>
      </c>
      <c r="G87" s="30"/>
      <c r="H87" s="139"/>
      <c r="I87" s="27"/>
      <c r="J87" s="27"/>
      <c r="K87" s="27"/>
      <c r="L87" s="25"/>
      <c r="M87" s="25">
        <f t="shared" si="1"/>
        <v>0</v>
      </c>
    </row>
    <row r="88" spans="1:13" x14ac:dyDescent="0.25">
      <c r="A88" s="24"/>
      <c r="B88" s="27"/>
      <c r="C88" s="27"/>
      <c r="D88" s="27"/>
      <c r="E88" s="25"/>
      <c r="F88" s="25">
        <f t="shared" si="0"/>
        <v>0</v>
      </c>
      <c r="G88" s="30"/>
      <c r="H88" s="139"/>
      <c r="I88" s="27"/>
      <c r="J88" s="27"/>
      <c r="K88" s="27"/>
      <c r="L88" s="25"/>
      <c r="M88" s="25">
        <f t="shared" si="1"/>
        <v>0</v>
      </c>
    </row>
    <row r="89" spans="1:13" x14ac:dyDescent="0.25">
      <c r="A89" s="24"/>
      <c r="B89" s="27"/>
      <c r="C89" s="27"/>
      <c r="D89" s="27"/>
      <c r="E89" s="25"/>
      <c r="F89" s="25">
        <f t="shared" si="0"/>
        <v>0</v>
      </c>
      <c r="G89" s="30"/>
      <c r="H89" s="139"/>
      <c r="I89" s="27"/>
      <c r="J89" s="27"/>
      <c r="K89" s="27"/>
      <c r="L89" s="25"/>
      <c r="M89" s="25">
        <f t="shared" si="1"/>
        <v>0</v>
      </c>
    </row>
    <row r="90" spans="1:13" x14ac:dyDescent="0.25">
      <c r="A90" s="24"/>
      <c r="B90" s="27"/>
      <c r="C90" s="27"/>
      <c r="D90" s="27"/>
      <c r="E90" s="25"/>
      <c r="F90" s="25">
        <f t="shared" si="0"/>
        <v>0</v>
      </c>
      <c r="G90" s="30"/>
      <c r="H90" s="139"/>
      <c r="I90" s="27"/>
      <c r="J90" s="27"/>
      <c r="K90" s="27"/>
      <c r="L90" s="25"/>
      <c r="M90" s="25">
        <f t="shared" si="1"/>
        <v>0</v>
      </c>
    </row>
    <row r="91" spans="1:13" x14ac:dyDescent="0.25">
      <c r="A91" s="24"/>
      <c r="B91" s="27"/>
      <c r="C91" s="27"/>
      <c r="D91" s="27"/>
      <c r="E91" s="25"/>
      <c r="F91" s="25">
        <f t="shared" si="0"/>
        <v>0</v>
      </c>
      <c r="G91" s="30"/>
      <c r="H91" s="139"/>
      <c r="I91" s="27"/>
      <c r="J91" s="27"/>
      <c r="K91" s="27"/>
      <c r="L91" s="25"/>
      <c r="M91" s="25">
        <f t="shared" si="1"/>
        <v>0</v>
      </c>
    </row>
    <row r="92" spans="1:13" x14ac:dyDescent="0.25">
      <c r="A92" s="24"/>
      <c r="B92" s="27"/>
      <c r="C92" s="27"/>
      <c r="D92" s="27"/>
      <c r="E92" s="25"/>
      <c r="F92" s="25">
        <f t="shared" si="0"/>
        <v>0</v>
      </c>
      <c r="G92" s="30"/>
      <c r="H92" s="139"/>
      <c r="I92" s="27"/>
      <c r="J92" s="27"/>
      <c r="K92" s="27"/>
      <c r="L92" s="25"/>
      <c r="M92" s="25">
        <f t="shared" si="1"/>
        <v>0</v>
      </c>
    </row>
    <row r="93" spans="1:13" x14ac:dyDescent="0.25">
      <c r="A93" s="24"/>
      <c r="B93" s="27"/>
      <c r="C93" s="27"/>
      <c r="D93" s="27"/>
      <c r="E93" s="25"/>
      <c r="F93" s="25">
        <f t="shared" si="0"/>
        <v>0</v>
      </c>
      <c r="G93" s="30"/>
      <c r="H93" s="24"/>
      <c r="I93" s="27"/>
      <c r="J93" s="27"/>
      <c r="K93" s="27"/>
      <c r="L93" s="25"/>
      <c r="M93" s="25">
        <f t="shared" si="1"/>
        <v>0</v>
      </c>
    </row>
    <row r="94" spans="1:13" x14ac:dyDescent="0.25">
      <c r="A94" s="24"/>
      <c r="B94" s="27"/>
      <c r="C94" s="27"/>
      <c r="D94" s="27"/>
      <c r="E94" s="25"/>
      <c r="F94" s="25">
        <f t="shared" si="0"/>
        <v>0</v>
      </c>
      <c r="G94" s="30"/>
      <c r="H94" s="24"/>
      <c r="I94" s="27"/>
      <c r="J94" s="27"/>
      <c r="K94" s="27"/>
      <c r="L94" s="25"/>
      <c r="M94" s="25"/>
    </row>
    <row r="95" spans="1:13" x14ac:dyDescent="0.25">
      <c r="A95" s="24"/>
      <c r="B95" s="27">
        <f>SUM(B3:B94)</f>
        <v>10920</v>
      </c>
      <c r="C95" s="27">
        <f>SUM(C3:C94)</f>
        <v>840</v>
      </c>
      <c r="D95" s="27"/>
      <c r="E95" s="25"/>
      <c r="F95" s="25"/>
      <c r="G95" s="30"/>
      <c r="H95" s="24"/>
      <c r="I95" s="27">
        <f>SUM(I3:I94)</f>
        <v>11176</v>
      </c>
      <c r="J95" s="27">
        <f>SUM(J3:J94)</f>
        <v>840</v>
      </c>
      <c r="K95" s="27"/>
      <c r="L95" s="25"/>
      <c r="M95" s="2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85"/>
  <sheetViews>
    <sheetView zoomScaleNormal="100" workbookViewId="0">
      <pane ySplit="1" topLeftCell="A158" activePane="bottomLeft" state="frozen"/>
      <selection pane="bottomLeft" activeCell="N164" sqref="N164"/>
    </sheetView>
  </sheetViews>
  <sheetFormatPr defaultColWidth="8.85546875" defaultRowHeight="12.75" x14ac:dyDescent="0.2"/>
  <cols>
    <col min="1" max="1" width="10" style="193" customWidth="1"/>
    <col min="2" max="2" width="10" style="181" customWidth="1"/>
    <col min="3" max="3" width="9.28515625" style="181" customWidth="1"/>
    <col min="4" max="4" width="9.42578125" style="181" customWidth="1"/>
    <col min="5" max="5" width="9.85546875" style="181" bestFit="1" customWidth="1"/>
    <col min="6" max="11" width="9.28515625" style="181" customWidth="1"/>
    <col min="12" max="12" width="9.7109375" style="181" customWidth="1"/>
    <col min="13" max="13" width="9.28515625" style="181" customWidth="1"/>
    <col min="14" max="14" width="10.140625" style="181" customWidth="1"/>
    <col min="15" max="15" width="10.28515625" style="181" customWidth="1"/>
    <col min="16" max="16" width="8.5703125" style="181" customWidth="1"/>
    <col min="17" max="17" width="10.5703125" style="181" customWidth="1"/>
    <col min="18" max="18" width="10.5703125" style="194" customWidth="1"/>
    <col min="19" max="19" width="14.42578125" style="194" bestFit="1" customWidth="1"/>
    <col min="20" max="20" width="4.140625" style="194" customWidth="1"/>
    <col min="21" max="21" width="8.42578125" style="181" customWidth="1"/>
    <col min="22" max="22" width="9.7109375" style="181" customWidth="1"/>
    <col min="23" max="23" width="9.28515625" style="181" customWidth="1"/>
    <col min="24" max="25" width="9.7109375" style="181" customWidth="1"/>
    <col min="26" max="28" width="10.140625" style="181" customWidth="1"/>
    <col min="29" max="29" width="11.7109375" style="222" customWidth="1"/>
    <col min="30" max="31" width="11.7109375" style="181" customWidth="1"/>
    <col min="32" max="32" width="10.140625" style="181" customWidth="1"/>
    <col min="33" max="33" width="9.5703125" style="181" customWidth="1"/>
    <col min="34" max="34" width="11.7109375" style="181" customWidth="1"/>
    <col min="35" max="35" width="10.140625" style="181" customWidth="1"/>
    <col min="36" max="36" width="10" style="181" customWidth="1"/>
    <col min="37" max="37" width="14.42578125" style="181" customWidth="1"/>
    <col min="38" max="38" width="10.5703125" style="194" customWidth="1"/>
    <col min="39" max="39" width="14.42578125" style="194" bestFit="1" customWidth="1"/>
    <col min="40" max="40" width="8.85546875" style="181"/>
    <col min="41" max="41" width="11.7109375" style="181" customWidth="1"/>
    <col min="42" max="42" width="12" style="181" customWidth="1"/>
    <col min="43" max="43" width="11.5703125" style="181" bestFit="1" customWidth="1"/>
    <col min="44" max="44" width="11.28515625" style="181" bestFit="1" customWidth="1"/>
    <col min="45" max="45" width="11.7109375" style="181" customWidth="1"/>
    <col min="46" max="46" width="11.85546875" style="181" customWidth="1"/>
    <col min="47" max="48" width="11.5703125" style="181" bestFit="1" customWidth="1"/>
    <col min="49" max="49" width="10.42578125" style="181" bestFit="1" customWidth="1"/>
    <col min="50" max="52" width="11.5703125" style="181" bestFit="1" customWidth="1"/>
    <col min="53" max="53" width="10.42578125" style="181" customWidth="1"/>
    <col min="54" max="55" width="10.28515625" style="181" bestFit="1" customWidth="1"/>
    <col min="56" max="16384" width="8.85546875" style="181"/>
  </cols>
  <sheetData>
    <row r="1" spans="1:55" s="175" customFormat="1" ht="61.15" customHeight="1" x14ac:dyDescent="0.25">
      <c r="A1" s="170" t="s">
        <v>17</v>
      </c>
      <c r="B1" s="171" t="s">
        <v>57</v>
      </c>
      <c r="C1" s="171" t="s">
        <v>67</v>
      </c>
      <c r="D1" s="171" t="s">
        <v>58</v>
      </c>
      <c r="E1" s="171" t="s">
        <v>59</v>
      </c>
      <c r="F1" s="171" t="s">
        <v>60</v>
      </c>
      <c r="G1" s="171" t="s">
        <v>79</v>
      </c>
      <c r="H1" s="171" t="s">
        <v>95</v>
      </c>
      <c r="I1" s="171" t="s">
        <v>96</v>
      </c>
      <c r="J1" s="171" t="s">
        <v>88</v>
      </c>
      <c r="K1" s="171" t="s">
        <v>97</v>
      </c>
      <c r="L1" s="171" t="s">
        <v>98</v>
      </c>
      <c r="M1" s="171" t="s">
        <v>99</v>
      </c>
      <c r="N1" s="171" t="s">
        <v>111</v>
      </c>
      <c r="O1" s="171" t="s">
        <v>112</v>
      </c>
      <c r="P1" s="171" t="s">
        <v>113</v>
      </c>
      <c r="Q1" s="171" t="s">
        <v>165</v>
      </c>
      <c r="R1" s="172" t="s">
        <v>18</v>
      </c>
      <c r="S1" s="172" t="s">
        <v>19</v>
      </c>
      <c r="T1" s="172"/>
      <c r="U1" s="173" t="s">
        <v>22</v>
      </c>
      <c r="V1" s="171" t="s">
        <v>57</v>
      </c>
      <c r="W1" s="171" t="s">
        <v>67</v>
      </c>
      <c r="X1" s="171" t="s">
        <v>58</v>
      </c>
      <c r="Y1" s="171" t="s">
        <v>59</v>
      </c>
      <c r="Z1" s="171" t="s">
        <v>60</v>
      </c>
      <c r="AA1" s="171" t="s">
        <v>79</v>
      </c>
      <c r="AB1" s="171" t="s">
        <v>95</v>
      </c>
      <c r="AC1" s="221" t="s">
        <v>96</v>
      </c>
      <c r="AD1" s="171" t="s">
        <v>107</v>
      </c>
      <c r="AE1" s="171" t="s">
        <v>97</v>
      </c>
      <c r="AF1" s="171" t="s">
        <v>98</v>
      </c>
      <c r="AG1" s="171" t="s">
        <v>99</v>
      </c>
      <c r="AH1" s="171" t="s">
        <v>111</v>
      </c>
      <c r="AI1" s="171" t="s">
        <v>112</v>
      </c>
      <c r="AJ1" s="171" t="s">
        <v>113</v>
      </c>
      <c r="AK1" s="171" t="s">
        <v>167</v>
      </c>
      <c r="AL1" s="172" t="s">
        <v>18</v>
      </c>
      <c r="AM1" s="172" t="s">
        <v>19</v>
      </c>
    </row>
    <row r="2" spans="1:55" ht="13.5" x14ac:dyDescent="0.25">
      <c r="A2" s="176" t="s">
        <v>20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8"/>
      <c r="S2" s="178"/>
      <c r="T2" s="179"/>
      <c r="U2" s="180" t="s">
        <v>20</v>
      </c>
      <c r="V2" s="177"/>
      <c r="W2" s="177"/>
      <c r="X2" s="177"/>
      <c r="Y2" s="177"/>
      <c r="Z2" s="177"/>
      <c r="AA2" s="177"/>
      <c r="AB2" s="177"/>
      <c r="AC2" s="182"/>
      <c r="AD2" s="177"/>
      <c r="AE2" s="177"/>
      <c r="AF2" s="177"/>
      <c r="AG2" s="177"/>
      <c r="AH2" s="177"/>
      <c r="AI2" s="177"/>
      <c r="AJ2" s="177"/>
      <c r="AK2" s="177"/>
      <c r="AL2" s="178"/>
      <c r="AM2" s="178"/>
      <c r="AO2" s="182">
        <f>0+B185-V185</f>
        <v>-20</v>
      </c>
      <c r="AP2" s="182">
        <f>0+C185-W185</f>
        <v>75</v>
      </c>
      <c r="AQ2" s="182">
        <f>0+D185-X185</f>
        <v>130</v>
      </c>
      <c r="AR2" s="182">
        <f>0+E185-Y185</f>
        <v>105</v>
      </c>
      <c r="AS2" s="182">
        <f>0+F185-Z185</f>
        <v>-10</v>
      </c>
      <c r="AT2" s="182">
        <f>G185-AA185</f>
        <v>10</v>
      </c>
      <c r="AU2" s="182">
        <f>H185-AB185</f>
        <v>65</v>
      </c>
      <c r="AV2" s="182">
        <f>I185-AC185</f>
        <v>0</v>
      </c>
      <c r="AW2" s="182">
        <f t="shared" ref="AW2:BC2" si="0">0+J185-AD185</f>
        <v>155</v>
      </c>
      <c r="AX2" s="182">
        <f t="shared" si="0"/>
        <v>220</v>
      </c>
      <c r="AY2" s="182">
        <f t="shared" si="0"/>
        <v>70</v>
      </c>
      <c r="AZ2" s="182">
        <f t="shared" si="0"/>
        <v>15</v>
      </c>
      <c r="BA2" s="182">
        <f t="shared" si="0"/>
        <v>10</v>
      </c>
      <c r="BB2" s="182">
        <f t="shared" si="0"/>
        <v>45</v>
      </c>
      <c r="BC2" s="182">
        <f t="shared" si="0"/>
        <v>85</v>
      </c>
    </row>
    <row r="3" spans="1:55" x14ac:dyDescent="0.2">
      <c r="A3" s="183">
        <v>45587</v>
      </c>
      <c r="B3" s="182">
        <v>25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4">
        <v>607</v>
      </c>
      <c r="S3" s="178">
        <f t="shared" ref="S3:S41" si="1">B3*R3+C3*R3+D3*R3+E3*R3+F3*R3+G3*R3+H3*R3+I3*R3+J3*R3+K3*R3+L3*R3+M3*R3+N3*R3</f>
        <v>15175</v>
      </c>
      <c r="T3" s="179"/>
      <c r="U3" s="185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78"/>
      <c r="AM3" s="178">
        <f>V3*AL3+W3*AL3+X3*AL3+Y3*AL3+Z3*AL3+AC3*AL3+AA3*AL3+AB3*AL3+AD3*AL3+AE3*AL3+AF3*AL3+AG3*AL3+AH3*AL3+AI3*AL3+AJ3*AL3+AK3*AL3</f>
        <v>0</v>
      </c>
      <c r="AO3" s="184">
        <v>607</v>
      </c>
      <c r="AP3" s="178">
        <v>427</v>
      </c>
      <c r="AQ3" s="178">
        <v>427</v>
      </c>
      <c r="AR3" s="178">
        <v>514</v>
      </c>
      <c r="AS3" s="178">
        <v>519</v>
      </c>
      <c r="AT3" s="178">
        <v>504</v>
      </c>
      <c r="AU3" s="178">
        <v>557</v>
      </c>
      <c r="AV3" s="178">
        <v>502.85</v>
      </c>
      <c r="AW3" s="178">
        <v>398</v>
      </c>
      <c r="AX3" s="178">
        <v>629.27</v>
      </c>
      <c r="AY3" s="178">
        <v>524</v>
      </c>
      <c r="AZ3" s="178">
        <v>689.75</v>
      </c>
      <c r="BA3" s="177">
        <v>688.59</v>
      </c>
      <c r="BB3" s="177">
        <v>522.19000000000005</v>
      </c>
      <c r="BC3" s="177">
        <v>532.12</v>
      </c>
    </row>
    <row r="4" spans="1:55" x14ac:dyDescent="0.2">
      <c r="A4" s="183"/>
      <c r="B4" s="182"/>
      <c r="C4" s="182">
        <v>25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78">
        <v>427</v>
      </c>
      <c r="S4" s="178">
        <f t="shared" si="1"/>
        <v>10675</v>
      </c>
      <c r="T4" s="179"/>
      <c r="U4" s="185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4"/>
      <c r="AM4" s="178">
        <f t="shared" ref="AM4:AM67" si="2">V4*AL4+W4*AL4+X4*AL4+Y4*AL4+Z4*AL4+AC4*AL4+AA4*AL4+AB4*AL4+AD4*AL4+AE4*AL4+AF4*AL4+AG4*AL4+AH4*AL4+AI4*AL4+AJ4*AL4+AK4*AL4</f>
        <v>0</v>
      </c>
      <c r="AO4" s="178">
        <f>AO2*AO3</f>
        <v>-12140</v>
      </c>
      <c r="AP4" s="178">
        <f t="shared" ref="AP4:BC4" si="3">AP2*AP3</f>
        <v>32025</v>
      </c>
      <c r="AQ4" s="178">
        <f t="shared" si="3"/>
        <v>55510</v>
      </c>
      <c r="AR4" s="178">
        <f t="shared" si="3"/>
        <v>53970</v>
      </c>
      <c r="AS4" s="178">
        <f t="shared" si="3"/>
        <v>-5190</v>
      </c>
      <c r="AT4" s="178">
        <f t="shared" si="3"/>
        <v>5040</v>
      </c>
      <c r="AU4" s="178">
        <f t="shared" si="3"/>
        <v>36205</v>
      </c>
      <c r="AV4" s="178">
        <f t="shared" si="3"/>
        <v>0</v>
      </c>
      <c r="AW4" s="178">
        <f t="shared" si="3"/>
        <v>61690</v>
      </c>
      <c r="AX4" s="178">
        <f t="shared" si="3"/>
        <v>138439.4</v>
      </c>
      <c r="AY4" s="178">
        <f t="shared" si="3"/>
        <v>36680</v>
      </c>
      <c r="AZ4" s="178">
        <f t="shared" si="3"/>
        <v>10346.25</v>
      </c>
      <c r="BA4" s="178">
        <f t="shared" si="3"/>
        <v>6885.9000000000005</v>
      </c>
      <c r="BB4" s="178">
        <f t="shared" si="3"/>
        <v>23498.550000000003</v>
      </c>
      <c r="BC4" s="178">
        <f t="shared" si="3"/>
        <v>45230.2</v>
      </c>
    </row>
    <row r="5" spans="1:55" x14ac:dyDescent="0.2">
      <c r="A5" s="186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78"/>
      <c r="S5" s="178">
        <f t="shared" si="1"/>
        <v>0</v>
      </c>
      <c r="T5" s="179"/>
      <c r="U5" s="185">
        <v>45589</v>
      </c>
      <c r="V5" s="182">
        <v>5</v>
      </c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78">
        <v>607</v>
      </c>
      <c r="AM5" s="178">
        <f t="shared" si="2"/>
        <v>3035</v>
      </c>
    </row>
    <row r="6" spans="1:55" x14ac:dyDescent="0.2">
      <c r="A6" s="183">
        <v>45593</v>
      </c>
      <c r="B6" s="182"/>
      <c r="C6" s="182"/>
      <c r="D6" s="182">
        <v>75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78">
        <v>427</v>
      </c>
      <c r="S6" s="178">
        <f t="shared" si="1"/>
        <v>32025</v>
      </c>
      <c r="T6" s="179"/>
      <c r="U6" s="185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4"/>
      <c r="AM6" s="178">
        <f t="shared" si="2"/>
        <v>0</v>
      </c>
    </row>
    <row r="7" spans="1:55" x14ac:dyDescent="0.2">
      <c r="A7" s="186"/>
      <c r="B7" s="182"/>
      <c r="C7" s="182"/>
      <c r="D7" s="182"/>
      <c r="E7" s="182">
        <v>25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78">
        <v>514</v>
      </c>
      <c r="S7" s="178">
        <f t="shared" si="1"/>
        <v>12850</v>
      </c>
      <c r="T7" s="179"/>
      <c r="U7" s="177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78"/>
      <c r="AM7" s="178">
        <f t="shared" si="2"/>
        <v>0</v>
      </c>
    </row>
    <row r="8" spans="1:55" x14ac:dyDescent="0.2">
      <c r="A8" s="186"/>
      <c r="B8" s="182"/>
      <c r="C8" s="182"/>
      <c r="D8" s="182"/>
      <c r="E8" s="182"/>
      <c r="F8" s="182">
        <v>25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78">
        <v>519</v>
      </c>
      <c r="S8" s="178">
        <f t="shared" si="1"/>
        <v>12975</v>
      </c>
      <c r="T8" s="179"/>
      <c r="U8" s="185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4"/>
      <c r="AM8" s="178">
        <f t="shared" si="2"/>
        <v>0</v>
      </c>
    </row>
    <row r="9" spans="1:55" x14ac:dyDescent="0.2">
      <c r="A9" s="186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78"/>
      <c r="S9" s="178">
        <f t="shared" si="1"/>
        <v>0</v>
      </c>
      <c r="T9" s="179"/>
      <c r="U9" s="185">
        <v>45594</v>
      </c>
      <c r="V9" s="182"/>
      <c r="W9" s="182">
        <v>10</v>
      </c>
      <c r="X9" s="182">
        <v>5</v>
      </c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78">
        <v>427</v>
      </c>
      <c r="AM9" s="178">
        <f t="shared" si="2"/>
        <v>6405</v>
      </c>
    </row>
    <row r="10" spans="1:55" x14ac:dyDescent="0.2">
      <c r="A10" s="186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78"/>
      <c r="S10" s="178">
        <f t="shared" si="1"/>
        <v>0</v>
      </c>
      <c r="T10" s="179"/>
      <c r="U10" s="185"/>
      <c r="V10" s="187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78">
        <v>607</v>
      </c>
      <c r="AM10" s="178">
        <f t="shared" si="2"/>
        <v>0</v>
      </c>
    </row>
    <row r="11" spans="1:55" x14ac:dyDescent="0.2">
      <c r="A11" s="183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78"/>
      <c r="S11" s="178">
        <f t="shared" si="1"/>
        <v>0</v>
      </c>
      <c r="T11" s="179"/>
      <c r="U11" s="177"/>
      <c r="V11" s="182"/>
      <c r="W11" s="182"/>
      <c r="X11" s="182"/>
      <c r="Y11" s="182">
        <v>10</v>
      </c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78">
        <v>514</v>
      </c>
      <c r="AM11" s="178">
        <f t="shared" si="2"/>
        <v>5140</v>
      </c>
    </row>
    <row r="12" spans="1:55" x14ac:dyDescent="0.2">
      <c r="A12" s="186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78"/>
      <c r="S12" s="178">
        <f t="shared" si="1"/>
        <v>0</v>
      </c>
      <c r="T12" s="179"/>
      <c r="U12" s="185"/>
      <c r="V12" s="182"/>
      <c r="W12" s="182"/>
      <c r="X12" s="182"/>
      <c r="Y12" s="182"/>
      <c r="Z12" s="182">
        <v>5</v>
      </c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78">
        <v>519</v>
      </c>
      <c r="AM12" s="178">
        <f t="shared" si="2"/>
        <v>2595</v>
      </c>
    </row>
    <row r="13" spans="1:55" x14ac:dyDescent="0.2">
      <c r="A13" s="186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78"/>
      <c r="S13" s="178">
        <f t="shared" si="1"/>
        <v>0</v>
      </c>
      <c r="T13" s="179"/>
      <c r="U13" s="185">
        <v>45596</v>
      </c>
      <c r="V13" s="182">
        <v>5</v>
      </c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78">
        <v>607</v>
      </c>
      <c r="AM13" s="178">
        <f t="shared" si="2"/>
        <v>3035</v>
      </c>
    </row>
    <row r="14" spans="1:55" x14ac:dyDescent="0.2">
      <c r="A14" s="186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78"/>
      <c r="S14" s="178">
        <f t="shared" si="1"/>
        <v>0</v>
      </c>
      <c r="T14" s="179"/>
      <c r="U14" s="185">
        <v>45597</v>
      </c>
      <c r="V14" s="182">
        <v>10</v>
      </c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78">
        <v>607</v>
      </c>
      <c r="AM14" s="178">
        <f t="shared" si="2"/>
        <v>6070</v>
      </c>
    </row>
    <row r="15" spans="1:55" x14ac:dyDescent="0.2">
      <c r="A15" s="186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78"/>
      <c r="S15" s="178">
        <f t="shared" si="1"/>
        <v>0</v>
      </c>
      <c r="T15" s="179"/>
      <c r="U15" s="185">
        <v>45601</v>
      </c>
      <c r="V15" s="182"/>
      <c r="W15" s="182"/>
      <c r="X15" s="182">
        <v>35</v>
      </c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78">
        <v>427</v>
      </c>
      <c r="AM15" s="178">
        <f t="shared" si="2"/>
        <v>14945</v>
      </c>
    </row>
    <row r="16" spans="1:55" x14ac:dyDescent="0.2">
      <c r="A16" s="183">
        <v>45602</v>
      </c>
      <c r="B16" s="182"/>
      <c r="C16" s="182"/>
      <c r="D16" s="182"/>
      <c r="E16" s="182"/>
      <c r="F16" s="182"/>
      <c r="G16" s="182">
        <v>5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8">
        <v>504</v>
      </c>
      <c r="S16" s="178">
        <f t="shared" si="1"/>
        <v>2520</v>
      </c>
      <c r="T16" s="179"/>
      <c r="U16" s="185">
        <v>45602</v>
      </c>
      <c r="V16" s="182"/>
      <c r="W16" s="182"/>
      <c r="X16" s="182"/>
      <c r="Y16" s="182"/>
      <c r="Z16" s="182"/>
      <c r="AA16" s="182"/>
      <c r="AB16" s="182">
        <v>10</v>
      </c>
      <c r="AC16" s="182"/>
      <c r="AD16" s="182"/>
      <c r="AE16" s="182"/>
      <c r="AF16" s="182"/>
      <c r="AG16" s="182"/>
      <c r="AH16" s="182"/>
      <c r="AI16" s="182"/>
      <c r="AJ16" s="182"/>
      <c r="AK16" s="182"/>
      <c r="AL16" s="178">
        <v>557</v>
      </c>
      <c r="AM16" s="178">
        <f t="shared" si="2"/>
        <v>5570</v>
      </c>
    </row>
    <row r="17" spans="1:39" x14ac:dyDescent="0.2">
      <c r="A17" s="186"/>
      <c r="B17" s="182"/>
      <c r="C17" s="182"/>
      <c r="D17" s="182"/>
      <c r="E17" s="182"/>
      <c r="F17" s="182"/>
      <c r="G17" s="182"/>
      <c r="H17" s="182">
        <v>25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8">
        <v>557</v>
      </c>
      <c r="S17" s="178">
        <f t="shared" si="1"/>
        <v>13925</v>
      </c>
      <c r="T17" s="179"/>
      <c r="U17" s="185"/>
      <c r="V17" s="182"/>
      <c r="W17" s="182"/>
      <c r="X17" s="182"/>
      <c r="Y17" s="182"/>
      <c r="Z17" s="182"/>
      <c r="AA17" s="182">
        <v>5</v>
      </c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78">
        <v>504</v>
      </c>
      <c r="AM17" s="178">
        <f t="shared" si="2"/>
        <v>2520</v>
      </c>
    </row>
    <row r="18" spans="1:39" x14ac:dyDescent="0.2">
      <c r="A18" s="186"/>
      <c r="B18" s="182">
        <v>50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8">
        <v>607</v>
      </c>
      <c r="S18" s="178">
        <f t="shared" si="1"/>
        <v>30350</v>
      </c>
      <c r="T18" s="179"/>
      <c r="U18" s="185"/>
      <c r="V18" s="187">
        <v>5</v>
      </c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78"/>
      <c r="AM18" s="178">
        <f t="shared" si="2"/>
        <v>0</v>
      </c>
    </row>
    <row r="19" spans="1:39" x14ac:dyDescent="0.2">
      <c r="A19" s="183">
        <v>45614</v>
      </c>
      <c r="B19" s="182"/>
      <c r="C19" s="182"/>
      <c r="D19" s="182"/>
      <c r="E19" s="182"/>
      <c r="F19" s="182"/>
      <c r="G19" s="182">
        <v>25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78">
        <v>504</v>
      </c>
      <c r="S19" s="178">
        <f t="shared" si="1"/>
        <v>12600</v>
      </c>
      <c r="T19" s="179"/>
      <c r="U19" s="185">
        <v>45618</v>
      </c>
      <c r="V19" s="182"/>
      <c r="W19" s="182"/>
      <c r="X19" s="182">
        <v>20</v>
      </c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78">
        <v>427</v>
      </c>
      <c r="AM19" s="178">
        <f t="shared" si="2"/>
        <v>8540</v>
      </c>
    </row>
    <row r="20" spans="1:39" x14ac:dyDescent="0.2">
      <c r="A20" s="186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78"/>
      <c r="S20" s="178">
        <f t="shared" si="1"/>
        <v>0</v>
      </c>
      <c r="T20" s="179"/>
      <c r="U20" s="185"/>
      <c r="V20" s="182"/>
      <c r="W20" s="182"/>
      <c r="X20" s="182"/>
      <c r="Y20" s="182"/>
      <c r="Z20" s="182"/>
      <c r="AA20" s="182"/>
      <c r="AB20" s="182">
        <v>5</v>
      </c>
      <c r="AC20" s="182"/>
      <c r="AD20" s="182"/>
      <c r="AE20" s="182"/>
      <c r="AF20" s="182"/>
      <c r="AG20" s="182"/>
      <c r="AH20" s="182"/>
      <c r="AI20" s="182"/>
      <c r="AJ20" s="182"/>
      <c r="AK20" s="182"/>
      <c r="AL20" s="178">
        <v>557</v>
      </c>
      <c r="AM20" s="178">
        <f t="shared" si="2"/>
        <v>2785</v>
      </c>
    </row>
    <row r="21" spans="1:39" x14ac:dyDescent="0.2">
      <c r="A21" s="186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78"/>
      <c r="S21" s="178">
        <f t="shared" si="1"/>
        <v>0</v>
      </c>
      <c r="T21" s="179"/>
      <c r="U21" s="185"/>
      <c r="V21" s="182">
        <v>15</v>
      </c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78">
        <v>607</v>
      </c>
      <c r="AM21" s="178">
        <f t="shared" si="2"/>
        <v>9105</v>
      </c>
    </row>
    <row r="22" spans="1:39" x14ac:dyDescent="0.2">
      <c r="A22" s="186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78"/>
      <c r="S22" s="178">
        <f t="shared" si="1"/>
        <v>0</v>
      </c>
      <c r="T22" s="179"/>
      <c r="U22" s="185">
        <v>45621</v>
      </c>
      <c r="V22" s="182"/>
      <c r="W22" s="182"/>
      <c r="X22" s="182"/>
      <c r="Y22" s="182"/>
      <c r="Z22" s="182"/>
      <c r="AA22" s="182">
        <v>5</v>
      </c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78">
        <v>504</v>
      </c>
      <c r="AM22" s="178">
        <f t="shared" si="2"/>
        <v>2520</v>
      </c>
    </row>
    <row r="23" spans="1:39" x14ac:dyDescent="0.2">
      <c r="A23" s="183">
        <v>45628</v>
      </c>
      <c r="B23" s="182"/>
      <c r="C23" s="182"/>
      <c r="D23" s="182"/>
      <c r="E23" s="182"/>
      <c r="F23" s="182"/>
      <c r="G23" s="182"/>
      <c r="H23" s="182"/>
      <c r="I23" s="182">
        <v>25</v>
      </c>
      <c r="J23" s="182"/>
      <c r="K23" s="182"/>
      <c r="L23" s="182"/>
      <c r="M23" s="182"/>
      <c r="N23" s="182"/>
      <c r="O23" s="182"/>
      <c r="P23" s="182"/>
      <c r="Q23" s="182"/>
      <c r="R23" s="178">
        <v>502.85</v>
      </c>
      <c r="S23" s="178">
        <f t="shared" si="1"/>
        <v>12571.25</v>
      </c>
      <c r="T23" s="179"/>
      <c r="U23" s="185">
        <v>45628</v>
      </c>
      <c r="V23" s="182"/>
      <c r="W23" s="182"/>
      <c r="X23" s="182"/>
      <c r="Y23" s="182"/>
      <c r="Z23" s="182"/>
      <c r="AA23" s="182"/>
      <c r="AB23" s="182"/>
      <c r="AC23" s="182">
        <v>5</v>
      </c>
      <c r="AD23" s="182"/>
      <c r="AE23" s="182"/>
      <c r="AF23" s="182"/>
      <c r="AG23" s="182"/>
      <c r="AH23" s="182"/>
      <c r="AI23" s="182"/>
      <c r="AJ23" s="182"/>
      <c r="AK23" s="182"/>
      <c r="AL23" s="178">
        <v>502.85</v>
      </c>
      <c r="AM23" s="178">
        <f t="shared" si="2"/>
        <v>2514.25</v>
      </c>
    </row>
    <row r="24" spans="1:39" x14ac:dyDescent="0.2">
      <c r="A24" s="186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78"/>
      <c r="S24" s="178">
        <f t="shared" si="1"/>
        <v>0</v>
      </c>
      <c r="T24" s="179"/>
      <c r="U24" s="185">
        <v>45632</v>
      </c>
      <c r="V24" s="182"/>
      <c r="W24" s="182"/>
      <c r="X24" s="182"/>
      <c r="Y24" s="182"/>
      <c r="Z24" s="182">
        <v>10</v>
      </c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78">
        <v>519</v>
      </c>
      <c r="AM24" s="178">
        <f t="shared" si="2"/>
        <v>5190</v>
      </c>
    </row>
    <row r="25" spans="1:39" x14ac:dyDescent="0.2">
      <c r="A25" s="186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78"/>
      <c r="S25" s="178">
        <f t="shared" si="1"/>
        <v>0</v>
      </c>
      <c r="T25" s="179"/>
      <c r="U25" s="185">
        <v>45635</v>
      </c>
      <c r="V25" s="182"/>
      <c r="W25" s="182"/>
      <c r="X25" s="182"/>
      <c r="Y25" s="182"/>
      <c r="Z25" s="182"/>
      <c r="AA25" s="182"/>
      <c r="AB25" s="182"/>
      <c r="AC25" s="182">
        <v>10</v>
      </c>
      <c r="AD25" s="182"/>
      <c r="AE25" s="182"/>
      <c r="AF25" s="182"/>
      <c r="AG25" s="182"/>
      <c r="AH25" s="182"/>
      <c r="AI25" s="182"/>
      <c r="AJ25" s="182"/>
      <c r="AK25" s="182"/>
      <c r="AL25" s="178">
        <v>502.85</v>
      </c>
      <c r="AM25" s="178">
        <f t="shared" si="2"/>
        <v>5028.5</v>
      </c>
    </row>
    <row r="26" spans="1:39" x14ac:dyDescent="0.2">
      <c r="A26" s="183">
        <v>45638</v>
      </c>
      <c r="B26" s="182"/>
      <c r="C26" s="182"/>
      <c r="D26" s="182"/>
      <c r="E26" s="182"/>
      <c r="F26" s="182"/>
      <c r="G26" s="182"/>
      <c r="H26" s="182"/>
      <c r="I26" s="182"/>
      <c r="J26" s="182">
        <v>25</v>
      </c>
      <c r="K26" s="182"/>
      <c r="L26" s="182"/>
      <c r="M26" s="182"/>
      <c r="N26" s="182"/>
      <c r="O26" s="182"/>
      <c r="P26" s="182"/>
      <c r="Q26" s="182"/>
      <c r="R26" s="178">
        <v>398</v>
      </c>
      <c r="S26" s="178">
        <f t="shared" si="1"/>
        <v>9950</v>
      </c>
      <c r="T26" s="179"/>
      <c r="U26" s="185">
        <v>45638</v>
      </c>
      <c r="V26" s="182"/>
      <c r="W26" s="182"/>
      <c r="X26" s="182">
        <v>15</v>
      </c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78">
        <v>427</v>
      </c>
      <c r="AM26" s="178">
        <f t="shared" si="2"/>
        <v>6405</v>
      </c>
    </row>
    <row r="27" spans="1:39" x14ac:dyDescent="0.2">
      <c r="A27" s="186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78"/>
      <c r="S27" s="178">
        <f t="shared" si="1"/>
        <v>0</v>
      </c>
      <c r="T27" s="179"/>
      <c r="U27" s="185"/>
      <c r="V27" s="182"/>
      <c r="W27" s="182"/>
      <c r="X27" s="182"/>
      <c r="Y27" s="182"/>
      <c r="Z27" s="182"/>
      <c r="AA27" s="182"/>
      <c r="AB27" s="182"/>
      <c r="AC27" s="182"/>
      <c r="AD27" s="182">
        <v>10</v>
      </c>
      <c r="AE27" s="182"/>
      <c r="AF27" s="182"/>
      <c r="AG27" s="182"/>
      <c r="AH27" s="182"/>
      <c r="AI27" s="182"/>
      <c r="AJ27" s="182"/>
      <c r="AK27" s="182"/>
      <c r="AL27" s="178">
        <v>398</v>
      </c>
      <c r="AM27" s="178">
        <f t="shared" si="2"/>
        <v>3980</v>
      </c>
    </row>
    <row r="28" spans="1:39" x14ac:dyDescent="0.2">
      <c r="A28" s="186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78"/>
      <c r="S28" s="178">
        <f t="shared" si="1"/>
        <v>0</v>
      </c>
      <c r="T28" s="179"/>
      <c r="U28" s="185">
        <v>45642</v>
      </c>
      <c r="V28" s="182"/>
      <c r="W28" s="182">
        <v>10</v>
      </c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78">
        <v>427</v>
      </c>
      <c r="AM28" s="178">
        <f t="shared" si="2"/>
        <v>4270</v>
      </c>
    </row>
    <row r="29" spans="1:39" x14ac:dyDescent="0.2">
      <c r="A29" s="183">
        <v>45643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>
        <v>25</v>
      </c>
      <c r="L29" s="182"/>
      <c r="M29" s="182"/>
      <c r="N29" s="182"/>
      <c r="O29" s="182"/>
      <c r="P29" s="182"/>
      <c r="Q29" s="182"/>
      <c r="R29" s="178">
        <v>629.27</v>
      </c>
      <c r="S29" s="178">
        <f t="shared" si="1"/>
        <v>15731.75</v>
      </c>
      <c r="T29" s="179"/>
      <c r="U29" s="185">
        <v>45643</v>
      </c>
      <c r="V29" s="182"/>
      <c r="W29" s="182">
        <v>5</v>
      </c>
      <c r="X29" s="182">
        <v>15</v>
      </c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78">
        <v>427</v>
      </c>
      <c r="AM29" s="178">
        <f t="shared" si="2"/>
        <v>8540</v>
      </c>
    </row>
    <row r="30" spans="1:39" x14ac:dyDescent="0.2">
      <c r="A30" s="186"/>
      <c r="B30" s="182"/>
      <c r="C30" s="182"/>
      <c r="D30" s="182"/>
      <c r="E30" s="182"/>
      <c r="F30" s="182"/>
      <c r="G30" s="182"/>
      <c r="H30" s="182"/>
      <c r="I30" s="182">
        <v>15</v>
      </c>
      <c r="J30" s="182"/>
      <c r="K30" s="182"/>
      <c r="L30" s="182"/>
      <c r="M30" s="182"/>
      <c r="N30" s="182"/>
      <c r="O30" s="182"/>
      <c r="P30" s="182"/>
      <c r="Q30" s="182"/>
      <c r="R30" s="178">
        <v>502.85</v>
      </c>
      <c r="S30" s="178">
        <f t="shared" si="1"/>
        <v>7542.75</v>
      </c>
      <c r="T30" s="179"/>
      <c r="U30" s="185">
        <v>45645</v>
      </c>
      <c r="V30" s="182"/>
      <c r="W30" s="182"/>
      <c r="X30" s="182"/>
      <c r="Y30" s="182"/>
      <c r="Z30" s="182"/>
      <c r="AA30" s="182"/>
      <c r="AB30" s="182"/>
      <c r="AC30" s="182">
        <v>5</v>
      </c>
      <c r="AD30" s="182"/>
      <c r="AE30" s="182"/>
      <c r="AF30" s="182"/>
      <c r="AG30" s="182"/>
      <c r="AH30" s="182"/>
      <c r="AI30" s="182"/>
      <c r="AJ30" s="182"/>
      <c r="AK30" s="182"/>
      <c r="AL30" s="178">
        <v>502.85</v>
      </c>
      <c r="AM30" s="178">
        <f t="shared" si="2"/>
        <v>2514.25</v>
      </c>
    </row>
    <row r="31" spans="1:39" x14ac:dyDescent="0.2">
      <c r="A31" s="186"/>
      <c r="B31" s="182"/>
      <c r="C31" s="182"/>
      <c r="D31" s="182">
        <v>50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78">
        <v>427</v>
      </c>
      <c r="S31" s="178">
        <f t="shared" si="1"/>
        <v>21350</v>
      </c>
      <c r="T31" s="179"/>
      <c r="U31" s="185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>
        <v>5</v>
      </c>
      <c r="AH31" s="182"/>
      <c r="AI31" s="182"/>
      <c r="AJ31" s="182"/>
      <c r="AK31" s="182"/>
      <c r="AL31" s="178">
        <v>689.75</v>
      </c>
      <c r="AM31" s="178">
        <f t="shared" si="2"/>
        <v>3448.75</v>
      </c>
    </row>
    <row r="32" spans="1:39" x14ac:dyDescent="0.2">
      <c r="A32" s="186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>
        <v>25</v>
      </c>
      <c r="M32" s="182"/>
      <c r="N32" s="182"/>
      <c r="O32" s="182"/>
      <c r="P32" s="182"/>
      <c r="Q32" s="182"/>
      <c r="R32" s="178">
        <v>524</v>
      </c>
      <c r="S32" s="178">
        <f t="shared" si="1"/>
        <v>13100</v>
      </c>
      <c r="T32" s="179"/>
      <c r="U32" s="185">
        <v>45646</v>
      </c>
      <c r="V32" s="182"/>
      <c r="W32" s="182"/>
      <c r="X32" s="182"/>
      <c r="Y32" s="182"/>
      <c r="Z32" s="182"/>
      <c r="AA32" s="182"/>
      <c r="AB32" s="182"/>
      <c r="AC32" s="182"/>
      <c r="AD32" s="182"/>
      <c r="AE32" s="182">
        <v>10</v>
      </c>
      <c r="AF32" s="182"/>
      <c r="AG32" s="182"/>
      <c r="AH32" s="182"/>
      <c r="AI32" s="182"/>
      <c r="AJ32" s="182"/>
      <c r="AK32" s="182"/>
      <c r="AL32" s="178">
        <v>629.27</v>
      </c>
      <c r="AM32" s="178">
        <f t="shared" si="2"/>
        <v>6292.7</v>
      </c>
    </row>
    <row r="33" spans="1:39" x14ac:dyDescent="0.2">
      <c r="A33" s="186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>
        <v>25</v>
      </c>
      <c r="N33" s="182"/>
      <c r="O33" s="182"/>
      <c r="P33" s="182"/>
      <c r="Q33" s="182"/>
      <c r="R33" s="178">
        <v>689.75</v>
      </c>
      <c r="S33" s="178">
        <f t="shared" si="1"/>
        <v>17243.75</v>
      </c>
      <c r="T33" s="179"/>
      <c r="U33" s="185">
        <v>46014</v>
      </c>
      <c r="V33" s="182"/>
      <c r="W33" s="182"/>
      <c r="X33" s="182">
        <v>10</v>
      </c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78">
        <v>427</v>
      </c>
      <c r="AM33" s="178">
        <f t="shared" si="2"/>
        <v>4270</v>
      </c>
    </row>
    <row r="34" spans="1:39" x14ac:dyDescent="0.2">
      <c r="A34" s="186"/>
      <c r="B34" s="182"/>
      <c r="C34" s="182"/>
      <c r="D34" s="182"/>
      <c r="E34" s="182"/>
      <c r="F34" s="182"/>
      <c r="G34" s="182"/>
      <c r="H34" s="182">
        <v>25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78">
        <v>557</v>
      </c>
      <c r="S34" s="178">
        <f t="shared" si="1"/>
        <v>13925</v>
      </c>
      <c r="T34" s="179"/>
      <c r="U34" s="185"/>
      <c r="V34" s="182">
        <v>10</v>
      </c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78">
        <v>607</v>
      </c>
      <c r="AM34" s="178">
        <f t="shared" si="2"/>
        <v>6070</v>
      </c>
    </row>
    <row r="35" spans="1:39" x14ac:dyDescent="0.2">
      <c r="A35" s="186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78"/>
      <c r="S35" s="178">
        <f t="shared" si="1"/>
        <v>0</v>
      </c>
      <c r="T35" s="179"/>
      <c r="U35" s="185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>
        <v>5</v>
      </c>
      <c r="AH35" s="182"/>
      <c r="AI35" s="182"/>
      <c r="AJ35" s="182"/>
      <c r="AK35" s="182"/>
      <c r="AL35" s="178">
        <v>689.75</v>
      </c>
      <c r="AM35" s="178">
        <f t="shared" si="2"/>
        <v>3448.75</v>
      </c>
    </row>
    <row r="36" spans="1:39" x14ac:dyDescent="0.2">
      <c r="A36" s="186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78"/>
      <c r="S36" s="178">
        <f t="shared" si="1"/>
        <v>0</v>
      </c>
      <c r="T36" s="179"/>
      <c r="U36" s="185">
        <v>45650</v>
      </c>
      <c r="V36" s="182"/>
      <c r="W36" s="182"/>
      <c r="X36" s="182"/>
      <c r="Y36" s="182"/>
      <c r="Z36" s="182"/>
      <c r="AA36" s="182"/>
      <c r="AB36" s="182"/>
      <c r="AC36" s="182"/>
      <c r="AD36" s="182">
        <v>15</v>
      </c>
      <c r="AE36" s="182"/>
      <c r="AF36" s="182"/>
      <c r="AG36" s="182"/>
      <c r="AH36" s="182"/>
      <c r="AI36" s="182"/>
      <c r="AJ36" s="182"/>
      <c r="AK36" s="182"/>
      <c r="AL36" s="178">
        <v>398</v>
      </c>
      <c r="AM36" s="178">
        <f t="shared" si="2"/>
        <v>5970</v>
      </c>
    </row>
    <row r="37" spans="1:39" x14ac:dyDescent="0.2">
      <c r="A37" s="186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78"/>
      <c r="S37" s="178">
        <f t="shared" si="1"/>
        <v>0</v>
      </c>
      <c r="T37" s="179"/>
      <c r="U37" s="185">
        <v>45651</v>
      </c>
      <c r="V37" s="182"/>
      <c r="W37" s="182"/>
      <c r="X37" s="182"/>
      <c r="Y37" s="182"/>
      <c r="Z37" s="182"/>
      <c r="AA37" s="182"/>
      <c r="AB37" s="182"/>
      <c r="AC37" s="182"/>
      <c r="AD37" s="182"/>
      <c r="AE37" s="182">
        <v>5</v>
      </c>
      <c r="AF37" s="182"/>
      <c r="AG37" s="182"/>
      <c r="AH37" s="182"/>
      <c r="AI37" s="182"/>
      <c r="AJ37" s="182"/>
      <c r="AK37" s="182"/>
      <c r="AL37" s="178">
        <v>629.27</v>
      </c>
      <c r="AM37" s="178">
        <f t="shared" si="2"/>
        <v>3146.35</v>
      </c>
    </row>
    <row r="38" spans="1:39" x14ac:dyDescent="0.2">
      <c r="A38" s="186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78"/>
      <c r="S38" s="178">
        <f t="shared" si="1"/>
        <v>0</v>
      </c>
      <c r="T38" s="179"/>
      <c r="U38" s="185">
        <v>45652</v>
      </c>
      <c r="V38" s="182"/>
      <c r="W38" s="182"/>
      <c r="X38" s="182">
        <v>10</v>
      </c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78">
        <v>427</v>
      </c>
      <c r="AM38" s="178">
        <f t="shared" si="2"/>
        <v>4270</v>
      </c>
    </row>
    <row r="39" spans="1:39" x14ac:dyDescent="0.2">
      <c r="A39" s="186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78"/>
      <c r="S39" s="178">
        <f t="shared" si="1"/>
        <v>0</v>
      </c>
      <c r="T39" s="179"/>
      <c r="U39" s="185"/>
      <c r="V39" s="182"/>
      <c r="W39" s="182"/>
      <c r="X39" s="182"/>
      <c r="Y39" s="182"/>
      <c r="Z39" s="182"/>
      <c r="AA39" s="182"/>
      <c r="AB39" s="182">
        <v>5</v>
      </c>
      <c r="AC39" s="182"/>
      <c r="AD39" s="182"/>
      <c r="AE39" s="182"/>
      <c r="AF39" s="182"/>
      <c r="AG39" s="182"/>
      <c r="AH39" s="182"/>
      <c r="AI39" s="182"/>
      <c r="AJ39" s="182"/>
      <c r="AK39" s="182"/>
      <c r="AL39" s="178">
        <v>557</v>
      </c>
      <c r="AM39" s="178">
        <f t="shared" si="2"/>
        <v>2785</v>
      </c>
    </row>
    <row r="40" spans="1:39" x14ac:dyDescent="0.2">
      <c r="A40" s="186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78"/>
      <c r="S40" s="178">
        <f t="shared" si="1"/>
        <v>0</v>
      </c>
      <c r="T40" s="179"/>
      <c r="U40" s="185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>
        <v>10</v>
      </c>
      <c r="AG40" s="182"/>
      <c r="AH40" s="182"/>
      <c r="AI40" s="182"/>
      <c r="AJ40" s="182"/>
      <c r="AK40" s="182"/>
      <c r="AL40" s="178">
        <v>524</v>
      </c>
      <c r="AM40" s="178">
        <f t="shared" si="2"/>
        <v>5240</v>
      </c>
    </row>
    <row r="41" spans="1:39" x14ac:dyDescent="0.2">
      <c r="A41" s="189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1"/>
      <c r="S41" s="191">
        <f t="shared" si="1"/>
        <v>0</v>
      </c>
      <c r="T41" s="191"/>
      <c r="U41" s="192" t="s">
        <v>108</v>
      </c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1"/>
      <c r="AM41" s="178">
        <f t="shared" si="2"/>
        <v>0</v>
      </c>
    </row>
    <row r="42" spans="1:39" x14ac:dyDescent="0.2">
      <c r="A42" s="186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78"/>
      <c r="S42" s="178">
        <f>B42*R42+C42*R42+D42*R42+E42*R42+F42*R42+G42*R42+H42*R42+I42*R42+J42*R42+K42*R42+L42*R42+M42*R42+N42*R42+O42*R42+P42*R42+Q42*R42</f>
        <v>0</v>
      </c>
      <c r="T42" s="179"/>
      <c r="U42" s="185">
        <v>45667</v>
      </c>
      <c r="V42" s="182"/>
      <c r="W42" s="182"/>
      <c r="X42" s="182">
        <v>5</v>
      </c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78">
        <v>427</v>
      </c>
      <c r="AM42" s="178">
        <f t="shared" si="2"/>
        <v>2135</v>
      </c>
    </row>
    <row r="43" spans="1:39" x14ac:dyDescent="0.2">
      <c r="A43" s="186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78"/>
      <c r="S43" s="178">
        <f t="shared" ref="S43:S184" si="4">B43*R43+C43*R43+D43*R43+E43*R43+F43*R43+G43*R43+H43*R43+I43*R43+J43*R43+K43*R43+L43*R43+M43*R43+N43*R43+O43*R43+P43*R43+Q43*R43</f>
        <v>0</v>
      </c>
      <c r="T43" s="179"/>
      <c r="U43" s="185">
        <v>45670</v>
      </c>
      <c r="V43" s="182"/>
      <c r="W43" s="182"/>
      <c r="X43" s="182">
        <v>10</v>
      </c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78">
        <v>427</v>
      </c>
      <c r="AM43" s="178">
        <f t="shared" si="2"/>
        <v>4270</v>
      </c>
    </row>
    <row r="44" spans="1:39" x14ac:dyDescent="0.2">
      <c r="A44" s="186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78"/>
      <c r="S44" s="178">
        <f t="shared" si="4"/>
        <v>0</v>
      </c>
      <c r="T44" s="179"/>
      <c r="U44" s="185">
        <v>45677</v>
      </c>
      <c r="V44" s="182"/>
      <c r="W44" s="182"/>
      <c r="X44" s="182"/>
      <c r="Y44" s="182"/>
      <c r="Z44" s="182"/>
      <c r="AA44" s="182"/>
      <c r="AB44" s="182"/>
      <c r="AC44" s="182"/>
      <c r="AD44" s="182"/>
      <c r="AE44" s="182">
        <v>5</v>
      </c>
      <c r="AF44" s="182"/>
      <c r="AG44" s="182"/>
      <c r="AH44" s="182"/>
      <c r="AI44" s="182"/>
      <c r="AJ44" s="182"/>
      <c r="AK44" s="182"/>
      <c r="AL44" s="178">
        <v>629.27</v>
      </c>
      <c r="AM44" s="178">
        <f t="shared" si="2"/>
        <v>3146.35</v>
      </c>
    </row>
    <row r="45" spans="1:39" x14ac:dyDescent="0.2">
      <c r="A45" s="183">
        <v>45678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>
        <v>25</v>
      </c>
      <c r="L45" s="182"/>
      <c r="M45" s="182"/>
      <c r="N45" s="182"/>
      <c r="O45" s="182"/>
      <c r="P45" s="182"/>
      <c r="Q45" s="182"/>
      <c r="R45" s="178">
        <v>629.27</v>
      </c>
      <c r="S45" s="178">
        <f t="shared" si="4"/>
        <v>15731.75</v>
      </c>
      <c r="T45" s="179"/>
      <c r="U45" s="185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78"/>
      <c r="AM45" s="178">
        <f t="shared" si="2"/>
        <v>0</v>
      </c>
    </row>
    <row r="46" spans="1:39" x14ac:dyDescent="0.2">
      <c r="A46" s="186"/>
      <c r="B46" s="182"/>
      <c r="C46" s="182"/>
      <c r="D46" s="182"/>
      <c r="E46" s="182"/>
      <c r="F46" s="182"/>
      <c r="G46" s="182"/>
      <c r="H46" s="182"/>
      <c r="I46" s="182">
        <v>25</v>
      </c>
      <c r="J46" s="182"/>
      <c r="K46" s="182"/>
      <c r="L46" s="182"/>
      <c r="M46" s="182"/>
      <c r="N46" s="182"/>
      <c r="O46" s="182"/>
      <c r="P46" s="182"/>
      <c r="Q46" s="182"/>
      <c r="R46" s="178">
        <v>502.85</v>
      </c>
      <c r="S46" s="178">
        <f t="shared" si="4"/>
        <v>12571.25</v>
      </c>
      <c r="T46" s="179"/>
      <c r="U46" s="185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78"/>
      <c r="AM46" s="178">
        <f t="shared" si="2"/>
        <v>0</v>
      </c>
    </row>
    <row r="47" spans="1:39" x14ac:dyDescent="0.2">
      <c r="A47" s="186"/>
      <c r="B47" s="182"/>
      <c r="C47" s="182"/>
      <c r="D47" s="182">
        <v>80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78">
        <v>427</v>
      </c>
      <c r="S47" s="178">
        <f t="shared" si="4"/>
        <v>34160</v>
      </c>
      <c r="T47" s="179"/>
      <c r="U47" s="185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78"/>
      <c r="AM47" s="178">
        <f t="shared" si="2"/>
        <v>0</v>
      </c>
    </row>
    <row r="48" spans="1:39" x14ac:dyDescent="0.2">
      <c r="A48" s="186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>
        <v>5</v>
      </c>
      <c r="O48" s="182"/>
      <c r="P48" s="182"/>
      <c r="Q48" s="182"/>
      <c r="R48" s="178">
        <v>688.59</v>
      </c>
      <c r="S48" s="178">
        <f t="shared" si="4"/>
        <v>3442.9500000000003</v>
      </c>
      <c r="T48" s="179"/>
      <c r="U48" s="185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78"/>
      <c r="AM48" s="178">
        <f t="shared" si="2"/>
        <v>0</v>
      </c>
    </row>
    <row r="49" spans="1:39" x14ac:dyDescent="0.2">
      <c r="A49" s="186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>
        <v>5</v>
      </c>
      <c r="P49" s="182"/>
      <c r="Q49" s="182"/>
      <c r="R49" s="178">
        <v>522.19000000000005</v>
      </c>
      <c r="S49" s="178">
        <f t="shared" si="4"/>
        <v>2610.9500000000003</v>
      </c>
      <c r="T49" s="179"/>
      <c r="U49" s="177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78"/>
      <c r="AM49" s="178">
        <f t="shared" si="2"/>
        <v>0</v>
      </c>
    </row>
    <row r="50" spans="1:39" x14ac:dyDescent="0.2">
      <c r="A50" s="186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>
        <v>25</v>
      </c>
      <c r="Q50" s="182"/>
      <c r="R50" s="178">
        <v>532.12</v>
      </c>
      <c r="S50" s="178">
        <f t="shared" si="4"/>
        <v>13303</v>
      </c>
      <c r="T50" s="179"/>
      <c r="U50" s="177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78"/>
      <c r="AM50" s="178">
        <f t="shared" si="2"/>
        <v>0</v>
      </c>
    </row>
    <row r="51" spans="1:39" x14ac:dyDescent="0.2">
      <c r="A51" s="186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78"/>
      <c r="S51" s="178">
        <f t="shared" si="4"/>
        <v>0</v>
      </c>
      <c r="T51" s="179"/>
      <c r="U51" s="185">
        <v>45684</v>
      </c>
      <c r="V51" s="182"/>
      <c r="W51" s="182"/>
      <c r="X51" s="182"/>
      <c r="Y51" s="182"/>
      <c r="Z51" s="182"/>
      <c r="AA51" s="182"/>
      <c r="AB51" s="182"/>
      <c r="AC51" s="182">
        <v>10</v>
      </c>
      <c r="AD51" s="182"/>
      <c r="AE51" s="182"/>
      <c r="AF51" s="182"/>
      <c r="AG51" s="182"/>
      <c r="AH51" s="182"/>
      <c r="AI51" s="182"/>
      <c r="AJ51" s="182"/>
      <c r="AK51" s="182"/>
      <c r="AL51" s="178">
        <v>502.85</v>
      </c>
      <c r="AM51" s="178">
        <f t="shared" si="2"/>
        <v>5028.5</v>
      </c>
    </row>
    <row r="52" spans="1:39" x14ac:dyDescent="0.2">
      <c r="A52" s="186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78"/>
      <c r="S52" s="178">
        <f t="shared" si="4"/>
        <v>0</v>
      </c>
      <c r="T52" s="179"/>
      <c r="U52" s="185">
        <v>45685</v>
      </c>
      <c r="V52" s="182"/>
      <c r="W52" s="182"/>
      <c r="X52" s="182">
        <v>5</v>
      </c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78">
        <v>427</v>
      </c>
      <c r="AM52" s="178">
        <f t="shared" si="2"/>
        <v>2135</v>
      </c>
    </row>
    <row r="53" spans="1:39" x14ac:dyDescent="0.2">
      <c r="A53" s="186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78"/>
      <c r="S53" s="178">
        <f t="shared" si="4"/>
        <v>0</v>
      </c>
      <c r="T53" s="179"/>
      <c r="U53" s="177"/>
      <c r="V53" s="182"/>
      <c r="W53" s="182"/>
      <c r="X53" s="182"/>
      <c r="Y53" s="182"/>
      <c r="Z53" s="182"/>
      <c r="AA53" s="182"/>
      <c r="AB53" s="182"/>
      <c r="AC53" s="182"/>
      <c r="AD53" s="182"/>
      <c r="AE53" s="182">
        <v>20</v>
      </c>
      <c r="AF53" s="182"/>
      <c r="AG53" s="182"/>
      <c r="AH53" s="182"/>
      <c r="AI53" s="182"/>
      <c r="AJ53" s="182"/>
      <c r="AK53" s="182"/>
      <c r="AL53" s="178">
        <v>629.27</v>
      </c>
      <c r="AM53" s="178">
        <f t="shared" si="2"/>
        <v>12585.4</v>
      </c>
    </row>
    <row r="54" spans="1:39" x14ac:dyDescent="0.2">
      <c r="A54" s="186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78"/>
      <c r="S54" s="178">
        <f t="shared" si="4"/>
        <v>0</v>
      </c>
      <c r="T54" s="179"/>
      <c r="U54" s="177"/>
      <c r="V54" s="182"/>
      <c r="W54" s="182"/>
      <c r="X54" s="182"/>
      <c r="Y54" s="182"/>
      <c r="Z54" s="182"/>
      <c r="AA54" s="182"/>
      <c r="AB54" s="182"/>
      <c r="AC54" s="182">
        <v>5</v>
      </c>
      <c r="AD54" s="182"/>
      <c r="AE54" s="182"/>
      <c r="AF54" s="182"/>
      <c r="AG54" s="182"/>
      <c r="AH54" s="182"/>
      <c r="AI54" s="182"/>
      <c r="AJ54" s="182"/>
      <c r="AK54" s="182"/>
      <c r="AL54" s="178">
        <v>502.85</v>
      </c>
      <c r="AM54" s="178">
        <f t="shared" si="2"/>
        <v>2514.25</v>
      </c>
    </row>
    <row r="55" spans="1:39" x14ac:dyDescent="0.2">
      <c r="A55" s="186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78"/>
      <c r="S55" s="178">
        <f t="shared" si="4"/>
        <v>0</v>
      </c>
      <c r="T55" s="179"/>
      <c r="U55" s="185">
        <v>45686</v>
      </c>
      <c r="V55" s="182"/>
      <c r="W55" s="182"/>
      <c r="X55" s="182"/>
      <c r="Y55" s="182"/>
      <c r="Z55" s="182"/>
      <c r="AA55" s="182"/>
      <c r="AB55" s="182"/>
      <c r="AC55" s="182"/>
      <c r="AD55" s="182"/>
      <c r="AE55" s="182">
        <v>10</v>
      </c>
      <c r="AF55" s="182"/>
      <c r="AG55" s="182"/>
      <c r="AH55" s="182"/>
      <c r="AI55" s="182"/>
      <c r="AJ55" s="182"/>
      <c r="AK55" s="182"/>
      <c r="AL55" s="178">
        <v>629.27</v>
      </c>
      <c r="AM55" s="178">
        <f t="shared" si="2"/>
        <v>6292.7</v>
      </c>
    </row>
    <row r="56" spans="1:39" x14ac:dyDescent="0.2">
      <c r="A56" s="186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78"/>
      <c r="S56" s="178">
        <f t="shared" si="4"/>
        <v>0</v>
      </c>
      <c r="T56" s="179"/>
      <c r="U56" s="177"/>
      <c r="V56" s="182"/>
      <c r="W56" s="182"/>
      <c r="X56" s="182"/>
      <c r="Y56" s="182"/>
      <c r="Z56" s="182"/>
      <c r="AA56" s="182"/>
      <c r="AB56" s="182"/>
      <c r="AC56" s="182">
        <v>10</v>
      </c>
      <c r="AD56" s="182"/>
      <c r="AE56" s="182"/>
      <c r="AF56" s="182"/>
      <c r="AG56" s="182"/>
      <c r="AH56" s="182"/>
      <c r="AI56" s="182"/>
      <c r="AJ56" s="182"/>
      <c r="AK56" s="182"/>
      <c r="AL56" s="178">
        <v>502.85</v>
      </c>
      <c r="AM56" s="178">
        <f t="shared" si="2"/>
        <v>5028.5</v>
      </c>
    </row>
    <row r="57" spans="1:39" x14ac:dyDescent="0.2">
      <c r="A57" s="186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78"/>
      <c r="S57" s="178">
        <f t="shared" si="4"/>
        <v>0</v>
      </c>
      <c r="T57" s="179"/>
      <c r="U57" s="185">
        <v>45687</v>
      </c>
      <c r="V57" s="182"/>
      <c r="W57" s="182"/>
      <c r="X57" s="182">
        <v>10</v>
      </c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78">
        <v>427</v>
      </c>
      <c r="AM57" s="178">
        <f t="shared" si="2"/>
        <v>4270</v>
      </c>
    </row>
    <row r="58" spans="1:39" x14ac:dyDescent="0.2">
      <c r="A58" s="186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78"/>
      <c r="S58" s="178">
        <f t="shared" si="4"/>
        <v>0</v>
      </c>
      <c r="T58" s="179"/>
      <c r="U58" s="177"/>
      <c r="V58" s="182"/>
      <c r="W58" s="182"/>
      <c r="X58" s="182"/>
      <c r="Y58" s="182"/>
      <c r="Z58" s="182"/>
      <c r="AA58" s="182"/>
      <c r="AB58" s="182"/>
      <c r="AC58" s="182">
        <v>15</v>
      </c>
      <c r="AD58" s="182"/>
      <c r="AE58" s="182"/>
      <c r="AF58" s="182"/>
      <c r="AG58" s="182"/>
      <c r="AH58" s="182"/>
      <c r="AI58" s="182"/>
      <c r="AJ58" s="182"/>
      <c r="AK58" s="182"/>
      <c r="AL58" s="178">
        <v>502.85</v>
      </c>
      <c r="AM58" s="178">
        <f t="shared" si="2"/>
        <v>7542.75</v>
      </c>
    </row>
    <row r="59" spans="1:39" x14ac:dyDescent="0.2">
      <c r="A59" s="186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78"/>
      <c r="S59" s="178">
        <f t="shared" si="4"/>
        <v>0</v>
      </c>
      <c r="T59" s="179"/>
      <c r="U59" s="185">
        <v>45688</v>
      </c>
      <c r="V59" s="182"/>
      <c r="W59" s="182"/>
      <c r="X59" s="182">
        <v>5</v>
      </c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78">
        <v>427</v>
      </c>
      <c r="AM59" s="178">
        <f t="shared" si="2"/>
        <v>2135</v>
      </c>
    </row>
    <row r="60" spans="1:39" x14ac:dyDescent="0.2">
      <c r="A60" s="186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78"/>
      <c r="S60" s="178">
        <f t="shared" si="4"/>
        <v>0</v>
      </c>
      <c r="T60" s="179"/>
      <c r="U60" s="177"/>
      <c r="V60" s="182"/>
      <c r="W60" s="182"/>
      <c r="X60" s="182"/>
      <c r="Y60" s="182">
        <v>5</v>
      </c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78">
        <v>514</v>
      </c>
      <c r="AM60" s="178">
        <f t="shared" si="2"/>
        <v>2570</v>
      </c>
    </row>
    <row r="61" spans="1:39" x14ac:dyDescent="0.2">
      <c r="A61" s="186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78"/>
      <c r="S61" s="178">
        <f t="shared" si="4"/>
        <v>0</v>
      </c>
      <c r="T61" s="179"/>
      <c r="U61" s="177"/>
      <c r="V61" s="182"/>
      <c r="W61" s="182"/>
      <c r="X61" s="182"/>
      <c r="Y61" s="182"/>
      <c r="Z61" s="182"/>
      <c r="AA61" s="182"/>
      <c r="AB61" s="182"/>
      <c r="AC61" s="182">
        <v>5</v>
      </c>
      <c r="AD61" s="182"/>
      <c r="AE61" s="182"/>
      <c r="AF61" s="182"/>
      <c r="AG61" s="182"/>
      <c r="AH61" s="182"/>
      <c r="AI61" s="182"/>
      <c r="AJ61" s="182"/>
      <c r="AK61" s="182"/>
      <c r="AL61" s="178">
        <v>502.85</v>
      </c>
      <c r="AM61" s="178">
        <f t="shared" si="2"/>
        <v>2514.25</v>
      </c>
    </row>
    <row r="62" spans="1:39" x14ac:dyDescent="0.2">
      <c r="A62" s="186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78"/>
      <c r="S62" s="178">
        <f t="shared" si="4"/>
        <v>0</v>
      </c>
      <c r="T62" s="179"/>
      <c r="U62" s="192">
        <v>45691</v>
      </c>
      <c r="V62" s="182"/>
      <c r="W62" s="182"/>
      <c r="X62" s="182">
        <v>5</v>
      </c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78">
        <v>427</v>
      </c>
      <c r="AM62" s="178">
        <f t="shared" si="2"/>
        <v>2135</v>
      </c>
    </row>
    <row r="63" spans="1:39" x14ac:dyDescent="0.2">
      <c r="A63" s="186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78"/>
      <c r="S63" s="178">
        <f t="shared" si="4"/>
        <v>0</v>
      </c>
      <c r="T63" s="179"/>
      <c r="U63" s="177"/>
      <c r="V63" s="182"/>
      <c r="W63" s="182"/>
      <c r="X63" s="182"/>
      <c r="Y63" s="182">
        <v>5</v>
      </c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78">
        <v>514</v>
      </c>
      <c r="AM63" s="178">
        <f t="shared" si="2"/>
        <v>2570</v>
      </c>
    </row>
    <row r="64" spans="1:39" x14ac:dyDescent="0.2">
      <c r="A64" s="183">
        <v>45692</v>
      </c>
      <c r="B64" s="182"/>
      <c r="C64" s="182"/>
      <c r="D64" s="182"/>
      <c r="E64" s="182">
        <v>50</v>
      </c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78">
        <v>514</v>
      </c>
      <c r="S64" s="178">
        <f t="shared" si="4"/>
        <v>25700</v>
      </c>
      <c r="T64" s="179"/>
      <c r="U64" s="185">
        <v>45692</v>
      </c>
      <c r="V64" s="182"/>
      <c r="W64" s="182"/>
      <c r="X64" s="182"/>
      <c r="Y64" s="182">
        <v>5</v>
      </c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78">
        <v>514</v>
      </c>
      <c r="AM64" s="178">
        <f t="shared" si="2"/>
        <v>2570</v>
      </c>
    </row>
    <row r="65" spans="1:39" x14ac:dyDescent="0.2">
      <c r="A65" s="183"/>
      <c r="B65" s="182"/>
      <c r="C65" s="182"/>
      <c r="D65" s="182"/>
      <c r="E65" s="182"/>
      <c r="F65" s="182"/>
      <c r="G65" s="182"/>
      <c r="H65" s="182"/>
      <c r="I65" s="182">
        <v>50</v>
      </c>
      <c r="J65" s="182"/>
      <c r="K65" s="182"/>
      <c r="L65" s="182"/>
      <c r="M65" s="182"/>
      <c r="N65" s="182"/>
      <c r="O65" s="182"/>
      <c r="P65" s="182"/>
      <c r="Q65" s="182"/>
      <c r="R65" s="178">
        <v>502.85</v>
      </c>
      <c r="S65" s="178">
        <f t="shared" si="4"/>
        <v>25142.5</v>
      </c>
      <c r="T65" s="179"/>
      <c r="U65" s="185">
        <v>45693</v>
      </c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>
        <v>10</v>
      </c>
      <c r="AH65" s="182"/>
      <c r="AI65" s="182"/>
      <c r="AJ65" s="182"/>
      <c r="AK65" s="182"/>
      <c r="AL65" s="178">
        <v>689.75</v>
      </c>
      <c r="AM65" s="178">
        <f t="shared" si="2"/>
        <v>6897.5</v>
      </c>
    </row>
    <row r="66" spans="1:39" x14ac:dyDescent="0.2">
      <c r="A66" s="183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78"/>
      <c r="S66" s="178">
        <f t="shared" si="4"/>
        <v>0</v>
      </c>
      <c r="T66" s="179"/>
      <c r="U66" s="185">
        <v>45694</v>
      </c>
      <c r="V66" s="182"/>
      <c r="W66" s="182"/>
      <c r="X66" s="182">
        <v>5</v>
      </c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78">
        <v>427</v>
      </c>
      <c r="AM66" s="178">
        <f t="shared" si="2"/>
        <v>2135</v>
      </c>
    </row>
    <row r="67" spans="1:39" x14ac:dyDescent="0.2">
      <c r="A67" s="183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78"/>
      <c r="S67" s="178">
        <f t="shared" si="4"/>
        <v>0</v>
      </c>
      <c r="T67" s="179"/>
      <c r="U67" s="185"/>
      <c r="V67" s="182"/>
      <c r="W67" s="182"/>
      <c r="X67" s="182"/>
      <c r="Y67" s="182">
        <v>5</v>
      </c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78">
        <v>514</v>
      </c>
      <c r="AM67" s="178">
        <f t="shared" si="2"/>
        <v>2570</v>
      </c>
    </row>
    <row r="68" spans="1:39" x14ac:dyDescent="0.2">
      <c r="A68" s="183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78"/>
      <c r="S68" s="178">
        <f t="shared" si="4"/>
        <v>0</v>
      </c>
      <c r="T68" s="179"/>
      <c r="U68" s="185"/>
      <c r="V68" s="182"/>
      <c r="W68" s="182"/>
      <c r="X68" s="182"/>
      <c r="Y68" s="182"/>
      <c r="Z68" s="182"/>
      <c r="AA68" s="182"/>
      <c r="AB68" s="182"/>
      <c r="AC68" s="182">
        <v>5</v>
      </c>
      <c r="AD68" s="182"/>
      <c r="AE68" s="182"/>
      <c r="AF68" s="182"/>
      <c r="AG68" s="182"/>
      <c r="AH68" s="182"/>
      <c r="AI68" s="182"/>
      <c r="AJ68" s="182"/>
      <c r="AK68" s="182"/>
      <c r="AL68" s="178">
        <v>502.85</v>
      </c>
      <c r="AM68" s="178">
        <f t="shared" ref="AM68:AM180" si="5">V68*AL68+W68*AL68+X68*AL68+Y68*AL68+Z68*AL68+AC68*AL68+AA68*AL68+AB68*AL68+AD68*AL68+AE68*AL68+AF68*AL68+AG68*AL68+AH68*AL68+AI68*AL68+AJ68*AL68+AK68*AL68</f>
        <v>2514.25</v>
      </c>
    </row>
    <row r="69" spans="1:39" x14ac:dyDescent="0.2">
      <c r="A69" s="183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78"/>
      <c r="S69" s="178">
        <f t="shared" si="4"/>
        <v>0</v>
      </c>
      <c r="T69" s="179"/>
      <c r="U69" s="185">
        <v>45695</v>
      </c>
      <c r="V69" s="182"/>
      <c r="W69" s="182"/>
      <c r="X69" s="182">
        <v>10</v>
      </c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78">
        <v>427</v>
      </c>
      <c r="AM69" s="178">
        <f t="shared" si="5"/>
        <v>4270</v>
      </c>
    </row>
    <row r="70" spans="1:39" x14ac:dyDescent="0.2">
      <c r="A70" s="183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78"/>
      <c r="S70" s="178">
        <f t="shared" si="4"/>
        <v>0</v>
      </c>
      <c r="T70" s="179"/>
      <c r="U70" s="185"/>
      <c r="V70" s="182"/>
      <c r="W70" s="182"/>
      <c r="X70" s="182"/>
      <c r="Y70" s="182">
        <v>5</v>
      </c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78">
        <v>514</v>
      </c>
      <c r="AM70" s="178">
        <f t="shared" si="5"/>
        <v>2570</v>
      </c>
    </row>
    <row r="71" spans="1:39" x14ac:dyDescent="0.2">
      <c r="A71" s="183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78"/>
      <c r="S71" s="178">
        <f t="shared" si="4"/>
        <v>0</v>
      </c>
      <c r="T71" s="179"/>
      <c r="U71" s="185"/>
      <c r="V71" s="182"/>
      <c r="W71" s="182"/>
      <c r="X71" s="182"/>
      <c r="Y71" s="182"/>
      <c r="Z71" s="182"/>
      <c r="AA71" s="182"/>
      <c r="AB71" s="182"/>
      <c r="AC71" s="182">
        <v>5</v>
      </c>
      <c r="AD71" s="182"/>
      <c r="AE71" s="182"/>
      <c r="AF71" s="182"/>
      <c r="AG71" s="182"/>
      <c r="AH71" s="182"/>
      <c r="AI71" s="182"/>
      <c r="AJ71" s="182"/>
      <c r="AK71" s="182"/>
      <c r="AL71" s="178">
        <v>502.85</v>
      </c>
      <c r="AM71" s="178">
        <f t="shared" si="5"/>
        <v>2514.25</v>
      </c>
    </row>
    <row r="72" spans="1:39" x14ac:dyDescent="0.2">
      <c r="A72" s="183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78"/>
      <c r="S72" s="178">
        <f t="shared" si="4"/>
        <v>0</v>
      </c>
      <c r="T72" s="179"/>
      <c r="U72" s="185">
        <v>45698</v>
      </c>
      <c r="V72" s="182"/>
      <c r="W72" s="182"/>
      <c r="X72" s="182">
        <v>5</v>
      </c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78">
        <v>427</v>
      </c>
      <c r="AM72" s="178">
        <f t="shared" si="5"/>
        <v>2135</v>
      </c>
    </row>
    <row r="73" spans="1:39" x14ac:dyDescent="0.2">
      <c r="A73" s="183">
        <v>45699</v>
      </c>
      <c r="B73" s="182"/>
      <c r="C73" s="182"/>
      <c r="D73" s="182"/>
      <c r="E73" s="182">
        <v>50</v>
      </c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78">
        <v>514</v>
      </c>
      <c r="S73" s="178">
        <f t="shared" si="4"/>
        <v>25700</v>
      </c>
      <c r="T73" s="179"/>
      <c r="U73" s="185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78"/>
      <c r="AM73" s="178">
        <f t="shared" si="5"/>
        <v>0</v>
      </c>
    </row>
    <row r="74" spans="1:39" x14ac:dyDescent="0.2">
      <c r="A74" s="183"/>
      <c r="B74" s="182"/>
      <c r="C74" s="182"/>
      <c r="D74" s="182"/>
      <c r="E74" s="182"/>
      <c r="F74" s="182"/>
      <c r="G74" s="182"/>
      <c r="H74" s="182"/>
      <c r="I74" s="182"/>
      <c r="J74" s="182"/>
      <c r="K74" s="182">
        <v>50</v>
      </c>
      <c r="L74" s="182"/>
      <c r="M74" s="182"/>
      <c r="N74" s="182"/>
      <c r="O74" s="182"/>
      <c r="P74" s="182"/>
      <c r="Q74" s="182"/>
      <c r="R74" s="178">
        <v>629.27</v>
      </c>
      <c r="S74" s="178">
        <f t="shared" si="4"/>
        <v>31463.5</v>
      </c>
      <c r="T74" s="179"/>
      <c r="U74" s="185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78"/>
      <c r="AM74" s="178">
        <f t="shared" si="5"/>
        <v>0</v>
      </c>
    </row>
    <row r="75" spans="1:39" x14ac:dyDescent="0.2">
      <c r="A75" s="183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78"/>
      <c r="S75" s="178">
        <f t="shared" si="4"/>
        <v>0</v>
      </c>
      <c r="T75" s="179"/>
      <c r="U75" s="185">
        <v>45700</v>
      </c>
      <c r="V75" s="182"/>
      <c r="W75" s="182"/>
      <c r="X75" s="182">
        <v>5</v>
      </c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78">
        <v>427</v>
      </c>
      <c r="AM75" s="178">
        <f t="shared" si="5"/>
        <v>2135</v>
      </c>
    </row>
    <row r="76" spans="1:39" x14ac:dyDescent="0.2">
      <c r="A76" s="183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78"/>
      <c r="S76" s="178">
        <f t="shared" si="4"/>
        <v>0</v>
      </c>
      <c r="T76" s="179"/>
      <c r="U76" s="185"/>
      <c r="V76" s="182"/>
      <c r="W76" s="182"/>
      <c r="X76" s="182"/>
      <c r="Y76" s="182"/>
      <c r="Z76" s="182"/>
      <c r="AA76" s="182"/>
      <c r="AB76" s="182"/>
      <c r="AC76" s="182">
        <v>10</v>
      </c>
      <c r="AD76" s="182"/>
      <c r="AE76" s="182"/>
      <c r="AF76" s="182"/>
      <c r="AG76" s="182"/>
      <c r="AH76" s="182"/>
      <c r="AI76" s="182"/>
      <c r="AJ76" s="182"/>
      <c r="AK76" s="182"/>
      <c r="AL76" s="178">
        <v>502.85</v>
      </c>
      <c r="AM76" s="178">
        <f t="shared" si="5"/>
        <v>5028.5</v>
      </c>
    </row>
    <row r="77" spans="1:39" x14ac:dyDescent="0.2">
      <c r="A77" s="183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78"/>
      <c r="S77" s="178">
        <f t="shared" si="4"/>
        <v>0</v>
      </c>
      <c r="T77" s="179"/>
      <c r="U77" s="185">
        <v>45701</v>
      </c>
      <c r="V77" s="182"/>
      <c r="W77" s="182"/>
      <c r="X77" s="182"/>
      <c r="Y77" s="182"/>
      <c r="Z77" s="182"/>
      <c r="AA77" s="182"/>
      <c r="AB77" s="182"/>
      <c r="AC77" s="182">
        <v>15</v>
      </c>
      <c r="AD77" s="182"/>
      <c r="AE77" s="182"/>
      <c r="AF77" s="182"/>
      <c r="AG77" s="182"/>
      <c r="AH77" s="182"/>
      <c r="AI77" s="182"/>
      <c r="AJ77" s="182"/>
      <c r="AK77" s="182"/>
      <c r="AL77" s="178">
        <v>502.85</v>
      </c>
      <c r="AM77" s="178">
        <f t="shared" si="5"/>
        <v>7542.75</v>
      </c>
    </row>
    <row r="78" spans="1:39" x14ac:dyDescent="0.2">
      <c r="A78" s="183">
        <v>45702</v>
      </c>
      <c r="B78" s="182"/>
      <c r="C78" s="182"/>
      <c r="D78" s="182">
        <v>80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78">
        <v>427</v>
      </c>
      <c r="S78" s="178">
        <f t="shared" si="4"/>
        <v>34160</v>
      </c>
      <c r="T78" s="179"/>
      <c r="U78" s="185">
        <v>45702</v>
      </c>
      <c r="V78" s="182"/>
      <c r="W78" s="182"/>
      <c r="X78" s="182">
        <v>20</v>
      </c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78">
        <v>427</v>
      </c>
      <c r="AM78" s="178">
        <f t="shared" si="5"/>
        <v>8540</v>
      </c>
    </row>
    <row r="79" spans="1:39" x14ac:dyDescent="0.2">
      <c r="A79" s="183"/>
      <c r="B79" s="182"/>
      <c r="C79" s="182"/>
      <c r="D79" s="182"/>
      <c r="E79" s="182"/>
      <c r="F79" s="182"/>
      <c r="G79" s="182"/>
      <c r="H79" s="182"/>
      <c r="I79" s="182">
        <v>25</v>
      </c>
      <c r="J79" s="182"/>
      <c r="K79" s="182"/>
      <c r="L79" s="182"/>
      <c r="M79" s="182"/>
      <c r="N79" s="182"/>
      <c r="O79" s="182"/>
      <c r="P79" s="182"/>
      <c r="Q79" s="182"/>
      <c r="R79" s="178">
        <v>502.85</v>
      </c>
      <c r="S79" s="178">
        <f t="shared" si="4"/>
        <v>12571.25</v>
      </c>
      <c r="T79" s="179"/>
      <c r="U79" s="185">
        <v>45705</v>
      </c>
      <c r="V79" s="182"/>
      <c r="W79" s="182"/>
      <c r="X79" s="182">
        <v>15</v>
      </c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78">
        <v>427</v>
      </c>
      <c r="AM79" s="178">
        <f t="shared" si="5"/>
        <v>6405</v>
      </c>
    </row>
    <row r="80" spans="1:39" x14ac:dyDescent="0.2">
      <c r="A80" s="183"/>
      <c r="B80" s="182"/>
      <c r="C80" s="182"/>
      <c r="D80" s="182"/>
      <c r="E80" s="182">
        <v>90</v>
      </c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78">
        <v>514</v>
      </c>
      <c r="S80" s="178">
        <f t="shared" si="4"/>
        <v>46260</v>
      </c>
      <c r="T80" s="179"/>
      <c r="U80" s="185"/>
      <c r="V80" s="182"/>
      <c r="W80" s="182"/>
      <c r="X80" s="182"/>
      <c r="Y80" s="182">
        <v>10</v>
      </c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78">
        <v>514</v>
      </c>
      <c r="AM80" s="178">
        <f t="shared" si="5"/>
        <v>5140</v>
      </c>
    </row>
    <row r="81" spans="1:39" x14ac:dyDescent="0.2">
      <c r="A81" s="183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78"/>
      <c r="S81" s="178">
        <f t="shared" si="4"/>
        <v>0</v>
      </c>
      <c r="T81" s="179"/>
      <c r="U81" s="185"/>
      <c r="V81" s="182"/>
      <c r="W81" s="182"/>
      <c r="X81" s="182"/>
      <c r="Y81" s="182"/>
      <c r="Z81" s="182"/>
      <c r="AA81" s="182"/>
      <c r="AB81" s="182">
        <v>5</v>
      </c>
      <c r="AC81" s="182"/>
      <c r="AD81" s="182"/>
      <c r="AE81" s="182"/>
      <c r="AF81" s="182"/>
      <c r="AG81" s="182"/>
      <c r="AH81" s="182"/>
      <c r="AI81" s="182"/>
      <c r="AJ81" s="182"/>
      <c r="AK81" s="182"/>
      <c r="AL81" s="178">
        <v>557</v>
      </c>
      <c r="AM81" s="178">
        <f t="shared" si="5"/>
        <v>2785</v>
      </c>
    </row>
    <row r="82" spans="1:39" x14ac:dyDescent="0.2">
      <c r="A82" s="183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78"/>
      <c r="S82" s="178">
        <f t="shared" si="4"/>
        <v>0</v>
      </c>
      <c r="T82" s="179"/>
      <c r="U82" s="185">
        <v>45706</v>
      </c>
      <c r="V82" s="182"/>
      <c r="W82" s="182"/>
      <c r="X82" s="182"/>
      <c r="Y82" s="182"/>
      <c r="Z82" s="182"/>
      <c r="AA82" s="182"/>
      <c r="AB82" s="182"/>
      <c r="AC82" s="182">
        <v>10</v>
      </c>
      <c r="AD82" s="182"/>
      <c r="AE82" s="182"/>
      <c r="AF82" s="182"/>
      <c r="AG82" s="182"/>
      <c r="AH82" s="182"/>
      <c r="AI82" s="182"/>
      <c r="AJ82" s="182"/>
      <c r="AK82" s="182"/>
      <c r="AL82" s="178">
        <v>502.85</v>
      </c>
      <c r="AM82" s="178">
        <f t="shared" si="5"/>
        <v>5028.5</v>
      </c>
    </row>
    <row r="83" spans="1:39" x14ac:dyDescent="0.2">
      <c r="A83" s="183">
        <v>45707</v>
      </c>
      <c r="B83" s="182"/>
      <c r="C83" s="182"/>
      <c r="D83" s="182"/>
      <c r="E83" s="182"/>
      <c r="F83" s="182"/>
      <c r="G83" s="182"/>
      <c r="H83" s="182"/>
      <c r="I83" s="182">
        <v>55</v>
      </c>
      <c r="J83" s="182"/>
      <c r="K83" s="182"/>
      <c r="L83" s="182"/>
      <c r="M83" s="182"/>
      <c r="N83" s="182"/>
      <c r="O83" s="182"/>
      <c r="P83" s="182"/>
      <c r="Q83" s="182"/>
      <c r="R83" s="178">
        <v>502.85</v>
      </c>
      <c r="S83" s="178">
        <f t="shared" si="4"/>
        <v>27656.75</v>
      </c>
      <c r="T83" s="179"/>
      <c r="U83" s="185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78"/>
      <c r="AM83" s="178">
        <f t="shared" si="5"/>
        <v>0</v>
      </c>
    </row>
    <row r="84" spans="1:39" x14ac:dyDescent="0.2">
      <c r="A84" s="183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78"/>
      <c r="S84" s="178">
        <f t="shared" si="4"/>
        <v>0</v>
      </c>
      <c r="T84" s="179"/>
      <c r="U84" s="185">
        <v>45708</v>
      </c>
      <c r="V84" s="182"/>
      <c r="W84" s="182"/>
      <c r="X84" s="182">
        <v>15</v>
      </c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78">
        <v>427</v>
      </c>
      <c r="AM84" s="178">
        <f t="shared" si="5"/>
        <v>6405</v>
      </c>
    </row>
    <row r="85" spans="1:39" x14ac:dyDescent="0.2">
      <c r="A85" s="183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78"/>
      <c r="S85" s="178">
        <f t="shared" si="4"/>
        <v>0</v>
      </c>
      <c r="T85" s="179"/>
      <c r="U85" s="185"/>
      <c r="V85" s="182"/>
      <c r="W85" s="182"/>
      <c r="X85" s="182"/>
      <c r="Y85" s="182"/>
      <c r="Z85" s="182"/>
      <c r="AA85" s="182"/>
      <c r="AB85" s="182"/>
      <c r="AC85" s="182">
        <v>10</v>
      </c>
      <c r="AD85" s="182"/>
      <c r="AE85" s="182"/>
      <c r="AF85" s="182"/>
      <c r="AG85" s="182"/>
      <c r="AH85" s="182"/>
      <c r="AI85" s="182"/>
      <c r="AJ85" s="182"/>
      <c r="AK85" s="182"/>
      <c r="AL85" s="178">
        <v>502.85</v>
      </c>
      <c r="AM85" s="178">
        <f t="shared" si="5"/>
        <v>5028.5</v>
      </c>
    </row>
    <row r="86" spans="1:39" x14ac:dyDescent="0.2">
      <c r="A86" s="18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78"/>
      <c r="S86" s="178">
        <f t="shared" si="4"/>
        <v>0</v>
      </c>
      <c r="T86" s="179"/>
      <c r="U86" s="185">
        <v>45713</v>
      </c>
      <c r="V86" s="182"/>
      <c r="W86" s="182"/>
      <c r="X86" s="182"/>
      <c r="Y86" s="182">
        <v>10</v>
      </c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78">
        <v>514</v>
      </c>
      <c r="AM86" s="178">
        <f t="shared" si="5"/>
        <v>5140</v>
      </c>
    </row>
    <row r="87" spans="1:39" x14ac:dyDescent="0.2">
      <c r="A87" s="183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78"/>
      <c r="S87" s="178">
        <f t="shared" si="4"/>
        <v>0</v>
      </c>
      <c r="T87" s="179"/>
      <c r="U87" s="185"/>
      <c r="V87" s="182"/>
      <c r="W87" s="182"/>
      <c r="X87" s="182"/>
      <c r="Y87" s="182"/>
      <c r="Z87" s="182"/>
      <c r="AA87" s="182"/>
      <c r="AB87" s="182"/>
      <c r="AC87" s="182">
        <v>10</v>
      </c>
      <c r="AD87" s="182"/>
      <c r="AE87" s="182"/>
      <c r="AF87" s="182"/>
      <c r="AG87" s="182"/>
      <c r="AH87" s="182"/>
      <c r="AI87" s="182"/>
      <c r="AJ87" s="182"/>
      <c r="AK87" s="182"/>
      <c r="AL87" s="178">
        <v>502.85</v>
      </c>
      <c r="AM87" s="178">
        <f t="shared" si="5"/>
        <v>5028.5</v>
      </c>
    </row>
    <row r="88" spans="1:39" x14ac:dyDescent="0.2">
      <c r="A88" s="183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78"/>
      <c r="S88" s="178">
        <f t="shared" si="4"/>
        <v>0</v>
      </c>
      <c r="T88" s="179"/>
      <c r="U88" s="185">
        <v>45714</v>
      </c>
      <c r="V88" s="182"/>
      <c r="W88" s="182"/>
      <c r="X88" s="182">
        <v>10</v>
      </c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78">
        <v>427</v>
      </c>
      <c r="AM88" s="178">
        <f t="shared" si="5"/>
        <v>4270</v>
      </c>
    </row>
    <row r="89" spans="1:39" x14ac:dyDescent="0.2">
      <c r="A89" s="183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78"/>
      <c r="S89" s="178">
        <f t="shared" si="4"/>
        <v>0</v>
      </c>
      <c r="T89" s="179"/>
      <c r="U89" s="185"/>
      <c r="V89" s="182"/>
      <c r="W89" s="182"/>
      <c r="X89" s="182"/>
      <c r="Y89" s="182">
        <v>10</v>
      </c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78">
        <v>514</v>
      </c>
      <c r="AM89" s="178">
        <f t="shared" si="5"/>
        <v>5140</v>
      </c>
    </row>
    <row r="90" spans="1:39" x14ac:dyDescent="0.2">
      <c r="A90" s="183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78"/>
      <c r="S90" s="178">
        <f t="shared" si="4"/>
        <v>0</v>
      </c>
      <c r="T90" s="179"/>
      <c r="U90" s="185"/>
      <c r="V90" s="182"/>
      <c r="W90" s="182"/>
      <c r="X90" s="182"/>
      <c r="Y90" s="182"/>
      <c r="Z90" s="182"/>
      <c r="AA90" s="182"/>
      <c r="AB90" s="182"/>
      <c r="AC90" s="182">
        <v>10</v>
      </c>
      <c r="AD90" s="182"/>
      <c r="AE90" s="182"/>
      <c r="AF90" s="182"/>
      <c r="AG90" s="182"/>
      <c r="AH90" s="182"/>
      <c r="AI90" s="182"/>
      <c r="AJ90" s="182"/>
      <c r="AK90" s="182"/>
      <c r="AL90" s="178">
        <v>502.85</v>
      </c>
      <c r="AM90" s="178">
        <f t="shared" si="5"/>
        <v>5028.5</v>
      </c>
    </row>
    <row r="91" spans="1:39" x14ac:dyDescent="0.2">
      <c r="A91" s="183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78"/>
      <c r="S91" s="178">
        <f t="shared" si="4"/>
        <v>0</v>
      </c>
      <c r="T91" s="179"/>
      <c r="U91" s="185">
        <v>45715</v>
      </c>
      <c r="V91" s="182"/>
      <c r="W91" s="182"/>
      <c r="X91" s="182">
        <v>25</v>
      </c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78">
        <v>427</v>
      </c>
      <c r="AM91" s="178">
        <f t="shared" si="5"/>
        <v>10675</v>
      </c>
    </row>
    <row r="92" spans="1:39" x14ac:dyDescent="0.2">
      <c r="A92" s="183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78"/>
      <c r="S92" s="178">
        <f t="shared" si="4"/>
        <v>0</v>
      </c>
      <c r="T92" s="179"/>
      <c r="U92" s="185"/>
      <c r="V92" s="182"/>
      <c r="W92" s="182"/>
      <c r="X92" s="182"/>
      <c r="Y92" s="182">
        <v>10</v>
      </c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78">
        <v>514</v>
      </c>
      <c r="AM92" s="178">
        <f t="shared" si="5"/>
        <v>5140</v>
      </c>
    </row>
    <row r="93" spans="1:39" x14ac:dyDescent="0.2">
      <c r="A93" s="183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78"/>
      <c r="S93" s="178">
        <f t="shared" si="4"/>
        <v>0</v>
      </c>
      <c r="T93" s="179"/>
      <c r="U93" s="185"/>
      <c r="V93" s="182"/>
      <c r="W93" s="182"/>
      <c r="X93" s="182"/>
      <c r="Y93" s="182"/>
      <c r="Z93" s="182"/>
      <c r="AA93" s="182"/>
      <c r="AB93" s="182"/>
      <c r="AC93" s="182">
        <v>25</v>
      </c>
      <c r="AD93" s="182"/>
      <c r="AE93" s="182"/>
      <c r="AF93" s="182"/>
      <c r="AG93" s="182"/>
      <c r="AH93" s="182"/>
      <c r="AI93" s="182"/>
      <c r="AJ93" s="182"/>
      <c r="AK93" s="182"/>
      <c r="AL93" s="178">
        <v>502.85</v>
      </c>
      <c r="AM93" s="178">
        <f t="shared" si="5"/>
        <v>12571.25</v>
      </c>
    </row>
    <row r="94" spans="1:39" x14ac:dyDescent="0.2">
      <c r="A94" s="183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78"/>
      <c r="S94" s="178">
        <f t="shared" si="4"/>
        <v>0</v>
      </c>
      <c r="T94" s="179"/>
      <c r="U94" s="185">
        <v>45716</v>
      </c>
      <c r="V94" s="182"/>
      <c r="W94" s="182"/>
      <c r="X94" s="182">
        <v>25</v>
      </c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78">
        <v>427</v>
      </c>
      <c r="AM94" s="178">
        <f t="shared" si="5"/>
        <v>10675</v>
      </c>
    </row>
    <row r="95" spans="1:39" x14ac:dyDescent="0.2">
      <c r="S95" s="178">
        <f t="shared" ref="S95:S109" si="6">B95*R95+C95*R95+D95*R95+E95*R95+F95*R95+G95*R95+H95*R95+I95*R95+J95*R95+K95*R95+L95*R95+M95*R95+N95*R95+O95*R95+P95*R95+Q95*R95</f>
        <v>0</v>
      </c>
      <c r="T95" s="179"/>
      <c r="U95" s="177"/>
      <c r="V95" s="177"/>
      <c r="W95" s="177"/>
      <c r="X95" s="177"/>
      <c r="Y95" s="177"/>
      <c r="Z95" s="177"/>
      <c r="AA95" s="177"/>
      <c r="AB95" s="177"/>
      <c r="AC95" s="182">
        <v>15</v>
      </c>
      <c r="AD95" s="177"/>
      <c r="AE95" s="177"/>
      <c r="AF95" s="177"/>
      <c r="AG95" s="177"/>
      <c r="AH95" s="177"/>
      <c r="AI95" s="177"/>
      <c r="AJ95" s="177"/>
      <c r="AK95" s="177"/>
      <c r="AL95" s="178">
        <v>502.85</v>
      </c>
      <c r="AM95" s="178">
        <f t="shared" si="5"/>
        <v>7542.75</v>
      </c>
    </row>
    <row r="96" spans="1:39" x14ac:dyDescent="0.2">
      <c r="A96" s="183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78"/>
      <c r="S96" s="178">
        <f t="shared" si="6"/>
        <v>0</v>
      </c>
      <c r="T96" s="179"/>
      <c r="U96" s="185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78"/>
      <c r="AM96" s="178">
        <f t="shared" si="5"/>
        <v>0</v>
      </c>
    </row>
    <row r="97" spans="1:39" x14ac:dyDescent="0.2">
      <c r="A97" s="183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78"/>
      <c r="S97" s="178">
        <f t="shared" si="6"/>
        <v>0</v>
      </c>
      <c r="T97" s="179"/>
      <c r="U97" s="185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78"/>
      <c r="AM97" s="178">
        <f t="shared" si="5"/>
        <v>0</v>
      </c>
    </row>
    <row r="98" spans="1:39" x14ac:dyDescent="0.2">
      <c r="A98" s="183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78"/>
      <c r="S98" s="178">
        <f t="shared" si="6"/>
        <v>0</v>
      </c>
      <c r="T98" s="179"/>
      <c r="U98" s="185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78"/>
      <c r="AM98" s="178">
        <f t="shared" si="5"/>
        <v>0</v>
      </c>
    </row>
    <row r="99" spans="1:39" ht="13.5" thickBot="1" x14ac:dyDescent="0.25">
      <c r="A99" s="226" t="s">
        <v>135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1"/>
      <c r="S99" s="191">
        <f t="shared" si="6"/>
        <v>0</v>
      </c>
      <c r="T99" s="191"/>
      <c r="U99" s="283" t="s">
        <v>135</v>
      </c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5"/>
      <c r="AM99" s="178">
        <f t="shared" si="5"/>
        <v>0</v>
      </c>
    </row>
    <row r="100" spans="1:39" x14ac:dyDescent="0.2">
      <c r="A100" s="183">
        <v>45720</v>
      </c>
      <c r="B100" s="182"/>
      <c r="C100" s="182"/>
      <c r="D100" s="182">
        <v>250</v>
      </c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78">
        <v>427</v>
      </c>
      <c r="S100" s="178">
        <f t="shared" si="6"/>
        <v>106750</v>
      </c>
      <c r="T100" s="282"/>
      <c r="U100" s="288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90"/>
      <c r="AM100" s="299">
        <f t="shared" si="5"/>
        <v>0</v>
      </c>
    </row>
    <row r="101" spans="1:39" x14ac:dyDescent="0.2">
      <c r="A101" s="183"/>
      <c r="B101" s="182"/>
      <c r="C101" s="182"/>
      <c r="D101" s="182"/>
      <c r="E101" s="182">
        <v>100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78">
        <v>514</v>
      </c>
      <c r="S101" s="178">
        <f t="shared" si="6"/>
        <v>51400</v>
      </c>
      <c r="T101" s="282"/>
      <c r="U101" s="291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292"/>
      <c r="AM101" s="299">
        <f t="shared" si="5"/>
        <v>0</v>
      </c>
    </row>
    <row r="102" spans="1:39" x14ac:dyDescent="0.2">
      <c r="A102" s="183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>
        <v>500</v>
      </c>
      <c r="L102" s="182"/>
      <c r="M102" s="182"/>
      <c r="N102" s="182"/>
      <c r="O102" s="182"/>
      <c r="P102" s="182"/>
      <c r="Q102" s="182"/>
      <c r="R102" s="178">
        <v>629.27</v>
      </c>
      <c r="S102" s="178">
        <f t="shared" si="6"/>
        <v>314635</v>
      </c>
      <c r="T102" s="282"/>
      <c r="U102" s="291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292"/>
      <c r="AM102" s="299">
        <f t="shared" si="5"/>
        <v>0</v>
      </c>
    </row>
    <row r="103" spans="1:39" x14ac:dyDescent="0.2">
      <c r="A103" s="183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>
        <v>40</v>
      </c>
      <c r="M103" s="182"/>
      <c r="N103" s="182"/>
      <c r="O103" s="182"/>
      <c r="P103" s="182"/>
      <c r="Q103" s="182"/>
      <c r="R103" s="178">
        <v>524</v>
      </c>
      <c r="S103" s="178">
        <f t="shared" si="6"/>
        <v>20960</v>
      </c>
      <c r="T103" s="282"/>
      <c r="U103" s="291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292"/>
      <c r="AM103" s="299">
        <f t="shared" si="5"/>
        <v>0</v>
      </c>
    </row>
    <row r="104" spans="1:39" x14ac:dyDescent="0.2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>
        <v>40</v>
      </c>
      <c r="P104" s="182"/>
      <c r="Q104" s="182"/>
      <c r="R104" s="178">
        <v>522.19000000000005</v>
      </c>
      <c r="S104" s="178">
        <f t="shared" si="6"/>
        <v>20887.600000000002</v>
      </c>
      <c r="T104" s="282"/>
      <c r="U104" s="291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292"/>
      <c r="AM104" s="299">
        <f t="shared" si="5"/>
        <v>0</v>
      </c>
    </row>
    <row r="105" spans="1:39" x14ac:dyDescent="0.2">
      <c r="A105" s="183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>
        <v>150</v>
      </c>
      <c r="Q105" s="182"/>
      <c r="R105" s="178">
        <v>532.12</v>
      </c>
      <c r="S105" s="178">
        <f t="shared" si="6"/>
        <v>79818</v>
      </c>
      <c r="T105" s="282"/>
      <c r="U105" s="291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292"/>
      <c r="AM105" s="299">
        <f t="shared" si="5"/>
        <v>0</v>
      </c>
    </row>
    <row r="106" spans="1:39" x14ac:dyDescent="0.2">
      <c r="A106" s="183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78"/>
      <c r="S106" s="178">
        <f t="shared" si="6"/>
        <v>0</v>
      </c>
      <c r="T106" s="282"/>
      <c r="U106" s="291">
        <v>45721</v>
      </c>
      <c r="V106" s="182"/>
      <c r="W106" s="182"/>
      <c r="X106" s="182"/>
      <c r="Y106" s="182">
        <v>10</v>
      </c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292">
        <v>514</v>
      </c>
      <c r="AM106" s="299">
        <f t="shared" si="5"/>
        <v>5140</v>
      </c>
    </row>
    <row r="107" spans="1:39" x14ac:dyDescent="0.2">
      <c r="A107" s="183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78"/>
      <c r="S107" s="178">
        <f t="shared" si="6"/>
        <v>0</v>
      </c>
      <c r="T107" s="282"/>
      <c r="U107" s="291">
        <v>45722</v>
      </c>
      <c r="V107" s="182"/>
      <c r="W107" s="182"/>
      <c r="X107" s="182"/>
      <c r="Y107" s="182">
        <v>5</v>
      </c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292">
        <v>514</v>
      </c>
      <c r="AM107" s="299">
        <f t="shared" si="5"/>
        <v>2570</v>
      </c>
    </row>
    <row r="108" spans="1:39" ht="13.5" thickBot="1" x14ac:dyDescent="0.25">
      <c r="A108" s="18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78"/>
      <c r="S108" s="178">
        <f t="shared" si="6"/>
        <v>0</v>
      </c>
      <c r="T108" s="282"/>
      <c r="U108" s="293">
        <v>45723</v>
      </c>
      <c r="V108" s="294"/>
      <c r="W108" s="294"/>
      <c r="X108" s="294"/>
      <c r="Y108" s="294"/>
      <c r="Z108" s="294"/>
      <c r="AA108" s="294"/>
      <c r="AB108" s="294"/>
      <c r="AC108" s="294">
        <v>15</v>
      </c>
      <c r="AD108" s="294"/>
      <c r="AE108" s="294"/>
      <c r="AF108" s="294"/>
      <c r="AG108" s="294"/>
      <c r="AH108" s="294"/>
      <c r="AI108" s="294"/>
      <c r="AJ108" s="294"/>
      <c r="AK108" s="294"/>
      <c r="AL108" s="295">
        <v>502.85</v>
      </c>
      <c r="AM108" s="299">
        <f t="shared" si="5"/>
        <v>7542.75</v>
      </c>
    </row>
    <row r="109" spans="1:39" x14ac:dyDescent="0.2">
      <c r="A109" s="183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78"/>
      <c r="S109" s="178">
        <f t="shared" si="6"/>
        <v>0</v>
      </c>
      <c r="T109" s="282"/>
      <c r="U109" s="288">
        <v>45726</v>
      </c>
      <c r="V109" s="289"/>
      <c r="W109" s="289"/>
      <c r="X109" s="289">
        <v>5</v>
      </c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90">
        <v>427</v>
      </c>
      <c r="AM109" s="299">
        <f t="shared" si="5"/>
        <v>2135</v>
      </c>
    </row>
    <row r="110" spans="1:39" x14ac:dyDescent="0.2">
      <c r="A110" s="186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78"/>
      <c r="S110" s="178">
        <f t="shared" si="4"/>
        <v>0</v>
      </c>
      <c r="T110" s="282"/>
      <c r="U110" s="296"/>
      <c r="V110" s="182"/>
      <c r="W110" s="182"/>
      <c r="X110" s="182"/>
      <c r="Y110" s="182"/>
      <c r="Z110" s="182">
        <v>10</v>
      </c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292">
        <v>519</v>
      </c>
      <c r="AM110" s="299">
        <f t="shared" si="5"/>
        <v>5190</v>
      </c>
    </row>
    <row r="111" spans="1:39" x14ac:dyDescent="0.2">
      <c r="A111" s="186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78"/>
      <c r="S111" s="178">
        <f t="shared" si="4"/>
        <v>0</v>
      </c>
      <c r="T111" s="282"/>
      <c r="U111" s="291">
        <v>45727</v>
      </c>
      <c r="V111" s="182">
        <v>25</v>
      </c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292">
        <v>607</v>
      </c>
      <c r="AM111" s="299">
        <f t="shared" si="5"/>
        <v>15175</v>
      </c>
    </row>
    <row r="112" spans="1:39" x14ac:dyDescent="0.2">
      <c r="A112" s="186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78"/>
      <c r="S112" s="178">
        <f t="shared" si="4"/>
        <v>0</v>
      </c>
      <c r="T112" s="282"/>
      <c r="U112" s="296"/>
      <c r="V112" s="182"/>
      <c r="W112" s="182"/>
      <c r="X112" s="182"/>
      <c r="Y112" s="182">
        <v>15</v>
      </c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292">
        <v>514</v>
      </c>
      <c r="AM112" s="299">
        <f t="shared" si="5"/>
        <v>7710</v>
      </c>
    </row>
    <row r="113" spans="1:39" ht="13.5" thickBot="1" x14ac:dyDescent="0.25">
      <c r="A113" s="186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78"/>
      <c r="S113" s="178">
        <f t="shared" si="4"/>
        <v>0</v>
      </c>
      <c r="T113" s="282"/>
      <c r="U113" s="309">
        <v>45730</v>
      </c>
      <c r="V113" s="310"/>
      <c r="W113" s="310"/>
      <c r="X113" s="310">
        <v>5</v>
      </c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1">
        <v>427</v>
      </c>
      <c r="AM113" s="312">
        <f t="shared" si="5"/>
        <v>2135</v>
      </c>
    </row>
    <row r="114" spans="1:39" x14ac:dyDescent="0.2">
      <c r="A114" s="183">
        <v>45733</v>
      </c>
      <c r="B114" s="182"/>
      <c r="C114" s="182"/>
      <c r="D114" s="182"/>
      <c r="E114" s="182"/>
      <c r="F114" s="182"/>
      <c r="G114" s="182"/>
      <c r="H114" s="182"/>
      <c r="I114" s="182">
        <v>50</v>
      </c>
      <c r="J114" s="182"/>
      <c r="K114" s="182"/>
      <c r="L114" s="182"/>
      <c r="M114" s="182"/>
      <c r="N114" s="182"/>
      <c r="O114" s="182"/>
      <c r="P114" s="182"/>
      <c r="Q114" s="182"/>
      <c r="R114" s="178">
        <v>502.85</v>
      </c>
      <c r="S114" s="178">
        <f t="shared" si="4"/>
        <v>25142.5</v>
      </c>
      <c r="T114" s="282"/>
      <c r="U114" s="288">
        <v>45733</v>
      </c>
      <c r="V114" s="289"/>
      <c r="W114" s="289"/>
      <c r="X114" s="289"/>
      <c r="Y114" s="289"/>
      <c r="Z114" s="289"/>
      <c r="AA114" s="289">
        <v>10</v>
      </c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313">
        <v>504</v>
      </c>
      <c r="AM114" s="290">
        <f t="shared" si="5"/>
        <v>5040</v>
      </c>
    </row>
    <row r="115" spans="1:39" x14ac:dyDescent="0.2">
      <c r="A115" s="186"/>
      <c r="B115" s="182"/>
      <c r="C115" s="182"/>
      <c r="D115" s="182"/>
      <c r="E115" s="182"/>
      <c r="F115" s="182"/>
      <c r="G115" s="182"/>
      <c r="H115" s="182"/>
      <c r="I115" s="182"/>
      <c r="J115" s="182">
        <v>50</v>
      </c>
      <c r="K115" s="182"/>
      <c r="L115" s="182"/>
      <c r="M115" s="182"/>
      <c r="N115" s="182"/>
      <c r="O115" s="182"/>
      <c r="P115" s="182"/>
      <c r="Q115" s="182"/>
      <c r="R115" s="178">
        <v>398</v>
      </c>
      <c r="S115" s="178">
        <f t="shared" si="4"/>
        <v>19900</v>
      </c>
      <c r="T115" s="282"/>
      <c r="U115" s="296"/>
      <c r="V115" s="182"/>
      <c r="W115" s="182"/>
      <c r="X115" s="182"/>
      <c r="Y115" s="182"/>
      <c r="Z115" s="182"/>
      <c r="AA115" s="182"/>
      <c r="AB115" s="182">
        <v>10</v>
      </c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78">
        <v>557</v>
      </c>
      <c r="AM115" s="292">
        <f t="shared" si="5"/>
        <v>5570</v>
      </c>
    </row>
    <row r="116" spans="1:39" x14ac:dyDescent="0.2">
      <c r="A116" s="186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78"/>
      <c r="S116" s="178">
        <f t="shared" si="4"/>
        <v>0</v>
      </c>
      <c r="T116" s="282"/>
      <c r="U116" s="296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>
        <v>10</v>
      </c>
      <c r="AF116" s="182"/>
      <c r="AG116" s="182"/>
      <c r="AH116" s="182"/>
      <c r="AI116" s="182"/>
      <c r="AJ116" s="182"/>
      <c r="AK116" s="182"/>
      <c r="AL116" s="178">
        <v>629.27</v>
      </c>
      <c r="AM116" s="292">
        <f t="shared" si="5"/>
        <v>6292.7</v>
      </c>
    </row>
    <row r="117" spans="1:39" x14ac:dyDescent="0.2">
      <c r="A117" s="186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78"/>
      <c r="S117" s="178">
        <f t="shared" si="4"/>
        <v>0</v>
      </c>
      <c r="T117" s="282"/>
      <c r="U117" s="296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>
        <v>5</v>
      </c>
      <c r="AH117" s="182"/>
      <c r="AI117" s="182"/>
      <c r="AJ117" s="182"/>
      <c r="AK117" s="182"/>
      <c r="AL117" s="178">
        <v>689.75</v>
      </c>
      <c r="AM117" s="292">
        <f t="shared" si="5"/>
        <v>3448.75</v>
      </c>
    </row>
    <row r="118" spans="1:39" x14ac:dyDescent="0.2">
      <c r="A118" s="186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78"/>
      <c r="S118" s="178">
        <f t="shared" si="4"/>
        <v>0</v>
      </c>
      <c r="T118" s="282"/>
      <c r="U118" s="291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>
        <v>10</v>
      </c>
      <c r="AK118" s="182"/>
      <c r="AL118" s="178">
        <v>532.12</v>
      </c>
      <c r="AM118" s="292">
        <f t="shared" si="5"/>
        <v>5321.2</v>
      </c>
    </row>
    <row r="119" spans="1:39" x14ac:dyDescent="0.2">
      <c r="A119" s="186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78"/>
      <c r="S119" s="178">
        <f t="shared" si="4"/>
        <v>0</v>
      </c>
      <c r="T119" s="282"/>
      <c r="U119" s="291">
        <v>45734</v>
      </c>
      <c r="V119" s="182"/>
      <c r="W119" s="182"/>
      <c r="X119" s="182"/>
      <c r="Y119" s="182"/>
      <c r="Z119" s="182"/>
      <c r="AA119" s="182"/>
      <c r="AB119" s="182"/>
      <c r="AC119" s="182"/>
      <c r="AD119" s="182">
        <v>10</v>
      </c>
      <c r="AE119" s="182"/>
      <c r="AF119" s="182"/>
      <c r="AG119" s="182"/>
      <c r="AH119" s="182"/>
      <c r="AI119" s="182"/>
      <c r="AJ119" s="182"/>
      <c r="AK119" s="182"/>
      <c r="AL119" s="178">
        <v>398</v>
      </c>
      <c r="AM119" s="292">
        <f t="shared" si="5"/>
        <v>3980</v>
      </c>
    </row>
    <row r="120" spans="1:39" x14ac:dyDescent="0.2">
      <c r="A120" s="186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78"/>
      <c r="S120" s="178">
        <f t="shared" si="4"/>
        <v>0</v>
      </c>
      <c r="T120" s="282"/>
      <c r="U120" s="291">
        <v>45735</v>
      </c>
      <c r="V120" s="182"/>
      <c r="W120" s="182"/>
      <c r="X120" s="182">
        <v>10</v>
      </c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78">
        <v>427</v>
      </c>
      <c r="AM120" s="292">
        <f t="shared" si="5"/>
        <v>4270</v>
      </c>
    </row>
    <row r="121" spans="1:39" x14ac:dyDescent="0.2">
      <c r="A121" s="186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78"/>
      <c r="S121" s="178">
        <f t="shared" si="4"/>
        <v>0</v>
      </c>
      <c r="T121" s="282"/>
      <c r="U121" s="296"/>
      <c r="V121" s="182"/>
      <c r="W121" s="182"/>
      <c r="X121" s="182"/>
      <c r="Y121" s="182">
        <v>15</v>
      </c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78">
        <v>514</v>
      </c>
      <c r="AM121" s="292">
        <f t="shared" si="5"/>
        <v>7710</v>
      </c>
    </row>
    <row r="122" spans="1:39" x14ac:dyDescent="0.2">
      <c r="A122" s="186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78"/>
      <c r="S122" s="178">
        <f t="shared" si="4"/>
        <v>0</v>
      </c>
      <c r="T122" s="282"/>
      <c r="U122" s="296"/>
      <c r="V122" s="182"/>
      <c r="W122" s="182"/>
      <c r="X122" s="182"/>
      <c r="Y122" s="182"/>
      <c r="Z122" s="182"/>
      <c r="AA122" s="182"/>
      <c r="AB122" s="182"/>
      <c r="AC122" s="182">
        <v>10</v>
      </c>
      <c r="AD122" s="182"/>
      <c r="AE122" s="182"/>
      <c r="AF122" s="182"/>
      <c r="AG122" s="182"/>
      <c r="AH122" s="182"/>
      <c r="AI122" s="182"/>
      <c r="AJ122" s="182"/>
      <c r="AK122" s="182"/>
      <c r="AL122" s="178">
        <v>502.85</v>
      </c>
      <c r="AM122" s="292">
        <f t="shared" si="5"/>
        <v>5028.5</v>
      </c>
    </row>
    <row r="123" spans="1:39" x14ac:dyDescent="0.2">
      <c r="A123" s="186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78"/>
      <c r="S123" s="178">
        <f t="shared" si="4"/>
        <v>0</v>
      </c>
      <c r="T123" s="282"/>
      <c r="U123" s="296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>
        <v>10</v>
      </c>
      <c r="AF123" s="182"/>
      <c r="AG123" s="182"/>
      <c r="AH123" s="182"/>
      <c r="AI123" s="182"/>
      <c r="AJ123" s="182"/>
      <c r="AK123" s="182"/>
      <c r="AL123" s="178">
        <v>629.27</v>
      </c>
      <c r="AM123" s="292">
        <f t="shared" si="5"/>
        <v>6292.7</v>
      </c>
    </row>
    <row r="124" spans="1:39" x14ac:dyDescent="0.2">
      <c r="A124" s="186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78"/>
      <c r="S124" s="178">
        <f t="shared" si="4"/>
        <v>0</v>
      </c>
      <c r="T124" s="282"/>
      <c r="U124" s="296"/>
      <c r="V124" s="182"/>
      <c r="W124" s="182"/>
      <c r="X124" s="182"/>
      <c r="Y124" s="182"/>
      <c r="Z124" s="182"/>
      <c r="AA124" s="182"/>
      <c r="AB124" s="182"/>
      <c r="AC124" s="182"/>
      <c r="AD124" s="182">
        <v>10</v>
      </c>
      <c r="AE124" s="182"/>
      <c r="AF124" s="182"/>
      <c r="AG124" s="182"/>
      <c r="AH124" s="182"/>
      <c r="AI124" s="182"/>
      <c r="AJ124" s="182"/>
      <c r="AK124" s="182"/>
      <c r="AL124" s="178">
        <v>398</v>
      </c>
      <c r="AM124" s="292">
        <f t="shared" si="5"/>
        <v>3980</v>
      </c>
    </row>
    <row r="125" spans="1:39" x14ac:dyDescent="0.2">
      <c r="A125" s="186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78"/>
      <c r="S125" s="178">
        <f t="shared" si="4"/>
        <v>0</v>
      </c>
      <c r="T125" s="282"/>
      <c r="U125" s="291">
        <v>45736</v>
      </c>
      <c r="V125" s="182"/>
      <c r="W125" s="182"/>
      <c r="X125" s="182">
        <v>30</v>
      </c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78">
        <v>427</v>
      </c>
      <c r="AM125" s="292">
        <f t="shared" si="5"/>
        <v>12810</v>
      </c>
    </row>
    <row r="126" spans="1:39" x14ac:dyDescent="0.2">
      <c r="A126" s="186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78"/>
      <c r="S126" s="178">
        <f t="shared" si="4"/>
        <v>0</v>
      </c>
      <c r="T126" s="282"/>
      <c r="U126" s="296"/>
      <c r="V126" s="182"/>
      <c r="W126" s="182"/>
      <c r="X126" s="182"/>
      <c r="Y126" s="182">
        <v>10</v>
      </c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78">
        <v>514</v>
      </c>
      <c r="AM126" s="292">
        <f t="shared" si="5"/>
        <v>5140</v>
      </c>
    </row>
    <row r="127" spans="1:39" x14ac:dyDescent="0.2">
      <c r="A127" s="186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78"/>
      <c r="S127" s="178">
        <f t="shared" si="4"/>
        <v>0</v>
      </c>
      <c r="T127" s="282"/>
      <c r="U127" s="296"/>
      <c r="V127" s="182"/>
      <c r="W127" s="182"/>
      <c r="X127" s="182"/>
      <c r="Y127" s="182"/>
      <c r="Z127" s="182"/>
      <c r="AA127" s="182"/>
      <c r="AB127" s="182"/>
      <c r="AC127" s="182">
        <v>20</v>
      </c>
      <c r="AD127" s="182"/>
      <c r="AE127" s="182"/>
      <c r="AF127" s="182"/>
      <c r="AG127" s="182"/>
      <c r="AH127" s="182"/>
      <c r="AI127" s="182"/>
      <c r="AJ127" s="182"/>
      <c r="AK127" s="182"/>
      <c r="AL127" s="178">
        <v>502.85</v>
      </c>
      <c r="AM127" s="292">
        <f t="shared" si="5"/>
        <v>10057</v>
      </c>
    </row>
    <row r="128" spans="1:39" x14ac:dyDescent="0.2">
      <c r="A128" s="186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78"/>
      <c r="S128" s="178">
        <f t="shared" si="4"/>
        <v>0</v>
      </c>
      <c r="T128" s="282"/>
      <c r="U128" s="296"/>
      <c r="V128" s="182"/>
      <c r="W128" s="182"/>
      <c r="X128" s="182"/>
      <c r="Y128" s="182"/>
      <c r="Z128" s="182"/>
      <c r="AA128" s="182"/>
      <c r="AB128" s="182"/>
      <c r="AC128" s="182"/>
      <c r="AD128" s="182">
        <v>30</v>
      </c>
      <c r="AE128" s="182"/>
      <c r="AF128" s="182"/>
      <c r="AG128" s="182"/>
      <c r="AH128" s="182"/>
      <c r="AI128" s="182"/>
      <c r="AJ128" s="182"/>
      <c r="AK128" s="182"/>
      <c r="AL128" s="178">
        <v>398</v>
      </c>
      <c r="AM128" s="292">
        <f t="shared" si="5"/>
        <v>11940</v>
      </c>
    </row>
    <row r="129" spans="1:39" x14ac:dyDescent="0.2">
      <c r="A129" s="186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78"/>
      <c r="S129" s="178">
        <f t="shared" si="4"/>
        <v>0</v>
      </c>
      <c r="T129" s="282"/>
      <c r="U129" s="291">
        <v>45737</v>
      </c>
      <c r="V129" s="182"/>
      <c r="W129" s="182"/>
      <c r="X129" s="182">
        <v>10</v>
      </c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78">
        <v>427</v>
      </c>
      <c r="AM129" s="292">
        <f t="shared" si="5"/>
        <v>4270</v>
      </c>
    </row>
    <row r="130" spans="1:39" ht="13.5" thickBot="1" x14ac:dyDescent="0.25">
      <c r="A130" s="186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78"/>
      <c r="S130" s="178">
        <f t="shared" si="4"/>
        <v>0</v>
      </c>
      <c r="T130" s="282"/>
      <c r="U130" s="314"/>
      <c r="V130" s="294"/>
      <c r="W130" s="294"/>
      <c r="X130" s="294"/>
      <c r="Y130" s="294"/>
      <c r="Z130" s="294"/>
      <c r="AA130" s="294"/>
      <c r="AB130" s="294"/>
      <c r="AC130" s="294">
        <v>20</v>
      </c>
      <c r="AD130" s="294"/>
      <c r="AE130" s="294"/>
      <c r="AF130" s="294"/>
      <c r="AG130" s="294"/>
      <c r="AH130" s="294"/>
      <c r="AI130" s="294"/>
      <c r="AJ130" s="294"/>
      <c r="AK130" s="294"/>
      <c r="AL130" s="315">
        <v>502.85</v>
      </c>
      <c r="AM130" s="295">
        <f t="shared" si="5"/>
        <v>10057</v>
      </c>
    </row>
    <row r="131" spans="1:39" x14ac:dyDescent="0.2">
      <c r="A131" s="183">
        <v>45741</v>
      </c>
      <c r="B131" s="182"/>
      <c r="C131" s="182"/>
      <c r="D131" s="182"/>
      <c r="E131" s="182"/>
      <c r="F131" s="182"/>
      <c r="G131" s="182"/>
      <c r="H131" s="182"/>
      <c r="I131" s="182">
        <v>50</v>
      </c>
      <c r="J131" s="182"/>
      <c r="K131" s="182"/>
      <c r="L131" s="182"/>
      <c r="M131" s="182"/>
      <c r="N131" s="182"/>
      <c r="O131" s="182"/>
      <c r="P131" s="182"/>
      <c r="Q131" s="182"/>
      <c r="R131" s="178">
        <v>502.85</v>
      </c>
      <c r="S131" s="178">
        <f t="shared" si="4"/>
        <v>25142.5</v>
      </c>
      <c r="T131" s="282"/>
      <c r="U131" s="288">
        <v>45740</v>
      </c>
      <c r="V131" s="289"/>
      <c r="W131" s="289"/>
      <c r="X131" s="289">
        <v>25</v>
      </c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313">
        <v>427</v>
      </c>
      <c r="AM131" s="290">
        <f t="shared" si="5"/>
        <v>10675</v>
      </c>
    </row>
    <row r="132" spans="1:39" x14ac:dyDescent="0.2">
      <c r="A132" s="186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78"/>
      <c r="S132" s="178">
        <f t="shared" si="4"/>
        <v>0</v>
      </c>
      <c r="T132" s="282"/>
      <c r="U132" s="291">
        <v>45742</v>
      </c>
      <c r="V132" s="182"/>
      <c r="W132" s="182"/>
      <c r="X132" s="182"/>
      <c r="Y132" s="182"/>
      <c r="Z132" s="182"/>
      <c r="AA132" s="182"/>
      <c r="AB132" s="182"/>
      <c r="AC132" s="182">
        <v>25</v>
      </c>
      <c r="AD132" s="182"/>
      <c r="AE132" s="182"/>
      <c r="AF132" s="182"/>
      <c r="AG132" s="182"/>
      <c r="AH132" s="182"/>
      <c r="AI132" s="182"/>
      <c r="AJ132" s="182"/>
      <c r="AK132" s="182"/>
      <c r="AL132" s="178">
        <v>502.85</v>
      </c>
      <c r="AM132" s="292">
        <f t="shared" si="5"/>
        <v>12571.25</v>
      </c>
    </row>
    <row r="133" spans="1:39" x14ac:dyDescent="0.2">
      <c r="A133" s="183">
        <v>45743</v>
      </c>
      <c r="B133" s="182"/>
      <c r="C133" s="182"/>
      <c r="D133" s="182"/>
      <c r="E133" s="182"/>
      <c r="F133" s="182"/>
      <c r="G133" s="182"/>
      <c r="H133" s="182"/>
      <c r="I133" s="182"/>
      <c r="J133" s="182">
        <v>50</v>
      </c>
      <c r="K133" s="182"/>
      <c r="L133" s="182"/>
      <c r="M133" s="182"/>
      <c r="N133" s="182"/>
      <c r="O133" s="182"/>
      <c r="P133" s="182"/>
      <c r="Q133" s="182"/>
      <c r="R133" s="178">
        <v>398</v>
      </c>
      <c r="S133" s="178">
        <f t="shared" si="4"/>
        <v>19900</v>
      </c>
      <c r="T133" s="282"/>
      <c r="U133" s="291">
        <v>45743</v>
      </c>
      <c r="V133" s="182"/>
      <c r="W133" s="182"/>
      <c r="X133" s="182">
        <v>40</v>
      </c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78">
        <v>427</v>
      </c>
      <c r="AM133" s="292">
        <f t="shared" si="5"/>
        <v>17080</v>
      </c>
    </row>
    <row r="134" spans="1:39" x14ac:dyDescent="0.2">
      <c r="A134" s="186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>
        <v>50</v>
      </c>
      <c r="N134" s="182"/>
      <c r="O134" s="182"/>
      <c r="P134" s="182"/>
      <c r="Q134" s="182"/>
      <c r="R134" s="178">
        <v>689.75</v>
      </c>
      <c r="S134" s="178">
        <f t="shared" si="4"/>
        <v>34487.5</v>
      </c>
      <c r="T134" s="282"/>
      <c r="U134" s="296"/>
      <c r="V134" s="182"/>
      <c r="W134" s="182"/>
      <c r="X134" s="182"/>
      <c r="Y134" s="182">
        <v>10</v>
      </c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78">
        <v>514</v>
      </c>
      <c r="AM134" s="292">
        <f t="shared" si="5"/>
        <v>5140</v>
      </c>
    </row>
    <row r="135" spans="1:39" x14ac:dyDescent="0.2">
      <c r="A135" s="186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78"/>
      <c r="S135" s="178">
        <f t="shared" si="4"/>
        <v>0</v>
      </c>
      <c r="T135" s="282"/>
      <c r="U135" s="296"/>
      <c r="V135" s="182"/>
      <c r="W135" s="182"/>
      <c r="X135" s="182"/>
      <c r="Y135" s="182"/>
      <c r="Z135" s="182"/>
      <c r="AA135" s="182"/>
      <c r="AB135" s="182"/>
      <c r="AC135" s="182">
        <v>25</v>
      </c>
      <c r="AD135" s="182"/>
      <c r="AE135" s="182"/>
      <c r="AF135" s="182"/>
      <c r="AG135" s="182"/>
      <c r="AH135" s="182"/>
      <c r="AI135" s="182"/>
      <c r="AJ135" s="182"/>
      <c r="AK135" s="182"/>
      <c r="AL135" s="178">
        <v>502.85</v>
      </c>
      <c r="AM135" s="292">
        <f t="shared" si="5"/>
        <v>12571.25</v>
      </c>
    </row>
    <row r="136" spans="1:39" x14ac:dyDescent="0.2">
      <c r="A136" s="186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78"/>
      <c r="S136" s="178">
        <f t="shared" si="4"/>
        <v>0</v>
      </c>
      <c r="T136" s="282"/>
      <c r="U136" s="296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>
        <v>10</v>
      </c>
      <c r="AK136" s="182"/>
      <c r="AL136" s="178">
        <v>532.12</v>
      </c>
      <c r="AM136" s="292">
        <f t="shared" si="5"/>
        <v>5321.2</v>
      </c>
    </row>
    <row r="137" spans="1:39" x14ac:dyDescent="0.2">
      <c r="A137" s="186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78"/>
      <c r="S137" s="178">
        <f t="shared" si="4"/>
        <v>0</v>
      </c>
      <c r="T137" s="282"/>
      <c r="U137" s="296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>
        <v>30</v>
      </c>
      <c r="AF137" s="182"/>
      <c r="AG137" s="182"/>
      <c r="AH137" s="182"/>
      <c r="AI137" s="182"/>
      <c r="AJ137" s="182"/>
      <c r="AK137" s="182"/>
      <c r="AL137" s="178">
        <v>629.27</v>
      </c>
      <c r="AM137" s="292">
        <f t="shared" si="5"/>
        <v>18878.099999999999</v>
      </c>
    </row>
    <row r="138" spans="1:39" ht="13.5" thickBot="1" x14ac:dyDescent="0.25">
      <c r="A138" s="186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78"/>
      <c r="S138" s="178">
        <f t="shared" si="4"/>
        <v>0</v>
      </c>
      <c r="T138" s="282"/>
      <c r="U138" s="31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>
        <v>30</v>
      </c>
      <c r="AK138" s="294"/>
      <c r="AL138" s="315">
        <v>532.12</v>
      </c>
      <c r="AM138" s="295">
        <f t="shared" si="5"/>
        <v>15963.6</v>
      </c>
    </row>
    <row r="139" spans="1:39" x14ac:dyDescent="0.2">
      <c r="A139" s="186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78"/>
      <c r="S139" s="178">
        <f t="shared" si="4"/>
        <v>0</v>
      </c>
      <c r="T139" s="282"/>
      <c r="U139" s="288">
        <v>45749</v>
      </c>
      <c r="V139" s="289"/>
      <c r="W139" s="289"/>
      <c r="X139" s="289">
        <v>10</v>
      </c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313">
        <v>427</v>
      </c>
      <c r="AM139" s="290">
        <f t="shared" si="5"/>
        <v>4270</v>
      </c>
    </row>
    <row r="140" spans="1:39" x14ac:dyDescent="0.2">
      <c r="A140" s="186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78"/>
      <c r="S140" s="178">
        <f t="shared" si="4"/>
        <v>0</v>
      </c>
      <c r="T140" s="282"/>
      <c r="U140" s="296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>
        <v>25</v>
      </c>
      <c r="AF140" s="182"/>
      <c r="AG140" s="182"/>
      <c r="AH140" s="182"/>
      <c r="AI140" s="182"/>
      <c r="AJ140" s="182"/>
      <c r="AK140" s="182"/>
      <c r="AL140" s="178">
        <v>629.27</v>
      </c>
      <c r="AM140" s="292">
        <f t="shared" si="5"/>
        <v>15731.75</v>
      </c>
    </row>
    <row r="141" spans="1:39" ht="13.5" thickBot="1" x14ac:dyDescent="0.25">
      <c r="A141" s="186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78"/>
      <c r="S141" s="178">
        <f t="shared" si="4"/>
        <v>0</v>
      </c>
      <c r="T141" s="282"/>
      <c r="U141" s="293">
        <v>45750</v>
      </c>
      <c r="V141" s="294"/>
      <c r="W141" s="294"/>
      <c r="X141" s="294">
        <v>10</v>
      </c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315">
        <v>427</v>
      </c>
      <c r="AM141" s="295">
        <f t="shared" si="5"/>
        <v>4270</v>
      </c>
    </row>
    <row r="142" spans="1:39" x14ac:dyDescent="0.2">
      <c r="A142" s="186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78"/>
      <c r="S142" s="178">
        <f t="shared" si="4"/>
        <v>0</v>
      </c>
      <c r="T142" s="282"/>
      <c r="U142" s="288">
        <v>45755</v>
      </c>
      <c r="V142" s="289"/>
      <c r="W142" s="289"/>
      <c r="X142" s="289">
        <v>5</v>
      </c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313">
        <v>427</v>
      </c>
      <c r="AM142" s="290">
        <f t="shared" si="5"/>
        <v>2135</v>
      </c>
    </row>
    <row r="143" spans="1:39" x14ac:dyDescent="0.2">
      <c r="A143" s="186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78"/>
      <c r="S143" s="178">
        <f t="shared" si="4"/>
        <v>0</v>
      </c>
      <c r="T143" s="282"/>
      <c r="U143" s="291">
        <v>45756</v>
      </c>
      <c r="V143" s="182"/>
      <c r="W143" s="182"/>
      <c r="X143" s="182">
        <v>10</v>
      </c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78">
        <v>427</v>
      </c>
      <c r="AM143" s="292">
        <f t="shared" si="5"/>
        <v>4270</v>
      </c>
    </row>
    <row r="144" spans="1:39" x14ac:dyDescent="0.2">
      <c r="A144" s="186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78"/>
      <c r="S144" s="178">
        <f t="shared" si="4"/>
        <v>0</v>
      </c>
      <c r="T144" s="282"/>
      <c r="U144" s="291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>
        <v>5</v>
      </c>
      <c r="AF144" s="182"/>
      <c r="AG144" s="182"/>
      <c r="AH144" s="182"/>
      <c r="AI144" s="182"/>
      <c r="AJ144" s="182"/>
      <c r="AK144" s="182"/>
      <c r="AL144" s="178">
        <v>629.27</v>
      </c>
      <c r="AM144" s="292">
        <f t="shared" si="5"/>
        <v>3146.35</v>
      </c>
    </row>
    <row r="145" spans="1:39" x14ac:dyDescent="0.2">
      <c r="A145" s="186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78"/>
      <c r="S145" s="178">
        <f t="shared" si="4"/>
        <v>0</v>
      </c>
      <c r="T145" s="282"/>
      <c r="U145" s="291">
        <v>45757</v>
      </c>
      <c r="V145" s="182"/>
      <c r="W145" s="182"/>
      <c r="X145" s="182">
        <v>30</v>
      </c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78">
        <v>427</v>
      </c>
      <c r="AM145" s="292">
        <f t="shared" si="5"/>
        <v>12810</v>
      </c>
    </row>
    <row r="146" spans="1:39" x14ac:dyDescent="0.2">
      <c r="A146" s="186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78"/>
      <c r="S146" s="178">
        <f t="shared" si="4"/>
        <v>0</v>
      </c>
      <c r="T146" s="282"/>
      <c r="U146" s="291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>
        <v>50</v>
      </c>
      <c r="AF146" s="182"/>
      <c r="AG146" s="182"/>
      <c r="AH146" s="182"/>
      <c r="AI146" s="182"/>
      <c r="AJ146" s="182"/>
      <c r="AK146" s="182"/>
      <c r="AL146" s="178">
        <v>629.27</v>
      </c>
      <c r="AM146" s="292">
        <f t="shared" si="5"/>
        <v>31463.5</v>
      </c>
    </row>
    <row r="147" spans="1:39" x14ac:dyDescent="0.2">
      <c r="A147" s="186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78"/>
      <c r="S147" s="178">
        <f t="shared" si="4"/>
        <v>0</v>
      </c>
      <c r="T147" s="282"/>
      <c r="U147" s="291" t="s">
        <v>150</v>
      </c>
      <c r="V147" s="182"/>
      <c r="W147" s="182"/>
      <c r="X147" s="182">
        <v>40</v>
      </c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78">
        <v>427</v>
      </c>
      <c r="AM147" s="292">
        <f t="shared" si="5"/>
        <v>17080</v>
      </c>
    </row>
    <row r="148" spans="1:39" x14ac:dyDescent="0.2">
      <c r="A148" s="186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78"/>
      <c r="S148" s="178">
        <f t="shared" si="4"/>
        <v>0</v>
      </c>
      <c r="T148" s="282"/>
      <c r="U148" s="291"/>
      <c r="V148" s="182"/>
      <c r="W148" s="182"/>
      <c r="X148" s="182"/>
      <c r="Y148" s="182"/>
      <c r="Z148" s="182"/>
      <c r="AA148" s="182"/>
      <c r="AB148" s="182"/>
      <c r="AC148" s="182"/>
      <c r="AD148" s="182">
        <v>50</v>
      </c>
      <c r="AE148" s="182"/>
      <c r="AF148" s="182"/>
      <c r="AG148" s="182"/>
      <c r="AH148" s="182"/>
      <c r="AI148" s="182"/>
      <c r="AJ148" s="182"/>
      <c r="AK148" s="182"/>
      <c r="AL148" s="178">
        <v>398</v>
      </c>
      <c r="AM148" s="292">
        <f t="shared" si="5"/>
        <v>19900</v>
      </c>
    </row>
    <row r="149" spans="1:39" x14ac:dyDescent="0.2">
      <c r="A149" s="186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78"/>
      <c r="S149" s="178">
        <f t="shared" si="4"/>
        <v>0</v>
      </c>
      <c r="T149" s="282"/>
      <c r="U149" s="291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>
        <v>55</v>
      </c>
      <c r="AF149" s="182"/>
      <c r="AG149" s="182"/>
      <c r="AH149" s="182"/>
      <c r="AI149" s="182"/>
      <c r="AJ149" s="182"/>
      <c r="AK149" s="182"/>
      <c r="AL149" s="178">
        <v>629.27</v>
      </c>
      <c r="AM149" s="292">
        <f t="shared" si="5"/>
        <v>34609.85</v>
      </c>
    </row>
    <row r="150" spans="1:39" x14ac:dyDescent="0.2">
      <c r="A150" s="186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78"/>
      <c r="S150" s="178">
        <f t="shared" si="4"/>
        <v>0</v>
      </c>
      <c r="T150" s="282"/>
      <c r="U150" s="291">
        <v>45762</v>
      </c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>
        <v>5</v>
      </c>
      <c r="AK150" s="182"/>
      <c r="AL150" s="178">
        <v>532.12</v>
      </c>
      <c r="AM150" s="292">
        <f t="shared" si="5"/>
        <v>2660.6</v>
      </c>
    </row>
    <row r="151" spans="1:39" x14ac:dyDescent="0.2">
      <c r="A151" s="186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78"/>
      <c r="S151" s="178">
        <f t="shared" si="4"/>
        <v>0</v>
      </c>
      <c r="T151" s="282"/>
      <c r="U151" s="291"/>
      <c r="V151" s="182"/>
      <c r="W151" s="182"/>
      <c r="X151" s="182"/>
      <c r="Y151" s="182">
        <v>25</v>
      </c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78">
        <v>514</v>
      </c>
      <c r="AM151" s="292">
        <f t="shared" si="5"/>
        <v>12850</v>
      </c>
    </row>
    <row r="152" spans="1:39" x14ac:dyDescent="0.2">
      <c r="A152" s="186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78"/>
      <c r="S152" s="178">
        <f t="shared" si="4"/>
        <v>0</v>
      </c>
      <c r="T152" s="282"/>
      <c r="U152" s="291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>
        <v>25</v>
      </c>
      <c r="AF152" s="182"/>
      <c r="AG152" s="182"/>
      <c r="AH152" s="182"/>
      <c r="AI152" s="182"/>
      <c r="AJ152" s="182"/>
      <c r="AK152" s="182"/>
      <c r="AL152" s="178">
        <v>629.27</v>
      </c>
      <c r="AM152" s="292">
        <f t="shared" si="5"/>
        <v>15731.75</v>
      </c>
    </row>
    <row r="153" spans="1:39" x14ac:dyDescent="0.2">
      <c r="A153" s="186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78"/>
      <c r="S153" s="178">
        <f t="shared" si="4"/>
        <v>0</v>
      </c>
      <c r="T153" s="282"/>
      <c r="U153" s="291">
        <v>45764</v>
      </c>
      <c r="V153" s="182"/>
      <c r="W153" s="182"/>
      <c r="X153" s="182">
        <v>20</v>
      </c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78">
        <v>427</v>
      </c>
      <c r="AM153" s="292">
        <f t="shared" si="5"/>
        <v>8540</v>
      </c>
    </row>
    <row r="154" spans="1:39" ht="13.5" thickBot="1" x14ac:dyDescent="0.25">
      <c r="A154" s="186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78"/>
      <c r="S154" s="178">
        <f t="shared" si="4"/>
        <v>0</v>
      </c>
      <c r="T154" s="282"/>
      <c r="U154" s="293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>
        <v>25</v>
      </c>
      <c r="AK154" s="294"/>
      <c r="AL154" s="315">
        <v>532.12</v>
      </c>
      <c r="AM154" s="295">
        <f t="shared" si="5"/>
        <v>13303</v>
      </c>
    </row>
    <row r="155" spans="1:39" x14ac:dyDescent="0.2">
      <c r="A155" s="186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78"/>
      <c r="S155" s="178">
        <f t="shared" si="4"/>
        <v>0</v>
      </c>
      <c r="T155" s="179"/>
      <c r="U155" s="335">
        <v>45768</v>
      </c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>
        <v>25</v>
      </c>
      <c r="AF155" s="286"/>
      <c r="AG155" s="286"/>
      <c r="AH155" s="286"/>
      <c r="AI155" s="286"/>
      <c r="AJ155" s="286"/>
      <c r="AK155" s="286"/>
      <c r="AL155" s="178">
        <v>629.27</v>
      </c>
      <c r="AM155" s="287">
        <f t="shared" si="5"/>
        <v>15731.75</v>
      </c>
    </row>
    <row r="156" spans="1:39" x14ac:dyDescent="0.2">
      <c r="A156" s="183">
        <v>45771</v>
      </c>
      <c r="B156" s="182"/>
      <c r="C156" s="182"/>
      <c r="D156" s="182">
        <v>220</v>
      </c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78">
        <v>427</v>
      </c>
      <c r="S156" s="178">
        <f t="shared" si="4"/>
        <v>93940</v>
      </c>
      <c r="T156" s="179"/>
      <c r="U156" s="177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78"/>
      <c r="AM156" s="178">
        <f t="shared" si="5"/>
        <v>0</v>
      </c>
    </row>
    <row r="157" spans="1:39" x14ac:dyDescent="0.2">
      <c r="A157" s="186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78"/>
      <c r="S157" s="178">
        <f t="shared" si="4"/>
        <v>0</v>
      </c>
      <c r="T157" s="179"/>
      <c r="U157" s="185">
        <v>45772</v>
      </c>
      <c r="V157" s="182"/>
      <c r="W157" s="182"/>
      <c r="X157" s="182"/>
      <c r="Y157" s="182">
        <v>5</v>
      </c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78">
        <v>514</v>
      </c>
      <c r="AM157" s="178">
        <f t="shared" si="5"/>
        <v>2570</v>
      </c>
    </row>
    <row r="158" spans="1:39" x14ac:dyDescent="0.2">
      <c r="A158" s="186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78"/>
      <c r="S158" s="178">
        <f t="shared" si="4"/>
        <v>0</v>
      </c>
      <c r="T158" s="179"/>
      <c r="U158" s="185">
        <v>45775</v>
      </c>
      <c r="V158" s="182"/>
      <c r="W158" s="182"/>
      <c r="X158" s="182">
        <v>20</v>
      </c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78">
        <v>427</v>
      </c>
      <c r="AM158" s="178">
        <f t="shared" si="5"/>
        <v>8540</v>
      </c>
    </row>
    <row r="159" spans="1:39" x14ac:dyDescent="0.2">
      <c r="A159" s="186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78"/>
      <c r="S159" s="178">
        <f t="shared" si="4"/>
        <v>0</v>
      </c>
      <c r="T159" s="179"/>
      <c r="U159" s="185"/>
      <c r="V159" s="182"/>
      <c r="W159" s="182"/>
      <c r="X159" s="182"/>
      <c r="Y159" s="182">
        <v>65</v>
      </c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78">
        <v>514</v>
      </c>
      <c r="AM159" s="178">
        <f t="shared" si="5"/>
        <v>33410</v>
      </c>
    </row>
    <row r="160" spans="1:39" x14ac:dyDescent="0.2">
      <c r="A160" s="186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78"/>
      <c r="S160" s="178">
        <f t="shared" si="4"/>
        <v>0</v>
      </c>
      <c r="T160" s="179"/>
      <c r="U160" s="185">
        <v>45776</v>
      </c>
      <c r="V160" s="182"/>
      <c r="W160" s="182"/>
      <c r="X160" s="182"/>
      <c r="Y160" s="182">
        <v>25</v>
      </c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78">
        <v>514</v>
      </c>
      <c r="AM160" s="178">
        <f t="shared" si="5"/>
        <v>12850</v>
      </c>
    </row>
    <row r="161" spans="1:39" x14ac:dyDescent="0.2">
      <c r="A161" s="186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78"/>
      <c r="S161" s="178">
        <f t="shared" si="4"/>
        <v>0</v>
      </c>
      <c r="T161" s="179"/>
      <c r="U161" s="185">
        <v>45777</v>
      </c>
      <c r="V161" s="182"/>
      <c r="W161" s="182"/>
      <c r="X161" s="182">
        <v>5</v>
      </c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78">
        <v>427</v>
      </c>
      <c r="AM161" s="178">
        <f t="shared" si="5"/>
        <v>2135</v>
      </c>
    </row>
    <row r="162" spans="1:39" ht="13.5" thickBot="1" x14ac:dyDescent="0.25">
      <c r="A162" s="350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315"/>
      <c r="S162" s="315">
        <f t="shared" si="4"/>
        <v>0</v>
      </c>
      <c r="T162" s="179"/>
      <c r="U162" s="349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>
        <v>25</v>
      </c>
      <c r="AF162" s="294"/>
      <c r="AG162" s="294"/>
      <c r="AH162" s="294"/>
      <c r="AI162" s="294"/>
      <c r="AJ162" s="294"/>
      <c r="AK162" s="294"/>
      <c r="AL162" s="315">
        <v>629.27</v>
      </c>
      <c r="AM162" s="315">
        <f t="shared" si="5"/>
        <v>15731.75</v>
      </c>
    </row>
    <row r="163" spans="1:39" x14ac:dyDescent="0.2">
      <c r="A163" s="351" t="s">
        <v>163</v>
      </c>
      <c r="B163" s="286"/>
      <c r="C163" s="286">
        <v>100</v>
      </c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7">
        <v>427</v>
      </c>
      <c r="S163" s="287">
        <f t="shared" si="4"/>
        <v>42700</v>
      </c>
      <c r="T163" s="179"/>
      <c r="U163" s="335" t="s">
        <v>156</v>
      </c>
      <c r="V163" s="286"/>
      <c r="W163" s="286"/>
      <c r="X163" s="286">
        <v>55</v>
      </c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7">
        <v>427</v>
      </c>
      <c r="AM163" s="287">
        <f t="shared" si="5"/>
        <v>23485</v>
      </c>
    </row>
    <row r="164" spans="1:39" x14ac:dyDescent="0.2">
      <c r="A164" s="186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>
        <v>50</v>
      </c>
      <c r="O164" s="182"/>
      <c r="P164" s="182"/>
      <c r="Q164" s="182"/>
      <c r="R164" s="178">
        <v>522.19000000000005</v>
      </c>
      <c r="S164" s="178">
        <f t="shared" si="4"/>
        <v>26109.500000000004</v>
      </c>
      <c r="T164" s="179"/>
      <c r="U164" s="185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>
        <v>25</v>
      </c>
      <c r="AI164" s="182"/>
      <c r="AJ164" s="182"/>
      <c r="AK164" s="182"/>
      <c r="AL164" s="178">
        <v>688.59</v>
      </c>
      <c r="AM164" s="178">
        <f t="shared" si="5"/>
        <v>17214.75</v>
      </c>
    </row>
    <row r="165" spans="1:39" x14ac:dyDescent="0.2">
      <c r="A165" s="186"/>
      <c r="B165" s="182"/>
      <c r="C165" s="182"/>
      <c r="D165" s="182"/>
      <c r="E165" s="182">
        <v>50</v>
      </c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78">
        <v>514</v>
      </c>
      <c r="S165" s="178">
        <f t="shared" si="4"/>
        <v>25700</v>
      </c>
      <c r="T165" s="179"/>
      <c r="U165" s="185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>
        <v>15</v>
      </c>
      <c r="AF165" s="182"/>
      <c r="AG165" s="182"/>
      <c r="AH165" s="182"/>
      <c r="AI165" s="182"/>
      <c r="AJ165" s="182"/>
      <c r="AK165" s="182"/>
      <c r="AL165" s="178">
        <v>629.27</v>
      </c>
      <c r="AM165" s="178">
        <f t="shared" si="5"/>
        <v>9439.0499999999993</v>
      </c>
    </row>
    <row r="166" spans="1:39" x14ac:dyDescent="0.2">
      <c r="A166" s="186"/>
      <c r="B166" s="182"/>
      <c r="C166" s="182"/>
      <c r="D166" s="182"/>
      <c r="E166" s="182"/>
      <c r="F166" s="182"/>
      <c r="G166" s="182"/>
      <c r="H166" s="182"/>
      <c r="I166" s="182"/>
      <c r="J166" s="182">
        <v>200</v>
      </c>
      <c r="K166" s="182"/>
      <c r="L166" s="182"/>
      <c r="M166" s="182"/>
      <c r="N166" s="182"/>
      <c r="O166" s="182"/>
      <c r="P166" s="182"/>
      <c r="Q166" s="182"/>
      <c r="R166" s="178">
        <v>629.27</v>
      </c>
      <c r="S166" s="178">
        <f t="shared" si="4"/>
        <v>125854</v>
      </c>
      <c r="T166" s="179"/>
      <c r="U166" s="185" t="s">
        <v>159</v>
      </c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>
        <v>25</v>
      </c>
      <c r="AF166" s="182"/>
      <c r="AG166" s="182"/>
      <c r="AH166" s="182"/>
      <c r="AI166" s="182"/>
      <c r="AJ166" s="182"/>
      <c r="AK166" s="182"/>
      <c r="AL166" s="178">
        <v>629.27</v>
      </c>
      <c r="AM166" s="178">
        <f t="shared" si="5"/>
        <v>15731.75</v>
      </c>
    </row>
    <row r="167" spans="1:39" x14ac:dyDescent="0.2">
      <c r="A167" s="186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>
        <v>2</v>
      </c>
      <c r="R167" s="178">
        <v>1780.53</v>
      </c>
      <c r="S167" s="178">
        <f t="shared" si="4"/>
        <v>3561.06</v>
      </c>
      <c r="T167" s="179"/>
      <c r="U167" s="185" t="s">
        <v>160</v>
      </c>
      <c r="V167" s="182"/>
      <c r="W167" s="182"/>
      <c r="X167" s="182"/>
      <c r="Y167" s="182"/>
      <c r="Z167" s="182"/>
      <c r="AA167" s="182"/>
      <c r="AB167" s="182"/>
      <c r="AC167" s="182"/>
      <c r="AD167" s="182">
        <v>25</v>
      </c>
      <c r="AE167" s="182"/>
      <c r="AF167" s="182"/>
      <c r="AG167" s="182"/>
      <c r="AH167" s="182"/>
      <c r="AI167" s="182"/>
      <c r="AJ167" s="182"/>
      <c r="AK167" s="182"/>
      <c r="AL167" s="178">
        <v>398</v>
      </c>
      <c r="AM167" s="178">
        <f t="shared" si="5"/>
        <v>9950</v>
      </c>
    </row>
    <row r="168" spans="1:39" x14ac:dyDescent="0.2">
      <c r="A168" s="186"/>
      <c r="B168" s="182"/>
      <c r="C168" s="182"/>
      <c r="D168" s="182"/>
      <c r="E168" s="182"/>
      <c r="F168" s="182"/>
      <c r="G168" s="182"/>
      <c r="H168" s="182">
        <v>50</v>
      </c>
      <c r="I168" s="182"/>
      <c r="J168" s="182"/>
      <c r="K168" s="182"/>
      <c r="L168" s="182"/>
      <c r="M168" s="182"/>
      <c r="N168" s="182"/>
      <c r="O168" s="182"/>
      <c r="P168" s="182"/>
      <c r="Q168" s="182"/>
      <c r="R168" s="178">
        <v>557</v>
      </c>
      <c r="S168" s="178">
        <f t="shared" si="4"/>
        <v>27850</v>
      </c>
      <c r="T168" s="179"/>
      <c r="U168" s="185" t="s">
        <v>162</v>
      </c>
      <c r="V168" s="182"/>
      <c r="W168" s="182"/>
      <c r="X168" s="182">
        <v>10</v>
      </c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78">
        <v>427</v>
      </c>
      <c r="AM168" s="178">
        <f t="shared" si="5"/>
        <v>4270</v>
      </c>
    </row>
    <row r="169" spans="1:39" x14ac:dyDescent="0.2">
      <c r="A169" s="186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>
        <v>50</v>
      </c>
      <c r="M169" s="182"/>
      <c r="N169" s="182"/>
      <c r="O169" s="182"/>
      <c r="P169" s="182"/>
      <c r="Q169" s="182"/>
      <c r="R169" s="178">
        <v>524</v>
      </c>
      <c r="S169" s="178">
        <f t="shared" si="4"/>
        <v>26200</v>
      </c>
      <c r="T169" s="179"/>
      <c r="U169" s="185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>
        <v>20</v>
      </c>
      <c r="AI169" s="182"/>
      <c r="AJ169" s="182"/>
      <c r="AK169" s="182"/>
      <c r="AL169" s="178">
        <v>688.59</v>
      </c>
      <c r="AM169" s="178">
        <f t="shared" si="5"/>
        <v>13771.800000000001</v>
      </c>
    </row>
    <row r="170" spans="1:39" x14ac:dyDescent="0.2">
      <c r="A170" s="186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78"/>
      <c r="S170" s="178">
        <f t="shared" si="4"/>
        <v>0</v>
      </c>
      <c r="T170" s="179"/>
      <c r="U170" s="185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>
        <v>15</v>
      </c>
      <c r="AF170" s="182"/>
      <c r="AG170" s="182"/>
      <c r="AH170" s="182"/>
      <c r="AI170" s="182"/>
      <c r="AJ170" s="182"/>
      <c r="AK170" s="182"/>
      <c r="AL170" s="178">
        <v>629.27</v>
      </c>
      <c r="AM170" s="178">
        <f t="shared" si="5"/>
        <v>9439.0499999999993</v>
      </c>
    </row>
    <row r="171" spans="1:39" x14ac:dyDescent="0.2">
      <c r="A171" s="186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78"/>
      <c r="S171" s="178">
        <f t="shared" si="4"/>
        <v>0</v>
      </c>
      <c r="T171" s="179"/>
      <c r="U171" s="185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>
        <v>35</v>
      </c>
      <c r="AG171" s="182"/>
      <c r="AH171" s="182"/>
      <c r="AI171" s="182"/>
      <c r="AJ171" s="182"/>
      <c r="AK171" s="182"/>
      <c r="AL171" s="178">
        <v>524</v>
      </c>
      <c r="AM171" s="178">
        <f t="shared" si="5"/>
        <v>18340</v>
      </c>
    </row>
    <row r="172" spans="1:39" x14ac:dyDescent="0.2">
      <c r="A172" s="186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78"/>
      <c r="S172" s="178">
        <f t="shared" si="4"/>
        <v>0</v>
      </c>
      <c r="T172" s="179"/>
      <c r="U172" s="185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>
        <v>10</v>
      </c>
      <c r="AK172" s="182"/>
      <c r="AL172" s="178">
        <v>532.12</v>
      </c>
      <c r="AM172" s="178">
        <f t="shared" si="5"/>
        <v>5321.2</v>
      </c>
    </row>
    <row r="173" spans="1:39" x14ac:dyDescent="0.2">
      <c r="A173" s="186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78"/>
      <c r="S173" s="178">
        <f t="shared" si="4"/>
        <v>0</v>
      </c>
      <c r="T173" s="179"/>
      <c r="U173" s="185" t="s">
        <v>163</v>
      </c>
      <c r="V173" s="182"/>
      <c r="W173" s="182"/>
      <c r="X173" s="182"/>
      <c r="Y173" s="182"/>
      <c r="Z173" s="182"/>
      <c r="AA173" s="182"/>
      <c r="AB173" s="182"/>
      <c r="AC173" s="182"/>
      <c r="AD173" s="182">
        <v>20</v>
      </c>
      <c r="AE173" s="182"/>
      <c r="AF173" s="182"/>
      <c r="AG173" s="182"/>
      <c r="AH173" s="182"/>
      <c r="AI173" s="182"/>
      <c r="AJ173" s="182"/>
      <c r="AK173" s="182"/>
      <c r="AL173" s="178">
        <v>398</v>
      </c>
      <c r="AM173" s="178">
        <f t="shared" si="5"/>
        <v>7960</v>
      </c>
    </row>
    <row r="174" spans="1:39" x14ac:dyDescent="0.2">
      <c r="A174" s="186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78"/>
      <c r="S174" s="178">
        <f t="shared" si="4"/>
        <v>0</v>
      </c>
      <c r="T174" s="179"/>
      <c r="U174" s="185"/>
      <c r="V174" s="182"/>
      <c r="W174" s="182"/>
      <c r="X174" s="182"/>
      <c r="Y174" s="182"/>
      <c r="Z174" s="182">
        <v>10</v>
      </c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78">
        <v>532.12</v>
      </c>
      <c r="AM174" s="178">
        <f t="shared" si="5"/>
        <v>5321.2</v>
      </c>
    </row>
    <row r="175" spans="1:39" x14ac:dyDescent="0.2">
      <c r="A175" s="186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78"/>
      <c r="S175" s="178">
        <f t="shared" si="4"/>
        <v>0</v>
      </c>
      <c r="T175" s="179"/>
      <c r="U175" s="185" t="s">
        <v>166</v>
      </c>
      <c r="V175" s="182"/>
      <c r="W175" s="182"/>
      <c r="X175" s="182"/>
      <c r="Y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>
        <v>1</v>
      </c>
      <c r="AL175" s="178">
        <v>1891.98</v>
      </c>
      <c r="AM175" s="178">
        <f t="shared" si="5"/>
        <v>1891.98</v>
      </c>
    </row>
    <row r="176" spans="1:39" x14ac:dyDescent="0.2">
      <c r="A176" s="186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78"/>
      <c r="S176" s="178">
        <f t="shared" si="4"/>
        <v>0</v>
      </c>
      <c r="T176" s="179"/>
      <c r="U176" s="177"/>
      <c r="V176" s="182">
        <v>20</v>
      </c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78">
        <v>629.27</v>
      </c>
      <c r="AM176" s="178">
        <f t="shared" si="5"/>
        <v>12585.4</v>
      </c>
    </row>
    <row r="177" spans="1:40" x14ac:dyDescent="0.2">
      <c r="A177" s="186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78"/>
      <c r="S177" s="178">
        <f t="shared" si="4"/>
        <v>0</v>
      </c>
      <c r="T177" s="179"/>
      <c r="U177" s="177" t="s">
        <v>168</v>
      </c>
      <c r="V177" s="182"/>
      <c r="W177" s="182">
        <v>25</v>
      </c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78">
        <v>427</v>
      </c>
      <c r="AM177" s="178">
        <f t="shared" si="5"/>
        <v>10675</v>
      </c>
    </row>
    <row r="178" spans="1:40" x14ac:dyDescent="0.2">
      <c r="A178" s="186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78"/>
      <c r="S178" s="178"/>
      <c r="T178" s="179"/>
      <c r="U178" s="177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>
        <v>25</v>
      </c>
      <c r="AH178" s="182"/>
      <c r="AI178" s="182"/>
      <c r="AJ178" s="182"/>
      <c r="AK178" s="182"/>
      <c r="AL178" s="178">
        <v>689.75</v>
      </c>
      <c r="AM178" s="178">
        <f t="shared" si="5"/>
        <v>17243.75</v>
      </c>
    </row>
    <row r="179" spans="1:40" x14ac:dyDescent="0.2">
      <c r="A179" s="186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78"/>
      <c r="S179" s="178"/>
      <c r="T179" s="179"/>
      <c r="U179" s="177" t="s">
        <v>169</v>
      </c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>
        <v>10</v>
      </c>
      <c r="AH179" s="182"/>
      <c r="AI179" s="182"/>
      <c r="AJ179" s="182"/>
      <c r="AK179" s="182"/>
      <c r="AL179" s="178">
        <v>689.75</v>
      </c>
      <c r="AM179" s="178">
        <f t="shared" si="5"/>
        <v>6897.5</v>
      </c>
    </row>
    <row r="180" spans="1:40" x14ac:dyDescent="0.2">
      <c r="A180" s="186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78"/>
      <c r="S180" s="178"/>
      <c r="T180" s="179"/>
      <c r="U180" s="177" t="s">
        <v>174</v>
      </c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>
        <v>15</v>
      </c>
      <c r="AF180" s="182"/>
      <c r="AG180" s="182"/>
      <c r="AH180" s="182"/>
      <c r="AI180" s="182"/>
      <c r="AJ180" s="182"/>
      <c r="AK180" s="182"/>
      <c r="AL180" s="178">
        <v>629.27</v>
      </c>
      <c r="AM180" s="178">
        <f t="shared" si="5"/>
        <v>9439.0499999999993</v>
      </c>
    </row>
    <row r="181" spans="1:40" x14ac:dyDescent="0.2">
      <c r="A181" s="186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78"/>
      <c r="S181" s="178"/>
      <c r="T181" s="179"/>
      <c r="U181" s="177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78"/>
      <c r="AM181" s="178"/>
    </row>
    <row r="182" spans="1:40" x14ac:dyDescent="0.2">
      <c r="A182" s="186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78"/>
      <c r="S182" s="178"/>
      <c r="T182" s="179"/>
      <c r="U182" s="177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78"/>
      <c r="AM182" s="178"/>
    </row>
    <row r="183" spans="1:40" x14ac:dyDescent="0.2">
      <c r="A183" s="186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78"/>
      <c r="S183" s="178"/>
      <c r="T183" s="179"/>
      <c r="U183" s="177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78"/>
      <c r="AM183" s="178"/>
    </row>
    <row r="184" spans="1:40" x14ac:dyDescent="0.2">
      <c r="A184" s="186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78"/>
      <c r="S184" s="178">
        <f t="shared" si="4"/>
        <v>0</v>
      </c>
      <c r="T184" s="179"/>
      <c r="U184" s="177"/>
      <c r="V184" s="177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78"/>
      <c r="AN184" s="178">
        <f t="shared" ref="AN184" si="7">W184*AM184+X184*AM184+Y184*AM184+Z184*AM184+AA184*AM184+AD184*AM184+AB184*AM184+AC184*AM184+AE184*AM184+AF184*AM184+AG184*AM184+AH184*AM184+AI184*AM184+AJ184*AM184+AK184*AM184+AL184*AM184</f>
        <v>0</v>
      </c>
    </row>
    <row r="185" spans="1:40" x14ac:dyDescent="0.2">
      <c r="A185" s="186"/>
      <c r="B185" s="182">
        <f>SUM(B3:B184)</f>
        <v>75</v>
      </c>
      <c r="C185" s="182">
        <f>SUM(C3:C184)</f>
        <v>125</v>
      </c>
      <c r="D185" s="182">
        <f>SUM(D3:D184)</f>
        <v>755</v>
      </c>
      <c r="E185" s="182">
        <f t="shared" ref="E185:R185" si="8">SUM(E3:E184)</f>
        <v>365</v>
      </c>
      <c r="F185" s="182">
        <f t="shared" si="8"/>
        <v>25</v>
      </c>
      <c r="G185" s="182">
        <f t="shared" si="8"/>
        <v>30</v>
      </c>
      <c r="H185" s="182">
        <f t="shared" si="8"/>
        <v>100</v>
      </c>
      <c r="I185" s="182">
        <f t="shared" si="8"/>
        <v>295</v>
      </c>
      <c r="J185" s="182">
        <f t="shared" si="8"/>
        <v>325</v>
      </c>
      <c r="K185" s="182">
        <f t="shared" si="8"/>
        <v>600</v>
      </c>
      <c r="L185" s="182">
        <f t="shared" si="8"/>
        <v>115</v>
      </c>
      <c r="M185" s="182">
        <f t="shared" si="8"/>
        <v>75</v>
      </c>
      <c r="N185" s="182">
        <f t="shared" si="8"/>
        <v>55</v>
      </c>
      <c r="O185" s="182">
        <f t="shared" si="8"/>
        <v>45</v>
      </c>
      <c r="P185" s="182">
        <f t="shared" si="8"/>
        <v>175</v>
      </c>
      <c r="Q185" s="182">
        <f t="shared" si="8"/>
        <v>2</v>
      </c>
      <c r="R185" s="182">
        <f t="shared" si="8"/>
        <v>27326.579999999998</v>
      </c>
      <c r="S185" s="178">
        <f>SUM(S3:S184)</f>
        <v>1655921.06</v>
      </c>
      <c r="T185" s="179"/>
      <c r="U185" s="177"/>
      <c r="V185" s="182">
        <f>SUM(V3:V184)</f>
        <v>95</v>
      </c>
      <c r="W185" s="182">
        <f t="shared" ref="W185:AK185" si="9">SUM(W3:W184)</f>
        <v>50</v>
      </c>
      <c r="X185" s="182">
        <f t="shared" si="9"/>
        <v>625</v>
      </c>
      <c r="Y185" s="182">
        <f t="shared" si="9"/>
        <v>260</v>
      </c>
      <c r="Z185" s="182">
        <f t="shared" si="9"/>
        <v>35</v>
      </c>
      <c r="AA185" s="182">
        <f t="shared" si="9"/>
        <v>20</v>
      </c>
      <c r="AB185" s="182">
        <f t="shared" si="9"/>
        <v>35</v>
      </c>
      <c r="AC185" s="182">
        <f t="shared" si="9"/>
        <v>295</v>
      </c>
      <c r="AD185" s="182">
        <f t="shared" si="9"/>
        <v>170</v>
      </c>
      <c r="AE185" s="182">
        <f t="shared" si="9"/>
        <v>380</v>
      </c>
      <c r="AF185" s="182">
        <f t="shared" si="9"/>
        <v>45</v>
      </c>
      <c r="AG185" s="182">
        <f t="shared" si="9"/>
        <v>60</v>
      </c>
      <c r="AH185" s="182">
        <f t="shared" si="9"/>
        <v>45</v>
      </c>
      <c r="AI185" s="182">
        <f t="shared" si="9"/>
        <v>0</v>
      </c>
      <c r="AJ185" s="182">
        <f t="shared" si="9"/>
        <v>90</v>
      </c>
      <c r="AK185" s="182">
        <f t="shared" si="9"/>
        <v>1</v>
      </c>
      <c r="AL185" s="178"/>
      <c r="AM185" s="17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42"/>
  <sheetViews>
    <sheetView workbookViewId="0">
      <pane ySplit="1" topLeftCell="A11" activePane="bottomLeft" state="frozen"/>
      <selection pane="bottomLeft" activeCell="V32" sqref="V32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2.85546875" style="26" customWidth="1"/>
    <col min="5" max="5" width="9.5703125" style="26" customWidth="1"/>
    <col min="6" max="6" width="9.140625" style="26" customWidth="1"/>
    <col min="7" max="7" width="11.28515625" style="26" customWidth="1"/>
    <col min="8" max="8" width="10.28515625" style="26" customWidth="1"/>
    <col min="9" max="9" width="12.42578125" style="26" customWidth="1"/>
    <col min="10" max="10" width="10.5703125" style="29" customWidth="1"/>
    <col min="11" max="11" width="14.42578125" style="29" bestFit="1" customWidth="1"/>
    <col min="12" max="12" width="4.140625" style="29" customWidth="1"/>
    <col min="13" max="13" width="10.42578125" style="26" customWidth="1"/>
    <col min="14" max="14" width="10.28515625" style="26" customWidth="1"/>
    <col min="15" max="15" width="10.42578125" style="26" customWidth="1"/>
    <col min="16" max="16" width="11.7109375" style="26" customWidth="1"/>
    <col min="17" max="18" width="9.7109375" style="26" customWidth="1"/>
    <col min="19" max="19" width="10.42578125" style="26" customWidth="1"/>
    <col min="20" max="20" width="10.5703125" style="26" customWidth="1"/>
    <col min="21" max="21" width="9.42578125" style="26" customWidth="1"/>
    <col min="22" max="22" width="10.5703125" style="29" customWidth="1"/>
    <col min="23" max="23" width="14.42578125" style="29" bestFit="1" customWidth="1"/>
    <col min="24" max="24" width="8.85546875" style="26"/>
    <col min="25" max="25" width="11.28515625" style="26" customWidth="1"/>
    <col min="26" max="26" width="11.42578125" style="26" customWidth="1"/>
    <col min="27" max="27" width="11.7109375" style="26" customWidth="1"/>
    <col min="28" max="28" width="10.7109375" style="26" customWidth="1"/>
    <col min="29" max="29" width="11.28515625" style="26" customWidth="1"/>
    <col min="30" max="30" width="12.85546875" style="26" customWidth="1"/>
    <col min="31" max="31" width="11.42578125" style="26" customWidth="1"/>
    <col min="32" max="32" width="10.5703125" style="26" customWidth="1"/>
    <col min="33" max="16384" width="8.85546875" style="26"/>
  </cols>
  <sheetData>
    <row r="1" spans="1:33" s="175" customFormat="1" ht="61.15" customHeight="1" x14ac:dyDescent="0.25">
      <c r="A1" s="173" t="s">
        <v>17</v>
      </c>
      <c r="B1" s="171" t="s">
        <v>123</v>
      </c>
      <c r="C1" s="171" t="s">
        <v>124</v>
      </c>
      <c r="D1" s="171" t="s">
        <v>125</v>
      </c>
      <c r="E1" s="171" t="s">
        <v>126</v>
      </c>
      <c r="F1" s="171" t="s">
        <v>133</v>
      </c>
      <c r="G1" s="171" t="s">
        <v>137</v>
      </c>
      <c r="H1" s="171" t="s">
        <v>138</v>
      </c>
      <c r="I1" s="171" t="s">
        <v>151</v>
      </c>
      <c r="J1" s="172" t="s">
        <v>18</v>
      </c>
      <c r="K1" s="172" t="s">
        <v>19</v>
      </c>
      <c r="L1" s="172"/>
      <c r="M1" s="173" t="s">
        <v>22</v>
      </c>
      <c r="N1" s="171" t="s">
        <v>123</v>
      </c>
      <c r="O1" s="171" t="s">
        <v>124</v>
      </c>
      <c r="P1" s="171" t="s">
        <v>125</v>
      </c>
      <c r="Q1" s="171" t="s">
        <v>126</v>
      </c>
      <c r="R1" s="171" t="s">
        <v>133</v>
      </c>
      <c r="S1" s="171" t="s">
        <v>137</v>
      </c>
      <c r="T1" s="171" t="s">
        <v>138</v>
      </c>
      <c r="U1" s="171" t="s">
        <v>151</v>
      </c>
      <c r="V1" s="172" t="s">
        <v>18</v>
      </c>
      <c r="W1" s="172" t="s">
        <v>19</v>
      </c>
      <c r="X1" s="174"/>
      <c r="Y1" s="171" t="s">
        <v>123</v>
      </c>
      <c r="Z1" s="171" t="s">
        <v>124</v>
      </c>
      <c r="AA1" s="171" t="s">
        <v>125</v>
      </c>
      <c r="AB1" s="171" t="s">
        <v>126</v>
      </c>
      <c r="AC1" s="171" t="s">
        <v>133</v>
      </c>
      <c r="AD1" s="171" t="s">
        <v>137</v>
      </c>
      <c r="AE1" s="171" t="s">
        <v>138</v>
      </c>
      <c r="AF1" s="171" t="s">
        <v>151</v>
      </c>
    </row>
    <row r="2" spans="1:33" x14ac:dyDescent="0.25">
      <c r="A2" s="217"/>
      <c r="B2" s="24"/>
      <c r="C2" s="24"/>
      <c r="D2" s="24"/>
      <c r="E2" s="24"/>
      <c r="F2" s="24"/>
      <c r="G2" s="24"/>
      <c r="H2" s="24"/>
      <c r="I2" s="24"/>
      <c r="J2" s="25"/>
      <c r="K2" s="25"/>
      <c r="L2" s="30"/>
      <c r="M2" s="23"/>
      <c r="N2" s="24"/>
      <c r="O2" s="24"/>
      <c r="P2" s="24"/>
      <c r="Q2" s="24"/>
      <c r="R2" s="24"/>
      <c r="S2" s="24"/>
      <c r="T2" s="24"/>
      <c r="U2" s="24"/>
      <c r="V2" s="25"/>
      <c r="W2" s="25"/>
      <c r="Y2" s="27">
        <f t="shared" ref="Y2:AF2" si="0">0+B42-N42</f>
        <v>0</v>
      </c>
      <c r="Z2" s="27">
        <f t="shared" si="0"/>
        <v>3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50</v>
      </c>
      <c r="AF2" s="27">
        <f t="shared" si="0"/>
        <v>3</v>
      </c>
      <c r="AG2" s="31"/>
    </row>
    <row r="3" spans="1:33" x14ac:dyDescent="0.25">
      <c r="A3" s="28">
        <v>45707</v>
      </c>
      <c r="B3" s="27">
        <v>1</v>
      </c>
      <c r="C3" s="27"/>
      <c r="D3" s="27"/>
      <c r="E3" s="27"/>
      <c r="F3" s="27"/>
      <c r="G3" s="27"/>
      <c r="H3" s="27"/>
      <c r="I3" s="27"/>
      <c r="J3" s="112">
        <v>2233.9899999999998</v>
      </c>
      <c r="K3" s="25">
        <f>B3*J3+C3*J3+D3*J3+E3*J3+F3*J3+I3*J3+G3*J3+H3*J3</f>
        <v>2233.9899999999998</v>
      </c>
      <c r="L3" s="30"/>
      <c r="M3" s="28">
        <v>45707</v>
      </c>
      <c r="N3" s="27"/>
      <c r="O3" s="27"/>
      <c r="P3" s="27"/>
      <c r="Q3" s="27"/>
      <c r="R3" s="27"/>
      <c r="S3" s="27"/>
      <c r="T3" s="27"/>
      <c r="U3" s="27"/>
      <c r="V3" s="112">
        <v>2233.9899999999998</v>
      </c>
      <c r="W3" s="25">
        <f>N3*V3+O3*V3+P3*V3+Q3*V3+R3*V3+U3*V3+S3*V3+T3*V3</f>
        <v>0</v>
      </c>
      <c r="Y3" s="112">
        <v>2233.9899999999998</v>
      </c>
      <c r="Z3" s="25">
        <v>1891.98</v>
      </c>
      <c r="AA3" s="25">
        <v>1780.53</v>
      </c>
      <c r="AB3" s="25">
        <v>2549.0300000000002</v>
      </c>
      <c r="AC3" s="25">
        <v>129</v>
      </c>
      <c r="AD3" s="25">
        <v>168.11</v>
      </c>
      <c r="AE3" s="25">
        <v>194.15</v>
      </c>
      <c r="AF3" s="25">
        <v>1924.17</v>
      </c>
    </row>
    <row r="4" spans="1:33" x14ac:dyDescent="0.25">
      <c r="A4" s="28"/>
      <c r="B4" s="27"/>
      <c r="C4" s="27">
        <v>1</v>
      </c>
      <c r="D4" s="27"/>
      <c r="E4" s="27"/>
      <c r="F4" s="27"/>
      <c r="G4" s="27"/>
      <c r="H4" s="27"/>
      <c r="I4" s="27"/>
      <c r="J4" s="25">
        <v>2177.9499999999998</v>
      </c>
      <c r="K4" s="25">
        <f t="shared" ref="K4:K41" si="1">B4*J4+C4*J4+D4*J4+E4*J4+F4*J4+I4*J4+G4*J4+H4*J4</f>
        <v>2177.9499999999998</v>
      </c>
      <c r="L4" s="30"/>
      <c r="M4" s="28"/>
      <c r="N4" s="27"/>
      <c r="O4" s="27">
        <v>1</v>
      </c>
      <c r="P4" s="27"/>
      <c r="Q4" s="27"/>
      <c r="R4" s="27"/>
      <c r="S4" s="27"/>
      <c r="T4" s="27"/>
      <c r="U4" s="27"/>
      <c r="V4" s="25">
        <v>2177.9499999999998</v>
      </c>
      <c r="W4" s="25">
        <f t="shared" ref="W4:W22" si="2">N4*V4+O4*V4+P4*V4+Q4*V4+R4*V4+U4*V4</f>
        <v>2177.9499999999998</v>
      </c>
      <c r="Y4" s="25">
        <f>Y2*Y3</f>
        <v>0</v>
      </c>
      <c r="Z4" s="25">
        <f t="shared" ref="Z4:AF4" si="3">Z2*Z3</f>
        <v>5675.9400000000005</v>
      </c>
      <c r="AA4" s="25">
        <f t="shared" si="3"/>
        <v>0</v>
      </c>
      <c r="AB4" s="25">
        <f t="shared" si="3"/>
        <v>0</v>
      </c>
      <c r="AC4" s="25">
        <f t="shared" si="3"/>
        <v>0</v>
      </c>
      <c r="AD4" s="25">
        <f t="shared" si="3"/>
        <v>0</v>
      </c>
      <c r="AE4" s="25">
        <f t="shared" si="3"/>
        <v>9707.5</v>
      </c>
      <c r="AF4" s="25">
        <f t="shared" si="3"/>
        <v>5772.51</v>
      </c>
    </row>
    <row r="5" spans="1:33" x14ac:dyDescent="0.25">
      <c r="A5" s="24"/>
      <c r="B5" s="27"/>
      <c r="C5" s="27"/>
      <c r="D5" s="27">
        <v>1</v>
      </c>
      <c r="E5" s="27"/>
      <c r="F5" s="27"/>
      <c r="G5" s="27"/>
      <c r="H5" s="27"/>
      <c r="I5" s="27"/>
      <c r="J5" s="25">
        <v>1997.57</v>
      </c>
      <c r="K5" s="25">
        <f t="shared" si="1"/>
        <v>1997.57</v>
      </c>
      <c r="L5" s="30"/>
      <c r="M5" s="24"/>
      <c r="N5" s="27"/>
      <c r="O5" s="27"/>
      <c r="P5" s="27"/>
      <c r="Q5" s="27"/>
      <c r="R5" s="27"/>
      <c r="S5" s="27"/>
      <c r="T5" s="27"/>
      <c r="U5" s="27"/>
      <c r="V5" s="25"/>
      <c r="W5" s="25">
        <f t="shared" si="2"/>
        <v>0</v>
      </c>
    </row>
    <row r="6" spans="1:33" x14ac:dyDescent="0.25">
      <c r="A6" s="28">
        <v>45709</v>
      </c>
      <c r="B6" s="27"/>
      <c r="C6" s="27"/>
      <c r="D6" s="27"/>
      <c r="E6" s="27">
        <v>1</v>
      </c>
      <c r="F6" s="27"/>
      <c r="G6" s="27"/>
      <c r="H6" s="27"/>
      <c r="I6" s="27"/>
      <c r="J6" s="25">
        <v>2549.0300000000002</v>
      </c>
      <c r="K6" s="25">
        <f t="shared" si="1"/>
        <v>2549.0300000000002</v>
      </c>
      <c r="L6" s="30"/>
      <c r="M6" s="28"/>
      <c r="N6" s="27"/>
      <c r="O6" s="27"/>
      <c r="P6" s="27"/>
      <c r="Q6" s="27"/>
      <c r="R6" s="27"/>
      <c r="S6" s="27"/>
      <c r="T6" s="27"/>
      <c r="U6" s="27"/>
      <c r="V6" s="112"/>
      <c r="W6" s="25">
        <f t="shared" si="2"/>
        <v>0</v>
      </c>
    </row>
    <row r="7" spans="1:33" x14ac:dyDescent="0.25">
      <c r="A7" s="24"/>
      <c r="B7" s="27"/>
      <c r="C7" s="27"/>
      <c r="D7" s="27"/>
      <c r="E7" s="27"/>
      <c r="F7" s="27"/>
      <c r="G7" s="27"/>
      <c r="H7" s="27"/>
      <c r="I7" s="27"/>
      <c r="J7" s="25"/>
      <c r="K7" s="25">
        <f t="shared" si="1"/>
        <v>0</v>
      </c>
      <c r="L7" s="30"/>
      <c r="M7" s="28">
        <v>45712</v>
      </c>
      <c r="N7" s="27"/>
      <c r="O7" s="27"/>
      <c r="P7" s="27">
        <v>1</v>
      </c>
      <c r="Q7" s="27"/>
      <c r="R7" s="27"/>
      <c r="S7" s="27"/>
      <c r="T7" s="27"/>
      <c r="U7" s="27"/>
      <c r="V7" s="25">
        <v>1997.57</v>
      </c>
      <c r="W7" s="25">
        <f t="shared" si="2"/>
        <v>1997.57</v>
      </c>
    </row>
    <row r="8" spans="1:33" x14ac:dyDescent="0.25">
      <c r="A8" s="166" t="s">
        <v>135</v>
      </c>
      <c r="B8" s="167"/>
      <c r="C8" s="167"/>
      <c r="D8" s="167"/>
      <c r="E8" s="167"/>
      <c r="F8" s="167"/>
      <c r="G8" s="167"/>
      <c r="H8" s="167"/>
      <c r="I8" s="167"/>
      <c r="J8" s="168"/>
      <c r="K8" s="168">
        <f t="shared" si="1"/>
        <v>0</v>
      </c>
      <c r="L8" s="168"/>
      <c r="M8" s="169" t="s">
        <v>135</v>
      </c>
      <c r="N8" s="167"/>
      <c r="O8" s="167"/>
      <c r="P8" s="167"/>
      <c r="Q8" s="167"/>
      <c r="R8" s="167"/>
      <c r="S8" s="167"/>
      <c r="T8" s="167"/>
      <c r="U8" s="167"/>
      <c r="V8" s="227"/>
      <c r="W8" s="168">
        <f t="shared" si="2"/>
        <v>0</v>
      </c>
    </row>
    <row r="9" spans="1:33" x14ac:dyDescent="0.25">
      <c r="A9" s="28">
        <v>45720</v>
      </c>
      <c r="B9" s="27"/>
      <c r="C9" s="27"/>
      <c r="D9" s="27"/>
      <c r="E9" s="27"/>
      <c r="F9" s="27"/>
      <c r="G9" s="27"/>
      <c r="H9" s="27">
        <v>300</v>
      </c>
      <c r="I9" s="27"/>
      <c r="J9" s="25">
        <v>194.15</v>
      </c>
      <c r="K9" s="25">
        <f t="shared" si="1"/>
        <v>58245</v>
      </c>
      <c r="L9" s="30"/>
      <c r="M9" s="24"/>
      <c r="N9" s="27"/>
      <c r="O9" s="27"/>
      <c r="P9" s="27"/>
      <c r="Q9" s="27"/>
      <c r="R9" s="27"/>
      <c r="S9" s="27"/>
      <c r="T9" s="27"/>
      <c r="U9" s="27"/>
      <c r="V9" s="25"/>
      <c r="W9" s="25">
        <f t="shared" si="2"/>
        <v>0</v>
      </c>
    </row>
    <row r="10" spans="1:33" x14ac:dyDescent="0.25">
      <c r="A10" s="24"/>
      <c r="B10" s="27"/>
      <c r="C10" s="27"/>
      <c r="D10" s="27"/>
      <c r="E10" s="27"/>
      <c r="F10" s="27"/>
      <c r="G10" s="27">
        <v>5</v>
      </c>
      <c r="H10" s="27"/>
      <c r="I10" s="27"/>
      <c r="J10" s="25">
        <v>168.11</v>
      </c>
      <c r="K10" s="25">
        <f t="shared" si="1"/>
        <v>840.55000000000007</v>
      </c>
      <c r="L10" s="30"/>
      <c r="M10" s="28"/>
      <c r="N10" s="27"/>
      <c r="O10" s="27"/>
      <c r="P10" s="27"/>
      <c r="Q10" s="27"/>
      <c r="R10" s="27"/>
      <c r="S10" s="27"/>
      <c r="T10" s="27"/>
      <c r="U10" s="27"/>
      <c r="V10" s="25"/>
      <c r="W10" s="25">
        <f t="shared" si="2"/>
        <v>0</v>
      </c>
    </row>
    <row r="11" spans="1:33" ht="16.5" thickBot="1" x14ac:dyDescent="0.3">
      <c r="A11" s="28"/>
      <c r="B11" s="27"/>
      <c r="C11" s="27"/>
      <c r="D11" s="27"/>
      <c r="E11" s="27"/>
      <c r="F11" s="27">
        <v>25</v>
      </c>
      <c r="G11" s="27"/>
      <c r="H11" s="27"/>
      <c r="I11" s="27"/>
      <c r="J11" s="25">
        <v>129</v>
      </c>
      <c r="K11" s="25">
        <f t="shared" si="1"/>
        <v>3225</v>
      </c>
      <c r="L11" s="30"/>
      <c r="M11" s="157"/>
      <c r="N11" s="158"/>
      <c r="O11" s="158"/>
      <c r="P11" s="158"/>
      <c r="Q11" s="158"/>
      <c r="R11" s="158"/>
      <c r="S11" s="158"/>
      <c r="T11" s="158"/>
      <c r="U11" s="158"/>
      <c r="V11" s="159"/>
      <c r="W11" s="159">
        <f t="shared" si="2"/>
        <v>0</v>
      </c>
    </row>
    <row r="12" spans="1:33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5"/>
      <c r="K12" s="25">
        <f t="shared" si="1"/>
        <v>0</v>
      </c>
      <c r="L12" s="231"/>
      <c r="M12" s="236">
        <v>45726</v>
      </c>
      <c r="N12" s="237"/>
      <c r="O12" s="237"/>
      <c r="P12" s="237"/>
      <c r="Q12" s="237"/>
      <c r="R12" s="237">
        <v>25</v>
      </c>
      <c r="S12" s="237"/>
      <c r="T12" s="237"/>
      <c r="U12" s="237"/>
      <c r="V12" s="238">
        <v>129</v>
      </c>
      <c r="W12" s="239">
        <f t="shared" si="2"/>
        <v>3225</v>
      </c>
    </row>
    <row r="13" spans="1:33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5"/>
      <c r="K13" s="25">
        <f t="shared" si="1"/>
        <v>0</v>
      </c>
      <c r="L13" s="231"/>
      <c r="M13" s="240"/>
      <c r="N13" s="27"/>
      <c r="O13" s="27"/>
      <c r="P13" s="27"/>
      <c r="Q13" s="27"/>
      <c r="R13" s="27"/>
      <c r="S13" s="27">
        <v>5</v>
      </c>
      <c r="T13" s="27"/>
      <c r="U13" s="27"/>
      <c r="V13" s="25">
        <v>168.11</v>
      </c>
      <c r="W13" s="241">
        <f>N13*V13+O13*V13+P13*V13+Q13*V13+R13*V13+U13*V13+S13*V13+T13*V13</f>
        <v>840.55000000000007</v>
      </c>
    </row>
    <row r="14" spans="1:33" ht="16.5" thickBot="1" x14ac:dyDescent="0.3">
      <c r="A14" s="24"/>
      <c r="B14" s="27"/>
      <c r="C14" s="27"/>
      <c r="D14" s="27"/>
      <c r="E14" s="27"/>
      <c r="F14" s="27"/>
      <c r="G14" s="27"/>
      <c r="H14" s="27"/>
      <c r="I14" s="27"/>
      <c r="J14" s="25"/>
      <c r="K14" s="25">
        <f t="shared" si="1"/>
        <v>0</v>
      </c>
      <c r="L14" s="231"/>
      <c r="M14" s="242">
        <v>45727</v>
      </c>
      <c r="N14" s="124"/>
      <c r="O14" s="124"/>
      <c r="P14" s="124"/>
      <c r="Q14" s="124">
        <v>1</v>
      </c>
      <c r="R14" s="124"/>
      <c r="S14" s="124"/>
      <c r="T14" s="124"/>
      <c r="U14" s="124"/>
      <c r="V14" s="125">
        <v>2549.0300000000002</v>
      </c>
      <c r="W14" s="243">
        <f t="shared" ref="W14:W20" si="4">N14*V14+O14*V14+P14*V14+Q14*V14+R14*V14+U14*V14+S14*V14+T14*V14</f>
        <v>2549.0300000000002</v>
      </c>
    </row>
    <row r="15" spans="1:33" ht="16.5" thickBot="1" x14ac:dyDescent="0.3">
      <c r="A15" s="28"/>
      <c r="B15" s="27"/>
      <c r="C15" s="27"/>
      <c r="D15" s="27"/>
      <c r="E15" s="27"/>
      <c r="F15" s="27"/>
      <c r="G15" s="27"/>
      <c r="H15" s="27"/>
      <c r="I15" s="27"/>
      <c r="J15" s="25"/>
      <c r="K15" s="25">
        <f t="shared" si="1"/>
        <v>0</v>
      </c>
      <c r="L15" s="231"/>
      <c r="M15" s="276">
        <v>45733</v>
      </c>
      <c r="N15" s="253"/>
      <c r="O15" s="253"/>
      <c r="P15" s="253"/>
      <c r="Q15" s="253"/>
      <c r="R15" s="253"/>
      <c r="S15" s="253"/>
      <c r="T15" s="253">
        <v>50</v>
      </c>
      <c r="U15" s="253"/>
      <c r="V15" s="254">
        <v>194.15</v>
      </c>
      <c r="W15" s="255">
        <f t="shared" si="4"/>
        <v>9707.5</v>
      </c>
    </row>
    <row r="16" spans="1:33" x14ac:dyDescent="0.25">
      <c r="A16" s="214"/>
      <c r="B16" s="215"/>
      <c r="C16" s="215"/>
      <c r="D16" s="215"/>
      <c r="E16" s="215"/>
      <c r="F16" s="215"/>
      <c r="G16" s="215"/>
      <c r="H16" s="215"/>
      <c r="I16" s="215"/>
      <c r="J16" s="216"/>
      <c r="K16" s="25">
        <f t="shared" si="1"/>
        <v>0</v>
      </c>
      <c r="L16" s="231"/>
      <c r="M16" s="236">
        <v>45740</v>
      </c>
      <c r="N16" s="237"/>
      <c r="O16" s="237"/>
      <c r="P16" s="237"/>
      <c r="Q16" s="237"/>
      <c r="R16" s="237"/>
      <c r="S16" s="237"/>
      <c r="T16" s="237">
        <v>25</v>
      </c>
      <c r="U16" s="237"/>
      <c r="V16" s="238">
        <v>194.15</v>
      </c>
      <c r="W16" s="239">
        <f t="shared" si="4"/>
        <v>4853.75</v>
      </c>
    </row>
    <row r="17" spans="1:23" ht="16.5" thickBot="1" x14ac:dyDescent="0.3">
      <c r="A17" s="166" t="s">
        <v>145</v>
      </c>
      <c r="B17" s="167"/>
      <c r="C17" s="167"/>
      <c r="D17" s="167"/>
      <c r="E17" s="167"/>
      <c r="F17" s="167"/>
      <c r="G17" s="167"/>
      <c r="H17" s="167"/>
      <c r="I17" s="167"/>
      <c r="J17" s="168"/>
      <c r="K17" s="168">
        <f t="shared" si="1"/>
        <v>0</v>
      </c>
      <c r="L17" s="231"/>
      <c r="M17" s="242">
        <v>45747</v>
      </c>
      <c r="N17" s="124"/>
      <c r="O17" s="124"/>
      <c r="P17" s="124"/>
      <c r="Q17" s="124"/>
      <c r="R17" s="124"/>
      <c r="S17" s="124"/>
      <c r="T17" s="124">
        <v>25</v>
      </c>
      <c r="U17" s="124"/>
      <c r="V17" s="125">
        <v>194.15</v>
      </c>
      <c r="W17" s="243">
        <f t="shared" si="4"/>
        <v>4853.75</v>
      </c>
    </row>
    <row r="18" spans="1:23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5"/>
      <c r="K18" s="25">
        <f t="shared" si="1"/>
        <v>0</v>
      </c>
      <c r="L18" s="231"/>
      <c r="M18" s="236">
        <v>45755</v>
      </c>
      <c r="N18" s="237"/>
      <c r="O18" s="237"/>
      <c r="P18" s="237"/>
      <c r="Q18" s="237"/>
      <c r="R18" s="237"/>
      <c r="S18" s="237"/>
      <c r="T18" s="237">
        <v>25</v>
      </c>
      <c r="U18" s="237"/>
      <c r="V18" s="238">
        <v>194.15</v>
      </c>
      <c r="W18" s="239">
        <f t="shared" si="4"/>
        <v>4853.75</v>
      </c>
    </row>
    <row r="19" spans="1:23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5"/>
      <c r="K19" s="25">
        <f t="shared" si="1"/>
        <v>0</v>
      </c>
      <c r="L19" s="231"/>
      <c r="M19" s="240" t="s">
        <v>150</v>
      </c>
      <c r="N19" s="27"/>
      <c r="O19" s="27"/>
      <c r="P19" s="27"/>
      <c r="Q19" s="27"/>
      <c r="R19" s="27"/>
      <c r="S19" s="27"/>
      <c r="T19" s="27">
        <v>50</v>
      </c>
      <c r="U19" s="27"/>
      <c r="V19" s="25">
        <v>194.15</v>
      </c>
      <c r="W19" s="241">
        <f t="shared" si="4"/>
        <v>9707.5</v>
      </c>
    </row>
    <row r="20" spans="1:23" x14ac:dyDescent="0.25">
      <c r="A20" s="28">
        <v>45762</v>
      </c>
      <c r="B20" s="27"/>
      <c r="C20" s="27"/>
      <c r="D20" s="27"/>
      <c r="E20" s="27"/>
      <c r="F20" s="27"/>
      <c r="G20" s="27"/>
      <c r="H20" s="27"/>
      <c r="I20" s="27">
        <v>3</v>
      </c>
      <c r="J20" s="25">
        <v>1924.17</v>
      </c>
      <c r="K20" s="25">
        <f t="shared" si="1"/>
        <v>5772.51</v>
      </c>
      <c r="L20" s="231"/>
      <c r="M20" s="240">
        <v>45762</v>
      </c>
      <c r="N20" s="27"/>
      <c r="O20" s="27">
        <v>1</v>
      </c>
      <c r="P20" s="27"/>
      <c r="Q20" s="27"/>
      <c r="R20" s="27"/>
      <c r="S20" s="27"/>
      <c r="T20" s="27"/>
      <c r="U20" s="27"/>
      <c r="V20" s="25">
        <v>1891.98</v>
      </c>
      <c r="W20" s="241">
        <f t="shared" si="4"/>
        <v>1891.98</v>
      </c>
    </row>
    <row r="21" spans="1:23" x14ac:dyDescent="0.25">
      <c r="A21" s="24"/>
      <c r="B21" s="27"/>
      <c r="C21" s="27"/>
      <c r="D21" s="27">
        <v>1</v>
      </c>
      <c r="E21" s="27"/>
      <c r="F21" s="27"/>
      <c r="G21" s="27"/>
      <c r="H21" s="27"/>
      <c r="I21" s="27"/>
      <c r="J21" s="25">
        <v>1780.53</v>
      </c>
      <c r="K21" s="25">
        <f t="shared" si="1"/>
        <v>1780.53</v>
      </c>
      <c r="L21" s="231"/>
      <c r="M21" s="240"/>
      <c r="N21" s="27"/>
      <c r="O21" s="27"/>
      <c r="P21" s="27"/>
      <c r="Q21" s="27"/>
      <c r="R21" s="27"/>
      <c r="S21" s="27"/>
      <c r="T21" s="27"/>
      <c r="U21" s="27"/>
      <c r="V21" s="25"/>
      <c r="W21" s="241">
        <f t="shared" si="2"/>
        <v>0</v>
      </c>
    </row>
    <row r="22" spans="1:23" ht="16.5" thickBot="1" x14ac:dyDescent="0.3">
      <c r="A22" s="24"/>
      <c r="B22" s="27"/>
      <c r="C22" s="27">
        <v>5</v>
      </c>
      <c r="D22" s="27"/>
      <c r="E22" s="27"/>
      <c r="F22" s="27"/>
      <c r="G22" s="27"/>
      <c r="H22" s="27"/>
      <c r="I22" s="27"/>
      <c r="J22" s="25">
        <v>1891.98</v>
      </c>
      <c r="K22" s="25">
        <f t="shared" si="1"/>
        <v>9459.9</v>
      </c>
      <c r="L22" s="231"/>
      <c r="M22" s="242"/>
      <c r="N22" s="124"/>
      <c r="O22" s="124"/>
      <c r="P22" s="124"/>
      <c r="Q22" s="124"/>
      <c r="R22" s="124"/>
      <c r="S22" s="124"/>
      <c r="T22" s="124"/>
      <c r="U22" s="124"/>
      <c r="V22" s="125"/>
      <c r="W22" s="243">
        <f t="shared" si="2"/>
        <v>0</v>
      </c>
    </row>
    <row r="23" spans="1:23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5"/>
      <c r="K23" s="25">
        <f t="shared" si="1"/>
        <v>0</v>
      </c>
      <c r="L23" s="231"/>
      <c r="M23" s="236">
        <v>45768</v>
      </c>
      <c r="N23" s="237"/>
      <c r="O23" s="237"/>
      <c r="P23" s="237"/>
      <c r="Q23" s="237"/>
      <c r="R23" s="237"/>
      <c r="S23" s="237"/>
      <c r="T23" s="237">
        <v>25</v>
      </c>
      <c r="U23" s="237"/>
      <c r="V23" s="238">
        <v>194.15</v>
      </c>
      <c r="W23" s="239">
        <f t="shared" ref="W23:W41" si="5">N23*V23+O23*V23+P23*V23+Q23*V23+R23*V23+U23*V23+S23*V23+T23*V23</f>
        <v>4853.75</v>
      </c>
    </row>
    <row r="24" spans="1:23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5"/>
      <c r="K24" s="25">
        <f t="shared" si="1"/>
        <v>0</v>
      </c>
      <c r="L24" s="231"/>
      <c r="M24" s="240">
        <v>45770</v>
      </c>
      <c r="N24" s="27"/>
      <c r="O24" s="27"/>
      <c r="P24" s="27">
        <v>1</v>
      </c>
      <c r="Q24" s="27"/>
      <c r="R24" s="27"/>
      <c r="S24" s="27"/>
      <c r="T24" s="27"/>
      <c r="U24" s="27"/>
      <c r="V24" s="25">
        <v>1780.53</v>
      </c>
      <c r="W24" s="241">
        <f t="shared" si="5"/>
        <v>1780.53</v>
      </c>
    </row>
    <row r="25" spans="1:23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5"/>
      <c r="K25" s="25">
        <f t="shared" si="1"/>
        <v>0</v>
      </c>
      <c r="L25" s="231"/>
      <c r="M25" s="240">
        <v>45775</v>
      </c>
      <c r="N25" s="27"/>
      <c r="O25" s="27"/>
      <c r="P25" s="27"/>
      <c r="Q25" s="27"/>
      <c r="R25" s="27"/>
      <c r="S25" s="27"/>
      <c r="T25" s="27">
        <v>50</v>
      </c>
      <c r="U25" s="27"/>
      <c r="V25" s="25">
        <v>194.15</v>
      </c>
      <c r="W25" s="241">
        <f t="shared" si="5"/>
        <v>9707.5</v>
      </c>
    </row>
    <row r="26" spans="1:23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5"/>
      <c r="K26" s="25">
        <f t="shared" si="1"/>
        <v>0</v>
      </c>
      <c r="L26" s="231"/>
      <c r="M26" s="240">
        <v>45777</v>
      </c>
      <c r="N26" s="27">
        <v>1</v>
      </c>
      <c r="O26" s="27"/>
      <c r="P26" s="27"/>
      <c r="Q26" s="27"/>
      <c r="R26" s="27"/>
      <c r="S26" s="27"/>
      <c r="T26" s="27"/>
      <c r="U26" s="27"/>
      <c r="V26" s="25">
        <v>2233.9899999999998</v>
      </c>
      <c r="W26" s="241">
        <f t="shared" si="5"/>
        <v>2233.9899999999998</v>
      </c>
    </row>
    <row r="27" spans="1:23" ht="16.5" thickBot="1" x14ac:dyDescent="0.3">
      <c r="A27" s="24"/>
      <c r="B27" s="27"/>
      <c r="C27" s="27"/>
      <c r="D27" s="27"/>
      <c r="E27" s="27"/>
      <c r="F27" s="27"/>
      <c r="G27" s="27"/>
      <c r="H27" s="27"/>
      <c r="I27" s="27"/>
      <c r="J27" s="25"/>
      <c r="K27" s="25">
        <f t="shared" si="1"/>
        <v>0</v>
      </c>
      <c r="L27" s="231"/>
      <c r="M27" s="242"/>
      <c r="N27" s="124"/>
      <c r="O27" s="124">
        <v>1</v>
      </c>
      <c r="P27" s="124"/>
      <c r="Q27" s="124"/>
      <c r="R27" s="124"/>
      <c r="S27" s="124"/>
      <c r="T27" s="124"/>
      <c r="U27" s="124"/>
      <c r="V27" s="125">
        <v>1891.98</v>
      </c>
      <c r="W27" s="243">
        <f t="shared" si="5"/>
        <v>1891.98</v>
      </c>
    </row>
    <row r="28" spans="1:23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5"/>
      <c r="K28" s="25">
        <f t="shared" si="1"/>
        <v>0</v>
      </c>
      <c r="L28" s="30"/>
      <c r="M28" s="122"/>
      <c r="N28" s="119"/>
      <c r="O28" s="119"/>
      <c r="P28" s="119"/>
      <c r="Q28" s="119"/>
      <c r="R28" s="119"/>
      <c r="S28" s="119"/>
      <c r="T28" s="119"/>
      <c r="U28" s="119"/>
      <c r="V28" s="120"/>
      <c r="W28" s="342">
        <f t="shared" si="5"/>
        <v>0</v>
      </c>
    </row>
    <row r="29" spans="1:23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5"/>
      <c r="K29" s="25">
        <f t="shared" si="1"/>
        <v>0</v>
      </c>
      <c r="L29" s="30"/>
      <c r="M29" s="28"/>
      <c r="N29" s="27"/>
      <c r="O29" s="27"/>
      <c r="P29" s="27"/>
      <c r="Q29" s="27"/>
      <c r="R29" s="27"/>
      <c r="S29" s="27"/>
      <c r="T29" s="27"/>
      <c r="U29" s="27"/>
      <c r="V29" s="25"/>
      <c r="W29" s="241">
        <f t="shared" si="5"/>
        <v>0</v>
      </c>
    </row>
    <row r="30" spans="1:23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5"/>
      <c r="K30" s="25">
        <f t="shared" si="1"/>
        <v>0</v>
      </c>
      <c r="L30" s="30"/>
      <c r="M30" s="28"/>
      <c r="N30" s="27"/>
      <c r="O30" s="27"/>
      <c r="P30" s="27"/>
      <c r="Q30" s="27"/>
      <c r="R30" s="27"/>
      <c r="S30" s="27"/>
      <c r="T30" s="27"/>
      <c r="U30" s="27"/>
      <c r="V30" s="25"/>
      <c r="W30" s="241">
        <f t="shared" si="5"/>
        <v>0</v>
      </c>
    </row>
    <row r="31" spans="1:23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5"/>
      <c r="K31" s="25">
        <f t="shared" si="1"/>
        <v>0</v>
      </c>
      <c r="L31" s="30"/>
      <c r="M31" s="28"/>
      <c r="N31" s="27"/>
      <c r="O31" s="27"/>
      <c r="P31" s="27"/>
      <c r="Q31" s="27"/>
      <c r="R31" s="27"/>
      <c r="S31" s="27"/>
      <c r="T31" s="27"/>
      <c r="U31" s="27"/>
      <c r="V31" s="25"/>
      <c r="W31" s="241">
        <f t="shared" si="5"/>
        <v>0</v>
      </c>
    </row>
    <row r="32" spans="1:23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5"/>
      <c r="K32" s="25">
        <f t="shared" si="1"/>
        <v>0</v>
      </c>
      <c r="L32" s="30"/>
      <c r="M32" s="28"/>
      <c r="N32" s="27"/>
      <c r="O32" s="27"/>
      <c r="P32" s="27"/>
      <c r="Q32" s="27"/>
      <c r="R32" s="27"/>
      <c r="S32" s="27"/>
      <c r="T32" s="27"/>
      <c r="U32" s="27"/>
      <c r="V32" s="25"/>
      <c r="W32" s="241">
        <f t="shared" si="5"/>
        <v>0</v>
      </c>
    </row>
    <row r="33" spans="1:23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5"/>
      <c r="K33" s="25">
        <f t="shared" si="1"/>
        <v>0</v>
      </c>
      <c r="L33" s="30"/>
      <c r="M33" s="28"/>
      <c r="N33" s="27"/>
      <c r="O33" s="27"/>
      <c r="P33" s="27"/>
      <c r="Q33" s="27"/>
      <c r="R33" s="27"/>
      <c r="S33" s="27"/>
      <c r="T33" s="27"/>
      <c r="U33" s="27"/>
      <c r="V33" s="25"/>
      <c r="W33" s="241">
        <f t="shared" si="5"/>
        <v>0</v>
      </c>
    </row>
    <row r="34" spans="1:23" x14ac:dyDescent="0.25">
      <c r="A34" s="24"/>
      <c r="B34" s="27"/>
      <c r="C34" s="27"/>
      <c r="D34" s="27"/>
      <c r="E34" s="27"/>
      <c r="F34" s="27"/>
      <c r="G34" s="27"/>
      <c r="H34" s="27"/>
      <c r="I34" s="27"/>
      <c r="J34" s="25"/>
      <c r="K34" s="25">
        <f t="shared" si="1"/>
        <v>0</v>
      </c>
      <c r="L34" s="30"/>
      <c r="M34" s="28"/>
      <c r="N34" s="27"/>
      <c r="O34" s="27"/>
      <c r="P34" s="27"/>
      <c r="Q34" s="27"/>
      <c r="R34" s="27"/>
      <c r="S34" s="27"/>
      <c r="T34" s="27"/>
      <c r="U34" s="27"/>
      <c r="V34" s="25"/>
      <c r="W34" s="241">
        <f t="shared" si="5"/>
        <v>0</v>
      </c>
    </row>
    <row r="35" spans="1:23" x14ac:dyDescent="0.25">
      <c r="A35" s="24"/>
      <c r="B35" s="27"/>
      <c r="C35" s="27"/>
      <c r="D35" s="27"/>
      <c r="E35" s="27"/>
      <c r="F35" s="27"/>
      <c r="G35" s="27"/>
      <c r="H35" s="27"/>
      <c r="I35" s="27"/>
      <c r="J35" s="25"/>
      <c r="K35" s="25">
        <f t="shared" si="1"/>
        <v>0</v>
      </c>
      <c r="L35" s="30"/>
      <c r="M35" s="28"/>
      <c r="N35" s="27"/>
      <c r="O35" s="27"/>
      <c r="P35" s="27"/>
      <c r="Q35" s="27"/>
      <c r="R35" s="27"/>
      <c r="S35" s="27"/>
      <c r="T35" s="27"/>
      <c r="U35" s="27"/>
      <c r="V35" s="25"/>
      <c r="W35" s="241">
        <f t="shared" si="5"/>
        <v>0</v>
      </c>
    </row>
    <row r="36" spans="1:23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5"/>
      <c r="K36" s="25">
        <f t="shared" si="1"/>
        <v>0</v>
      </c>
      <c r="L36" s="30"/>
      <c r="M36" s="28"/>
      <c r="N36" s="27"/>
      <c r="O36" s="27"/>
      <c r="P36" s="27"/>
      <c r="Q36" s="27"/>
      <c r="R36" s="27"/>
      <c r="S36" s="27"/>
      <c r="T36" s="27"/>
      <c r="U36" s="27"/>
      <c r="V36" s="25"/>
      <c r="W36" s="241">
        <f t="shared" si="5"/>
        <v>0</v>
      </c>
    </row>
    <row r="37" spans="1:23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5"/>
      <c r="K37" s="25">
        <f t="shared" si="1"/>
        <v>0</v>
      </c>
      <c r="L37" s="30"/>
      <c r="M37" s="28"/>
      <c r="N37" s="27"/>
      <c r="O37" s="27"/>
      <c r="P37" s="27"/>
      <c r="Q37" s="27"/>
      <c r="R37" s="27"/>
      <c r="S37" s="27"/>
      <c r="T37" s="27"/>
      <c r="U37" s="27"/>
      <c r="V37" s="25"/>
      <c r="W37" s="241">
        <f t="shared" si="5"/>
        <v>0</v>
      </c>
    </row>
    <row r="38" spans="1:23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5"/>
      <c r="K38" s="25">
        <f t="shared" si="1"/>
        <v>0</v>
      </c>
      <c r="L38" s="30"/>
      <c r="M38" s="28"/>
      <c r="N38" s="27"/>
      <c r="O38" s="27"/>
      <c r="P38" s="27"/>
      <c r="Q38" s="27"/>
      <c r="R38" s="27"/>
      <c r="S38" s="27"/>
      <c r="T38" s="27"/>
      <c r="U38" s="27"/>
      <c r="V38" s="25"/>
      <c r="W38" s="241">
        <f t="shared" si="5"/>
        <v>0</v>
      </c>
    </row>
    <row r="39" spans="1:23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5"/>
      <c r="K39" s="25">
        <f t="shared" si="1"/>
        <v>0</v>
      </c>
      <c r="L39" s="30"/>
      <c r="M39" s="24"/>
      <c r="N39" s="27"/>
      <c r="O39" s="27"/>
      <c r="P39" s="27"/>
      <c r="Q39" s="27"/>
      <c r="R39" s="27"/>
      <c r="S39" s="27"/>
      <c r="T39" s="27"/>
      <c r="U39" s="27"/>
      <c r="V39" s="25"/>
      <c r="W39" s="241">
        <f t="shared" si="5"/>
        <v>0</v>
      </c>
    </row>
    <row r="40" spans="1:23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5"/>
      <c r="K40" s="25">
        <f t="shared" si="1"/>
        <v>0</v>
      </c>
      <c r="L40" s="30"/>
      <c r="M40" s="24"/>
      <c r="N40" s="27"/>
      <c r="O40" s="27"/>
      <c r="P40" s="27"/>
      <c r="Q40" s="27"/>
      <c r="R40" s="27"/>
      <c r="S40" s="27"/>
      <c r="T40" s="27"/>
      <c r="U40" s="27"/>
      <c r="V40" s="25"/>
      <c r="W40" s="241">
        <f t="shared" si="5"/>
        <v>0</v>
      </c>
    </row>
    <row r="41" spans="1:23" x14ac:dyDescent="0.25">
      <c r="A41" s="24"/>
      <c r="B41" s="27"/>
      <c r="C41" s="27"/>
      <c r="D41" s="27"/>
      <c r="E41" s="27"/>
      <c r="F41" s="27"/>
      <c r="G41" s="27"/>
      <c r="H41" s="27"/>
      <c r="I41" s="27"/>
      <c r="J41" s="25"/>
      <c r="K41" s="25">
        <f t="shared" si="1"/>
        <v>0</v>
      </c>
      <c r="L41" s="30"/>
      <c r="M41" s="24"/>
      <c r="N41" s="27"/>
      <c r="O41" s="27"/>
      <c r="P41" s="27"/>
      <c r="Q41" s="27"/>
      <c r="R41" s="27"/>
      <c r="S41" s="27"/>
      <c r="T41" s="27"/>
      <c r="U41" s="27"/>
      <c r="V41" s="25"/>
      <c r="W41" s="241">
        <f t="shared" si="5"/>
        <v>0</v>
      </c>
    </row>
    <row r="42" spans="1:23" x14ac:dyDescent="0.25">
      <c r="A42" s="24"/>
      <c r="B42" s="27">
        <f>SUM(B3:B41)</f>
        <v>1</v>
      </c>
      <c r="C42" s="27">
        <f>SUM(C3:C41)</f>
        <v>6</v>
      </c>
      <c r="D42" s="27">
        <f>SUM(D3:D41)</f>
        <v>2</v>
      </c>
      <c r="E42" s="27">
        <f t="shared" ref="E42:J42" si="6">SUM(E3:E41)</f>
        <v>1</v>
      </c>
      <c r="F42" s="27">
        <f t="shared" si="6"/>
        <v>25</v>
      </c>
      <c r="G42" s="27">
        <f t="shared" si="6"/>
        <v>5</v>
      </c>
      <c r="H42" s="27">
        <f t="shared" si="6"/>
        <v>300</v>
      </c>
      <c r="I42" s="27">
        <f t="shared" si="6"/>
        <v>3</v>
      </c>
      <c r="J42" s="27">
        <f t="shared" si="6"/>
        <v>15046.48</v>
      </c>
      <c r="K42" s="25">
        <f>SUM(K3:K41)</f>
        <v>88282.029999999984</v>
      </c>
      <c r="L42" s="30"/>
      <c r="M42" s="24"/>
      <c r="N42" s="27">
        <f>SUM(N3:N41)</f>
        <v>1</v>
      </c>
      <c r="O42" s="27">
        <f t="shared" ref="O42:U42" si="7">SUM(O3:O41)</f>
        <v>3</v>
      </c>
      <c r="P42" s="27">
        <f t="shared" si="7"/>
        <v>2</v>
      </c>
      <c r="Q42" s="27">
        <f t="shared" si="7"/>
        <v>1</v>
      </c>
      <c r="R42" s="27">
        <f t="shared" si="7"/>
        <v>25</v>
      </c>
      <c r="S42" s="27">
        <f t="shared" si="7"/>
        <v>5</v>
      </c>
      <c r="T42" s="27">
        <f t="shared" si="7"/>
        <v>250</v>
      </c>
      <c r="U42" s="27">
        <f t="shared" si="7"/>
        <v>0</v>
      </c>
      <c r="V42" s="25"/>
      <c r="W42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0"/>
  <sheetViews>
    <sheetView workbookViewId="0">
      <pane ySplit="1" topLeftCell="A26" activePane="bottomLeft" state="frozen"/>
      <selection pane="bottomLeft" activeCell="L53" sqref="L53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9.7109375" style="26" customWidth="1"/>
    <col min="13" max="13" width="9.28515625" style="26" customWidth="1"/>
    <col min="14" max="15" width="9.7109375" style="26" customWidth="1"/>
    <col min="16" max="16" width="10.140625" style="26" customWidth="1"/>
    <col min="17" max="17" width="11.710937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7109375" style="26" customWidth="1"/>
    <col min="22" max="22" width="12.7109375" style="26" bestFit="1" customWidth="1"/>
    <col min="23" max="23" width="11.5703125" style="26" bestFit="1" customWidth="1"/>
    <col min="24" max="24" width="9.7109375" style="26" customWidth="1"/>
    <col min="25" max="25" width="10" style="26" customWidth="1"/>
    <col min="26" max="26" width="16.140625" style="26" customWidth="1"/>
    <col min="27" max="16384" width="8.85546875" style="26"/>
  </cols>
  <sheetData>
    <row r="1" spans="1:29" s="60" customFormat="1" ht="61.15" customHeight="1" x14ac:dyDescent="0.25">
      <c r="A1" s="57" t="s">
        <v>17</v>
      </c>
      <c r="B1" s="111" t="s">
        <v>85</v>
      </c>
      <c r="C1" s="111" t="s">
        <v>72</v>
      </c>
      <c r="D1" s="111"/>
      <c r="E1" s="111"/>
      <c r="F1" s="111"/>
      <c r="G1" s="111"/>
      <c r="H1" s="58" t="s">
        <v>18</v>
      </c>
      <c r="I1" s="58" t="s">
        <v>19</v>
      </c>
      <c r="J1" s="58"/>
      <c r="K1" s="57" t="s">
        <v>22</v>
      </c>
      <c r="L1" s="111" t="s">
        <v>85</v>
      </c>
      <c r="M1" s="111" t="s">
        <v>72</v>
      </c>
      <c r="N1" s="111"/>
      <c r="O1" s="111"/>
      <c r="P1" s="111"/>
      <c r="Q1" s="111"/>
      <c r="R1" s="58" t="s">
        <v>18</v>
      </c>
      <c r="S1" s="58" t="s">
        <v>19</v>
      </c>
      <c r="T1" s="59"/>
      <c r="U1" s="111" t="s">
        <v>85</v>
      </c>
      <c r="V1" s="111" t="s">
        <v>72</v>
      </c>
      <c r="W1" s="111"/>
      <c r="X1" s="111"/>
      <c r="Y1" s="111"/>
      <c r="Z1" s="111"/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0+B50-L50</f>
        <v>750</v>
      </c>
      <c r="V2" s="27">
        <f t="shared" si="0"/>
        <v>210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/>
      <c r="AB2" s="31"/>
      <c r="AC2" s="31"/>
    </row>
    <row r="3" spans="1:29" x14ac:dyDescent="0.25">
      <c r="A3" s="28">
        <v>45630</v>
      </c>
      <c r="B3" s="27">
        <v>1000</v>
      </c>
      <c r="C3" s="27"/>
      <c r="D3" s="27"/>
      <c r="E3" s="27"/>
      <c r="F3" s="27"/>
      <c r="G3" s="27"/>
      <c r="H3" s="112">
        <v>60</v>
      </c>
      <c r="I3" s="25">
        <f>B3*H3+C3*H3+D3*H3+E3*H3+F3*H3+G3*H3</f>
        <v>60000</v>
      </c>
      <c r="J3" s="30"/>
      <c r="K3" s="28">
        <v>45630</v>
      </c>
      <c r="L3" s="27">
        <v>100</v>
      </c>
      <c r="M3" s="27"/>
      <c r="N3" s="27"/>
      <c r="O3" s="27"/>
      <c r="P3" s="27"/>
      <c r="Q3" s="27"/>
      <c r="R3" s="25">
        <v>60</v>
      </c>
      <c r="S3" s="25">
        <f>L3*R3+M3*R3+N3*R3+O3*R3+P3*R3+Q3*R3</f>
        <v>6000</v>
      </c>
      <c r="U3" s="112">
        <v>60</v>
      </c>
      <c r="V3" s="25">
        <v>623</v>
      </c>
      <c r="W3" s="25"/>
      <c r="X3" s="25"/>
      <c r="Y3" s="25"/>
      <c r="Z3" s="25"/>
      <c r="AA3" s="25"/>
      <c r="AB3" s="29"/>
    </row>
    <row r="4" spans="1:29" x14ac:dyDescent="0.25">
      <c r="A4" s="28"/>
      <c r="B4" s="27"/>
      <c r="C4" s="27">
        <v>150</v>
      </c>
      <c r="D4" s="27"/>
      <c r="E4" s="27"/>
      <c r="F4" s="27"/>
      <c r="G4" s="27"/>
      <c r="H4" s="25">
        <v>122</v>
      </c>
      <c r="I4" s="25">
        <f t="shared" ref="I4:I49" si="1">B4*H4+C4*H4+D4*H4+E4*H4+F4*H4+G4*H4</f>
        <v>18300</v>
      </c>
      <c r="J4" s="30"/>
      <c r="K4" s="28"/>
      <c r="L4" s="27"/>
      <c r="M4" s="27"/>
      <c r="N4" s="27"/>
      <c r="O4" s="27"/>
      <c r="P4" s="27"/>
      <c r="Q4" s="27"/>
      <c r="R4" s="112"/>
      <c r="S4" s="25">
        <f t="shared" ref="S4:S50" si="2">L4*R4+M4*R4+N4*R4+O4*R4+P4*R4+Q4*R4</f>
        <v>0</v>
      </c>
      <c r="U4" s="25">
        <f>U2*U3</f>
        <v>45000</v>
      </c>
      <c r="V4" s="25">
        <f t="shared" ref="V4:Z4" si="3">V2*V3</f>
        <v>130830</v>
      </c>
      <c r="W4" s="25">
        <f t="shared" si="3"/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/>
      <c r="AB4" s="29"/>
    </row>
    <row r="5" spans="1:29" x14ac:dyDescent="0.25">
      <c r="A5" s="166"/>
      <c r="B5" s="167"/>
      <c r="C5" s="167"/>
      <c r="D5" s="167"/>
      <c r="E5" s="167"/>
      <c r="F5" s="167"/>
      <c r="G5" s="167"/>
      <c r="H5" s="168"/>
      <c r="I5" s="168">
        <f t="shared" si="1"/>
        <v>0</v>
      </c>
      <c r="J5" s="168"/>
      <c r="K5" s="169" t="s">
        <v>108</v>
      </c>
      <c r="L5" s="167"/>
      <c r="M5" s="167"/>
      <c r="N5" s="167"/>
      <c r="O5" s="167"/>
      <c r="P5" s="167"/>
      <c r="Q5" s="167"/>
      <c r="R5" s="168"/>
      <c r="S5" s="168">
        <f t="shared" si="2"/>
        <v>0</v>
      </c>
    </row>
    <row r="6" spans="1:29" ht="16.5" thickBot="1" x14ac:dyDescent="0.3">
      <c r="A6" s="28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156">
        <v>45666</v>
      </c>
      <c r="L6" s="158">
        <v>50</v>
      </c>
      <c r="M6" s="158"/>
      <c r="N6" s="158"/>
      <c r="O6" s="158"/>
      <c r="P6" s="158"/>
      <c r="Q6" s="158"/>
      <c r="R6" s="244">
        <v>60</v>
      </c>
      <c r="S6" s="159">
        <f t="shared" si="2"/>
        <v>3000</v>
      </c>
    </row>
    <row r="7" spans="1:29" x14ac:dyDescent="0.25">
      <c r="A7" s="28">
        <v>45729</v>
      </c>
      <c r="B7" s="27"/>
      <c r="C7" s="27">
        <v>200</v>
      </c>
      <c r="D7" s="27"/>
      <c r="E7" s="27"/>
      <c r="F7" s="27"/>
      <c r="G7" s="27"/>
      <c r="H7" s="25">
        <v>623</v>
      </c>
      <c r="I7" s="25">
        <f t="shared" si="1"/>
        <v>124600</v>
      </c>
      <c r="J7" s="231"/>
      <c r="K7" s="245">
        <v>45729</v>
      </c>
      <c r="L7" s="246"/>
      <c r="M7" s="246">
        <v>150</v>
      </c>
      <c r="N7" s="246"/>
      <c r="O7" s="246"/>
      <c r="P7" s="246"/>
      <c r="Q7" s="246"/>
      <c r="R7" s="247">
        <v>122</v>
      </c>
      <c r="S7" s="248">
        <f t="shared" si="2"/>
        <v>18300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231"/>
      <c r="K8" s="240"/>
      <c r="L8" s="27"/>
      <c r="M8" s="27">
        <v>39</v>
      </c>
      <c r="N8" s="27"/>
      <c r="O8" s="27"/>
      <c r="P8" s="27"/>
      <c r="Q8" s="27"/>
      <c r="R8" s="112">
        <v>623</v>
      </c>
      <c r="S8" s="241">
        <f t="shared" si="2"/>
        <v>24297</v>
      </c>
    </row>
    <row r="9" spans="1:29" ht="16.5" thickBot="1" x14ac:dyDescent="0.3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231"/>
      <c r="K9" s="242">
        <v>45730</v>
      </c>
      <c r="L9" s="124"/>
      <c r="M9" s="124">
        <v>20</v>
      </c>
      <c r="N9" s="124"/>
      <c r="O9" s="124"/>
      <c r="P9" s="124"/>
      <c r="Q9" s="124"/>
      <c r="R9" s="125">
        <v>623</v>
      </c>
      <c r="S9" s="243">
        <f t="shared" si="2"/>
        <v>12460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231"/>
      <c r="K10" s="236">
        <v>45733</v>
      </c>
      <c r="L10" s="237"/>
      <c r="M10" s="237">
        <v>21</v>
      </c>
      <c r="N10" s="237"/>
      <c r="O10" s="237"/>
      <c r="P10" s="237"/>
      <c r="Q10" s="237"/>
      <c r="R10" s="238">
        <v>623</v>
      </c>
      <c r="S10" s="239">
        <f t="shared" si="2"/>
        <v>13083</v>
      </c>
    </row>
    <row r="11" spans="1:29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231"/>
      <c r="K11" s="301">
        <v>45734</v>
      </c>
      <c r="L11" s="27"/>
      <c r="M11" s="27">
        <v>30</v>
      </c>
      <c r="N11" s="27"/>
      <c r="O11" s="27"/>
      <c r="P11" s="27"/>
      <c r="Q11" s="27"/>
      <c r="R11" s="25">
        <v>623</v>
      </c>
      <c r="S11" s="241">
        <f t="shared" si="2"/>
        <v>18690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231"/>
      <c r="K12" s="301">
        <v>45735</v>
      </c>
      <c r="L12" s="27"/>
      <c r="M12" s="27">
        <v>65</v>
      </c>
      <c r="N12" s="27"/>
      <c r="O12" s="27"/>
      <c r="P12" s="27"/>
      <c r="Q12" s="27"/>
      <c r="R12" s="25">
        <v>623</v>
      </c>
      <c r="S12" s="241">
        <f t="shared" si="2"/>
        <v>40495</v>
      </c>
    </row>
    <row r="13" spans="1:29" x14ac:dyDescent="0.25">
      <c r="A13" s="28">
        <v>45736</v>
      </c>
      <c r="B13" s="27"/>
      <c r="C13" s="27">
        <v>200</v>
      </c>
      <c r="D13" s="27"/>
      <c r="E13" s="27"/>
      <c r="F13" s="27"/>
      <c r="G13" s="27"/>
      <c r="H13" s="25">
        <v>623</v>
      </c>
      <c r="I13" s="25">
        <f t="shared" si="1"/>
        <v>124600</v>
      </c>
      <c r="J13" s="231"/>
      <c r="K13" s="301">
        <v>45736</v>
      </c>
      <c r="L13" s="27"/>
      <c r="M13" s="27">
        <v>25</v>
      </c>
      <c r="N13" s="27"/>
      <c r="O13" s="27"/>
      <c r="P13" s="27"/>
      <c r="Q13" s="27"/>
      <c r="R13" s="25">
        <v>623</v>
      </c>
      <c r="S13" s="241">
        <f t="shared" si="2"/>
        <v>15575</v>
      </c>
    </row>
    <row r="14" spans="1:29" ht="16.5" thickBot="1" x14ac:dyDescent="0.3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231"/>
      <c r="K14" s="306">
        <v>45737</v>
      </c>
      <c r="L14" s="124"/>
      <c r="M14" s="124">
        <v>64</v>
      </c>
      <c r="N14" s="124"/>
      <c r="O14" s="124"/>
      <c r="P14" s="124"/>
      <c r="Q14" s="124"/>
      <c r="R14" s="125">
        <v>623</v>
      </c>
      <c r="S14" s="243">
        <f t="shared" si="2"/>
        <v>39872</v>
      </c>
    </row>
    <row r="15" spans="1:29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231"/>
      <c r="K15" s="236">
        <v>45740</v>
      </c>
      <c r="L15" s="237"/>
      <c r="M15" s="237">
        <v>72</v>
      </c>
      <c r="N15" s="237"/>
      <c r="O15" s="237"/>
      <c r="P15" s="237"/>
      <c r="Q15" s="237"/>
      <c r="R15" s="238">
        <v>623</v>
      </c>
      <c r="S15" s="239">
        <f t="shared" si="2"/>
        <v>44856</v>
      </c>
    </row>
    <row r="16" spans="1:29" x14ac:dyDescent="0.25">
      <c r="A16" s="28">
        <v>45741</v>
      </c>
      <c r="B16" s="27"/>
      <c r="C16" s="27">
        <v>200</v>
      </c>
      <c r="D16" s="27"/>
      <c r="E16" s="27"/>
      <c r="F16" s="27"/>
      <c r="G16" s="27"/>
      <c r="H16" s="25">
        <v>623</v>
      </c>
      <c r="I16" s="25">
        <f t="shared" si="1"/>
        <v>124600</v>
      </c>
      <c r="J16" s="231"/>
      <c r="K16" s="301">
        <v>45741</v>
      </c>
      <c r="L16" s="27"/>
      <c r="M16" s="27">
        <v>20</v>
      </c>
      <c r="N16" s="27"/>
      <c r="O16" s="27"/>
      <c r="P16" s="27"/>
      <c r="Q16" s="27"/>
      <c r="R16" s="25">
        <v>623</v>
      </c>
      <c r="S16" s="241">
        <f t="shared" si="2"/>
        <v>12460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231"/>
      <c r="K17" s="301">
        <v>45742</v>
      </c>
      <c r="L17" s="27"/>
      <c r="M17" s="27">
        <v>20</v>
      </c>
      <c r="N17" s="27"/>
      <c r="O17" s="27"/>
      <c r="P17" s="27"/>
      <c r="Q17" s="27"/>
      <c r="R17" s="25">
        <v>623</v>
      </c>
      <c r="S17" s="241">
        <f t="shared" si="2"/>
        <v>12460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231"/>
      <c r="K18" s="301">
        <v>45743</v>
      </c>
      <c r="L18" s="27"/>
      <c r="M18" s="27">
        <v>20</v>
      </c>
      <c r="N18" s="27"/>
      <c r="O18" s="27"/>
      <c r="P18" s="27"/>
      <c r="Q18" s="27"/>
      <c r="R18" s="25">
        <v>623</v>
      </c>
      <c r="S18" s="241">
        <f t="shared" si="2"/>
        <v>12460</v>
      </c>
    </row>
    <row r="19" spans="1:19" ht="16.5" thickBot="1" x14ac:dyDescent="0.3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231"/>
      <c r="K19" s="306">
        <v>45744</v>
      </c>
      <c r="L19" s="124"/>
      <c r="M19" s="124">
        <v>20</v>
      </c>
      <c r="N19" s="124"/>
      <c r="O19" s="124"/>
      <c r="P19" s="124"/>
      <c r="Q19" s="124"/>
      <c r="R19" s="125">
        <v>623</v>
      </c>
      <c r="S19" s="243">
        <f t="shared" si="2"/>
        <v>12460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1"/>
        <v>0</v>
      </c>
      <c r="J20" s="231"/>
      <c r="K20" s="236">
        <v>45748</v>
      </c>
      <c r="L20" s="237"/>
      <c r="M20" s="237">
        <v>10</v>
      </c>
      <c r="N20" s="237"/>
      <c r="O20" s="237"/>
      <c r="P20" s="237"/>
      <c r="Q20" s="237"/>
      <c r="R20" s="238">
        <v>623</v>
      </c>
      <c r="S20" s="239">
        <f t="shared" si="2"/>
        <v>6230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1"/>
        <v>0</v>
      </c>
      <c r="J21" s="231"/>
      <c r="K21" s="301">
        <v>45749</v>
      </c>
      <c r="L21" s="27"/>
      <c r="M21" s="27">
        <v>54</v>
      </c>
      <c r="N21" s="27"/>
      <c r="O21" s="27"/>
      <c r="P21" s="27"/>
      <c r="Q21" s="27"/>
      <c r="R21" s="25">
        <v>623</v>
      </c>
      <c r="S21" s="241">
        <f t="shared" si="2"/>
        <v>33642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1"/>
        <v>0</v>
      </c>
      <c r="J22" s="231"/>
      <c r="K22" s="301">
        <v>45750</v>
      </c>
      <c r="L22" s="27"/>
      <c r="M22" s="27">
        <v>50</v>
      </c>
      <c r="N22" s="27"/>
      <c r="O22" s="27"/>
      <c r="P22" s="27"/>
      <c r="Q22" s="27"/>
      <c r="R22" s="25">
        <v>623</v>
      </c>
      <c r="S22" s="241">
        <f t="shared" si="2"/>
        <v>31150</v>
      </c>
    </row>
    <row r="23" spans="1:19" ht="16.5" thickBot="1" x14ac:dyDescent="0.3">
      <c r="A23" s="24"/>
      <c r="B23" s="27"/>
      <c r="C23" s="27"/>
      <c r="D23" s="27"/>
      <c r="E23" s="27"/>
      <c r="F23" s="27"/>
      <c r="G23" s="27"/>
      <c r="H23" s="25"/>
      <c r="I23" s="25">
        <f t="shared" si="1"/>
        <v>0</v>
      </c>
      <c r="J23" s="231"/>
      <c r="K23" s="306">
        <v>45751</v>
      </c>
      <c r="L23" s="124"/>
      <c r="M23" s="124">
        <v>20</v>
      </c>
      <c r="N23" s="124"/>
      <c r="O23" s="124"/>
      <c r="P23" s="124"/>
      <c r="Q23" s="124"/>
      <c r="R23" s="125">
        <v>623</v>
      </c>
      <c r="S23" s="243">
        <f t="shared" si="2"/>
        <v>12460</v>
      </c>
    </row>
    <row r="24" spans="1:19" x14ac:dyDescent="0.25">
      <c r="A24" s="28">
        <v>45754</v>
      </c>
      <c r="B24" s="27"/>
      <c r="C24" s="27">
        <v>201</v>
      </c>
      <c r="D24" s="27"/>
      <c r="E24" s="27"/>
      <c r="F24" s="27"/>
      <c r="G24" s="27"/>
      <c r="H24" s="25">
        <v>623</v>
      </c>
      <c r="I24" s="25">
        <f t="shared" si="1"/>
        <v>125223</v>
      </c>
      <c r="J24" s="231"/>
      <c r="K24" s="236">
        <v>45754</v>
      </c>
      <c r="L24" s="237"/>
      <c r="M24" s="237">
        <v>50</v>
      </c>
      <c r="N24" s="237"/>
      <c r="O24" s="237"/>
      <c r="P24" s="237"/>
      <c r="Q24" s="237"/>
      <c r="R24" s="238">
        <v>623</v>
      </c>
      <c r="S24" s="239">
        <f t="shared" si="2"/>
        <v>31150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1"/>
        <v>0</v>
      </c>
      <c r="J25" s="231"/>
      <c r="K25" s="301">
        <v>45755</v>
      </c>
      <c r="L25" s="27"/>
      <c r="M25" s="27">
        <v>80</v>
      </c>
      <c r="N25" s="27"/>
      <c r="O25" s="27"/>
      <c r="P25" s="27"/>
      <c r="Q25" s="27"/>
      <c r="R25" s="25">
        <v>623</v>
      </c>
      <c r="S25" s="241">
        <f t="shared" si="2"/>
        <v>49840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1"/>
        <v>0</v>
      </c>
      <c r="J26" s="231"/>
      <c r="K26" s="301">
        <v>45757</v>
      </c>
      <c r="L26" s="27"/>
      <c r="M26" s="27">
        <v>40</v>
      </c>
      <c r="N26" s="27"/>
      <c r="O26" s="27"/>
      <c r="P26" s="27"/>
      <c r="Q26" s="27"/>
      <c r="R26" s="25">
        <v>623</v>
      </c>
      <c r="S26" s="241">
        <f t="shared" si="2"/>
        <v>24920</v>
      </c>
    </row>
    <row r="27" spans="1:19" x14ac:dyDescent="0.25">
      <c r="A27" s="24" t="s">
        <v>150</v>
      </c>
      <c r="B27" s="27"/>
      <c r="C27" s="27">
        <v>402</v>
      </c>
      <c r="D27" s="27"/>
      <c r="E27" s="27"/>
      <c r="F27" s="27"/>
      <c r="G27" s="27"/>
      <c r="H27" s="25">
        <v>623</v>
      </c>
      <c r="I27" s="25">
        <f t="shared" si="1"/>
        <v>250446</v>
      </c>
      <c r="J27" s="231"/>
      <c r="K27" s="301" t="s">
        <v>150</v>
      </c>
      <c r="L27" s="27"/>
      <c r="M27" s="27">
        <v>100</v>
      </c>
      <c r="N27" s="27"/>
      <c r="O27" s="27"/>
      <c r="P27" s="27"/>
      <c r="Q27" s="27"/>
      <c r="R27" s="25">
        <v>623</v>
      </c>
      <c r="S27" s="241">
        <f t="shared" si="2"/>
        <v>62300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1"/>
        <v>0</v>
      </c>
      <c r="J28" s="231"/>
      <c r="K28" s="301">
        <v>45762</v>
      </c>
      <c r="L28" s="27"/>
      <c r="M28" s="27">
        <v>20</v>
      </c>
      <c r="N28" s="27"/>
      <c r="O28" s="27"/>
      <c r="P28" s="27"/>
      <c r="Q28" s="27"/>
      <c r="R28" s="25">
        <v>623</v>
      </c>
      <c r="S28" s="241">
        <f t="shared" si="2"/>
        <v>12460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1"/>
        <v>0</v>
      </c>
      <c r="J29" s="231"/>
      <c r="K29" s="301">
        <v>45763</v>
      </c>
      <c r="L29" s="27"/>
      <c r="M29" s="27">
        <v>20</v>
      </c>
      <c r="N29" s="27"/>
      <c r="O29" s="27"/>
      <c r="P29" s="27"/>
      <c r="Q29" s="27"/>
      <c r="R29" s="25">
        <v>623</v>
      </c>
      <c r="S29" s="241">
        <f t="shared" si="2"/>
        <v>12460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1"/>
        <v>0</v>
      </c>
      <c r="J30" s="231"/>
      <c r="K30" s="301">
        <v>45764</v>
      </c>
      <c r="L30" s="27"/>
      <c r="M30" s="27">
        <v>20</v>
      </c>
      <c r="N30" s="27"/>
      <c r="O30" s="27"/>
      <c r="P30" s="27"/>
      <c r="Q30" s="27"/>
      <c r="R30" s="25">
        <v>623</v>
      </c>
      <c r="S30" s="241">
        <f t="shared" si="2"/>
        <v>12460</v>
      </c>
    </row>
    <row r="31" spans="1:19" ht="16.5" thickBot="1" x14ac:dyDescent="0.3">
      <c r="A31" s="24"/>
      <c r="B31" s="27"/>
      <c r="C31" s="27"/>
      <c r="D31" s="27"/>
      <c r="E31" s="27"/>
      <c r="F31" s="27"/>
      <c r="G31" s="27"/>
      <c r="H31" s="25"/>
      <c r="I31" s="25">
        <f t="shared" si="1"/>
        <v>0</v>
      </c>
      <c r="J31" s="231"/>
      <c r="K31" s="306">
        <v>45765</v>
      </c>
      <c r="L31" s="124"/>
      <c r="M31" s="124">
        <v>40</v>
      </c>
      <c r="N31" s="124"/>
      <c r="O31" s="124"/>
      <c r="P31" s="124"/>
      <c r="Q31" s="124"/>
      <c r="R31" s="125">
        <v>623</v>
      </c>
      <c r="S31" s="243">
        <f t="shared" si="2"/>
        <v>24920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1"/>
        <v>0</v>
      </c>
      <c r="J32" s="231"/>
      <c r="K32" s="236">
        <v>45768</v>
      </c>
      <c r="L32" s="237"/>
      <c r="M32" s="237">
        <v>60</v>
      </c>
      <c r="N32" s="237"/>
      <c r="O32" s="237"/>
      <c r="P32" s="237"/>
      <c r="Q32" s="237"/>
      <c r="R32" s="238">
        <v>623</v>
      </c>
      <c r="S32" s="239">
        <f t="shared" si="2"/>
        <v>37380</v>
      </c>
    </row>
    <row r="33" spans="1:19" x14ac:dyDescent="0.25">
      <c r="A33" s="24"/>
      <c r="B33" s="27"/>
      <c r="C33" s="27"/>
      <c r="D33" s="27"/>
      <c r="E33" s="27"/>
      <c r="F33" s="27"/>
      <c r="G33" s="27"/>
      <c r="H33" s="25"/>
      <c r="I33" s="25">
        <f t="shared" si="1"/>
        <v>0</v>
      </c>
      <c r="J33" s="231"/>
      <c r="K33" s="301">
        <v>45769</v>
      </c>
      <c r="L33" s="27"/>
      <c r="M33" s="27">
        <v>40</v>
      </c>
      <c r="N33" s="27"/>
      <c r="O33" s="27"/>
      <c r="P33" s="27"/>
      <c r="Q33" s="27"/>
      <c r="R33" s="25">
        <v>623</v>
      </c>
      <c r="S33" s="241">
        <f t="shared" si="2"/>
        <v>24920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1"/>
        <v>0</v>
      </c>
      <c r="J34" s="231"/>
      <c r="K34" s="301">
        <v>45770</v>
      </c>
      <c r="L34" s="27"/>
      <c r="M34" s="27">
        <v>40</v>
      </c>
      <c r="N34" s="27"/>
      <c r="O34" s="27"/>
      <c r="P34" s="27"/>
      <c r="Q34" s="27"/>
      <c r="R34" s="25">
        <v>623</v>
      </c>
      <c r="S34" s="241">
        <f t="shared" si="2"/>
        <v>24920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1"/>
        <v>0</v>
      </c>
      <c r="J35" s="231"/>
      <c r="K35" s="301"/>
      <c r="L35" s="27">
        <v>50</v>
      </c>
      <c r="M35" s="27"/>
      <c r="N35" s="27"/>
      <c r="O35" s="27"/>
      <c r="P35" s="27"/>
      <c r="Q35" s="27"/>
      <c r="R35" s="25">
        <v>60</v>
      </c>
      <c r="S35" s="241">
        <f t="shared" si="2"/>
        <v>3000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1"/>
        <v>0</v>
      </c>
      <c r="J36" s="231"/>
      <c r="K36" s="301">
        <v>45771</v>
      </c>
      <c r="L36" s="27">
        <v>50</v>
      </c>
      <c r="M36" s="27"/>
      <c r="N36" s="27"/>
      <c r="O36" s="27"/>
      <c r="P36" s="27"/>
      <c r="Q36" s="27"/>
      <c r="R36" s="25">
        <v>60</v>
      </c>
      <c r="S36" s="241">
        <f t="shared" si="2"/>
        <v>3000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1"/>
        <v>0</v>
      </c>
      <c r="J37" s="231"/>
      <c r="K37" s="301">
        <v>45772</v>
      </c>
      <c r="L37" s="27"/>
      <c r="M37" s="27">
        <v>20</v>
      </c>
      <c r="N37" s="27"/>
      <c r="O37" s="27"/>
      <c r="P37" s="27"/>
      <c r="Q37" s="27"/>
      <c r="R37" s="25">
        <v>623</v>
      </c>
      <c r="S37" s="241">
        <f t="shared" si="2"/>
        <v>12460</v>
      </c>
    </row>
    <row r="38" spans="1:19" x14ac:dyDescent="0.25">
      <c r="A38" s="24"/>
      <c r="B38" s="27"/>
      <c r="C38" s="27"/>
      <c r="D38" s="27"/>
      <c r="E38" s="27"/>
      <c r="F38" s="27"/>
      <c r="G38" s="27"/>
      <c r="H38" s="25"/>
      <c r="I38" s="25">
        <f t="shared" si="1"/>
        <v>0</v>
      </c>
      <c r="J38" s="231"/>
      <c r="K38" s="301">
        <v>45776</v>
      </c>
      <c r="L38" s="27"/>
      <c r="M38" s="27">
        <v>100</v>
      </c>
      <c r="N38" s="27"/>
      <c r="O38" s="27"/>
      <c r="P38" s="27"/>
      <c r="Q38" s="27"/>
      <c r="R38" s="25">
        <v>623</v>
      </c>
      <c r="S38" s="241">
        <f t="shared" si="2"/>
        <v>62300</v>
      </c>
    </row>
    <row r="39" spans="1:19" ht="16.5" thickBot="1" x14ac:dyDescent="0.3">
      <c r="A39" s="24"/>
      <c r="B39" s="27"/>
      <c r="C39" s="27"/>
      <c r="D39" s="27"/>
      <c r="E39" s="27"/>
      <c r="F39" s="27"/>
      <c r="G39" s="27"/>
      <c r="H39" s="25"/>
      <c r="I39" s="25">
        <f t="shared" si="1"/>
        <v>0</v>
      </c>
      <c r="J39" s="231"/>
      <c r="K39" s="306">
        <v>45777</v>
      </c>
      <c r="L39" s="124"/>
      <c r="M39" s="124">
        <v>18</v>
      </c>
      <c r="N39" s="124"/>
      <c r="O39" s="124"/>
      <c r="P39" s="124"/>
      <c r="Q39" s="124"/>
      <c r="R39" s="125">
        <v>623</v>
      </c>
      <c r="S39" s="243">
        <f t="shared" si="2"/>
        <v>11214</v>
      </c>
    </row>
    <row r="40" spans="1:19" ht="16.5" thickBot="1" x14ac:dyDescent="0.3">
      <c r="A40" s="24" t="s">
        <v>156</v>
      </c>
      <c r="B40" s="27"/>
      <c r="C40" s="27">
        <v>405</v>
      </c>
      <c r="D40" s="27"/>
      <c r="E40" s="27"/>
      <c r="F40" s="27"/>
      <c r="G40" s="27"/>
      <c r="H40" s="25">
        <v>623</v>
      </c>
      <c r="I40" s="25">
        <f t="shared" si="1"/>
        <v>252315</v>
      </c>
      <c r="J40" s="30"/>
      <c r="K40" s="122" t="s">
        <v>159</v>
      </c>
      <c r="L40" s="119"/>
      <c r="M40" s="119">
        <v>40</v>
      </c>
      <c r="N40" s="119"/>
      <c r="O40" s="119"/>
      <c r="P40" s="119"/>
      <c r="Q40" s="119"/>
      <c r="R40" s="125">
        <v>623</v>
      </c>
      <c r="S40" s="120">
        <f t="shared" si="2"/>
        <v>24920</v>
      </c>
    </row>
    <row r="41" spans="1:19" ht="16.5" thickBot="1" x14ac:dyDescent="0.3">
      <c r="A41" s="24"/>
      <c r="B41" s="27"/>
      <c r="C41" s="27"/>
      <c r="D41" s="27"/>
      <c r="E41" s="27"/>
      <c r="F41" s="27"/>
      <c r="G41" s="27"/>
      <c r="H41" s="25"/>
      <c r="I41" s="25">
        <f t="shared" si="1"/>
        <v>0</v>
      </c>
      <c r="J41" s="30"/>
      <c r="K41" s="122" t="s">
        <v>160</v>
      </c>
      <c r="L41" s="27"/>
      <c r="M41" s="27">
        <v>20</v>
      </c>
      <c r="N41" s="27"/>
      <c r="O41" s="27"/>
      <c r="P41" s="27"/>
      <c r="Q41" s="27"/>
      <c r="R41" s="125">
        <v>623</v>
      </c>
      <c r="S41" s="25">
        <f t="shared" si="2"/>
        <v>12460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1"/>
        <v>0</v>
      </c>
      <c r="J42" s="30"/>
      <c r="K42" s="122" t="s">
        <v>161</v>
      </c>
      <c r="L42" s="27"/>
      <c r="M42" s="27">
        <v>20</v>
      </c>
      <c r="N42" s="27"/>
      <c r="O42" s="27"/>
      <c r="P42" s="27"/>
      <c r="Q42" s="27"/>
      <c r="R42" s="125">
        <v>623</v>
      </c>
      <c r="S42" s="25">
        <f t="shared" si="2"/>
        <v>12460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1"/>
        <v>0</v>
      </c>
      <c r="J43" s="30"/>
      <c r="K43" s="122" t="s">
        <v>163</v>
      </c>
      <c r="L43" s="27"/>
      <c r="M43" s="27">
        <v>20</v>
      </c>
      <c r="N43" s="27"/>
      <c r="O43" s="27"/>
      <c r="P43" s="27"/>
      <c r="Q43" s="27"/>
      <c r="R43" s="125">
        <v>623</v>
      </c>
      <c r="S43" s="25">
        <f t="shared" si="2"/>
        <v>12460</v>
      </c>
    </row>
    <row r="44" spans="1:19" ht="16.5" thickBot="1" x14ac:dyDescent="0.3">
      <c r="A44" s="24"/>
      <c r="B44" s="27"/>
      <c r="C44" s="27"/>
      <c r="D44" s="27"/>
      <c r="E44" s="27"/>
      <c r="F44" s="27"/>
      <c r="G44" s="27"/>
      <c r="H44" s="25"/>
      <c r="I44" s="25">
        <f t="shared" si="1"/>
        <v>0</v>
      </c>
      <c r="J44" s="30"/>
      <c r="K44" s="24" t="s">
        <v>166</v>
      </c>
      <c r="L44" s="27"/>
      <c r="M44" s="27">
        <v>20</v>
      </c>
      <c r="N44" s="27"/>
      <c r="O44" s="27"/>
      <c r="P44" s="27"/>
      <c r="Q44" s="27"/>
      <c r="R44" s="125">
        <v>623</v>
      </c>
      <c r="S44" s="25">
        <f t="shared" si="2"/>
        <v>12460</v>
      </c>
    </row>
    <row r="45" spans="1:19" ht="16.5" thickBot="1" x14ac:dyDescent="0.3">
      <c r="A45" s="24"/>
      <c r="B45" s="27"/>
      <c r="C45" s="27"/>
      <c r="D45" s="27"/>
      <c r="E45" s="27"/>
      <c r="F45" s="27"/>
      <c r="G45" s="27"/>
      <c r="H45" s="25"/>
      <c r="I45" s="25">
        <f t="shared" si="1"/>
        <v>0</v>
      </c>
      <c r="J45" s="30"/>
      <c r="K45" s="24" t="s">
        <v>168</v>
      </c>
      <c r="L45" s="27"/>
      <c r="M45" s="27">
        <v>30</v>
      </c>
      <c r="N45" s="27"/>
      <c r="O45" s="27"/>
      <c r="P45" s="27"/>
      <c r="Q45" s="27"/>
      <c r="R45" s="125">
        <v>623</v>
      </c>
      <c r="S45" s="25">
        <f t="shared" si="2"/>
        <v>18690</v>
      </c>
    </row>
    <row r="46" spans="1:19" ht="16.5" thickBot="1" x14ac:dyDescent="0.3">
      <c r="A46" s="24"/>
      <c r="B46" s="27"/>
      <c r="C46" s="27"/>
      <c r="D46" s="27"/>
      <c r="E46" s="27"/>
      <c r="F46" s="27"/>
      <c r="G46" s="27"/>
      <c r="H46" s="25"/>
      <c r="I46" s="25">
        <f t="shared" si="1"/>
        <v>0</v>
      </c>
      <c r="J46" s="30"/>
      <c r="K46" s="24" t="s">
        <v>174</v>
      </c>
      <c r="L46" s="27"/>
      <c r="M46" s="27">
        <v>20</v>
      </c>
      <c r="N46" s="27"/>
      <c r="O46" s="27"/>
      <c r="P46" s="27"/>
      <c r="Q46" s="27"/>
      <c r="R46" s="125">
        <v>623</v>
      </c>
      <c r="S46" s="25">
        <f t="shared" si="2"/>
        <v>12460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/>
      <c r="J47" s="30"/>
      <c r="K47" s="24" t="s">
        <v>177</v>
      </c>
      <c r="L47" s="27"/>
      <c r="M47" s="27">
        <v>30</v>
      </c>
      <c r="N47" s="27"/>
      <c r="O47" s="27"/>
      <c r="P47" s="27"/>
      <c r="Q47" s="27"/>
      <c r="R47" s="125">
        <v>623</v>
      </c>
      <c r="S47" s="25">
        <f t="shared" si="2"/>
        <v>18690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/>
      <c r="J48" s="30"/>
      <c r="K48" s="24"/>
      <c r="L48" s="27"/>
      <c r="M48" s="27"/>
      <c r="N48" s="27"/>
      <c r="O48" s="27"/>
      <c r="P48" s="27"/>
      <c r="Q48" s="27"/>
      <c r="R48" s="159"/>
      <c r="S48" s="25">
        <f t="shared" si="2"/>
        <v>0</v>
      </c>
    </row>
    <row r="49" spans="1:19" x14ac:dyDescent="0.25">
      <c r="A49" s="24"/>
      <c r="B49" s="27"/>
      <c r="C49" s="27"/>
      <c r="D49" s="27"/>
      <c r="E49" s="27"/>
      <c r="F49" s="27"/>
      <c r="G49" s="27"/>
      <c r="H49" s="25"/>
      <c r="I49" s="25">
        <f t="shared" si="1"/>
        <v>0</v>
      </c>
      <c r="J49" s="30"/>
      <c r="K49" s="24"/>
      <c r="L49" s="27"/>
      <c r="M49" s="27"/>
      <c r="N49" s="27"/>
      <c r="O49" s="27"/>
      <c r="P49" s="27"/>
      <c r="Q49" s="27"/>
      <c r="R49" s="25"/>
      <c r="S49" s="25">
        <f t="shared" si="2"/>
        <v>0</v>
      </c>
    </row>
    <row r="50" spans="1:19" x14ac:dyDescent="0.25">
      <c r="A50" s="24"/>
      <c r="B50" s="27">
        <f>SUM(B3:B49)</f>
        <v>1000</v>
      </c>
      <c r="C50" s="27">
        <f>SUM(C3:C49)</f>
        <v>1758</v>
      </c>
      <c r="D50" s="27">
        <f>SUM(D3:D49)</f>
        <v>0</v>
      </c>
      <c r="E50" s="27">
        <f t="shared" ref="E50:H50" si="4">SUM(E3:E49)</f>
        <v>0</v>
      </c>
      <c r="F50" s="27">
        <f t="shared" si="4"/>
        <v>0</v>
      </c>
      <c r="G50" s="27">
        <f t="shared" si="4"/>
        <v>0</v>
      </c>
      <c r="H50" s="27">
        <f t="shared" si="4"/>
        <v>3920</v>
      </c>
      <c r="I50" s="25">
        <f>SUM(I3:I49)</f>
        <v>1080084</v>
      </c>
      <c r="J50" s="30"/>
      <c r="K50" s="24"/>
      <c r="L50" s="27">
        <f>SUM(L3:L49)</f>
        <v>250</v>
      </c>
      <c r="M50" s="27">
        <f t="shared" ref="M50:Q50" si="5">SUM(M3:M49)</f>
        <v>1548</v>
      </c>
      <c r="N50" s="27">
        <f t="shared" si="5"/>
        <v>0</v>
      </c>
      <c r="O50" s="27">
        <f t="shared" si="5"/>
        <v>0</v>
      </c>
      <c r="P50" s="27">
        <f t="shared" si="5"/>
        <v>0</v>
      </c>
      <c r="Q50" s="27">
        <f t="shared" si="5"/>
        <v>0</v>
      </c>
      <c r="R50" s="25"/>
      <c r="S50" s="25">
        <f t="shared" si="2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20"/>
  <sheetViews>
    <sheetView workbookViewId="0">
      <pane ySplit="1" topLeftCell="A2" activePane="bottomLeft" state="frozen"/>
      <selection pane="bottomLeft" activeCell="Q15" sqref="Q15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9.7109375" style="26" customWidth="1"/>
    <col min="14" max="14" width="9.28515625" style="26" customWidth="1"/>
    <col min="15" max="16" width="9.7109375" style="26" customWidth="1"/>
    <col min="17" max="17" width="10.140625" style="26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1.7109375" style="26" customWidth="1"/>
    <col min="23" max="23" width="12" style="26" customWidth="1"/>
    <col min="24" max="24" width="11.5703125" style="26" bestFit="1" customWidth="1"/>
    <col min="25" max="25" width="9.7109375" style="26" customWidth="1"/>
    <col min="26" max="26" width="10" style="26" customWidth="1"/>
    <col min="27" max="27" width="16.140625" style="26" customWidth="1"/>
    <col min="28" max="16384" width="8.85546875" style="26"/>
  </cols>
  <sheetData>
    <row r="1" spans="1:30" s="60" customFormat="1" ht="61.15" customHeight="1" x14ac:dyDescent="0.25">
      <c r="A1" s="57" t="s">
        <v>17</v>
      </c>
      <c r="B1" s="111" t="s">
        <v>68</v>
      </c>
      <c r="C1" s="111" t="s">
        <v>72</v>
      </c>
      <c r="D1" s="111" t="s">
        <v>58</v>
      </c>
      <c r="E1" s="111" t="s">
        <v>59</v>
      </c>
      <c r="F1" s="111" t="s">
        <v>60</v>
      </c>
      <c r="G1" s="111" t="s">
        <v>54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111" t="s">
        <v>68</v>
      </c>
      <c r="N1" s="111" t="s">
        <v>72</v>
      </c>
      <c r="O1" s="111" t="s">
        <v>58</v>
      </c>
      <c r="P1" s="111" t="s">
        <v>59</v>
      </c>
      <c r="Q1" s="111" t="s">
        <v>60</v>
      </c>
      <c r="R1" s="111" t="s">
        <v>54</v>
      </c>
      <c r="S1" s="58" t="s">
        <v>18</v>
      </c>
      <c r="T1" s="58" t="s">
        <v>19</v>
      </c>
      <c r="U1" s="59"/>
      <c r="V1" s="111" t="s">
        <v>68</v>
      </c>
      <c r="W1" s="111" t="s">
        <v>72</v>
      </c>
      <c r="X1" s="111" t="s">
        <v>58</v>
      </c>
      <c r="Y1" s="111" t="s">
        <v>59</v>
      </c>
      <c r="Z1" s="111" t="s">
        <v>60</v>
      </c>
      <c r="AA1" s="111" t="s">
        <v>49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45595</v>
      </c>
      <c r="B3" s="27">
        <v>3</v>
      </c>
      <c r="C3" s="27"/>
      <c r="D3" s="27"/>
      <c r="E3" s="27"/>
      <c r="F3" s="27"/>
      <c r="G3" s="27"/>
      <c r="H3" s="112">
        <v>450</v>
      </c>
      <c r="I3" s="25">
        <f>B3*H3+C3*H3+D3*H3+E3*H3+F3*H3+G3*H3</f>
        <v>1350</v>
      </c>
      <c r="J3" s="30"/>
      <c r="K3" s="28"/>
      <c r="L3" s="24"/>
      <c r="M3" s="27"/>
      <c r="N3" s="27"/>
      <c r="O3" s="27"/>
      <c r="P3" s="27"/>
      <c r="Q3" s="27"/>
      <c r="R3" s="27"/>
      <c r="S3" s="25"/>
      <c r="T3" s="25">
        <f>M3*S3+N3*S3+O3*S3+P3*S3+Q3*S3+R3*S3</f>
        <v>0</v>
      </c>
      <c r="V3" s="112">
        <v>450</v>
      </c>
      <c r="W3" s="148">
        <v>118</v>
      </c>
      <c r="X3" s="25"/>
      <c r="Y3" s="25"/>
      <c r="Z3" s="25"/>
      <c r="AA3" s="25"/>
      <c r="AB3" s="25"/>
      <c r="AC3" s="29"/>
    </row>
    <row r="4" spans="1:30" x14ac:dyDescent="0.25">
      <c r="A4" s="28">
        <v>45596</v>
      </c>
      <c r="B4" s="27"/>
      <c r="C4" s="27">
        <v>20</v>
      </c>
      <c r="D4" s="27"/>
      <c r="E4" s="27"/>
      <c r="F4" s="27"/>
      <c r="G4" s="27"/>
      <c r="H4" s="25">
        <v>118</v>
      </c>
      <c r="I4" s="25">
        <f t="shared" ref="I4:I19" si="1">B4*H4+C4*H4+D4*H4+E4*H4+F4*H4+G4*H4</f>
        <v>2360</v>
      </c>
      <c r="J4" s="30"/>
      <c r="K4" s="28">
        <v>45596</v>
      </c>
      <c r="L4" s="24" t="s">
        <v>47</v>
      </c>
      <c r="M4" s="27"/>
      <c r="N4" s="27">
        <v>5</v>
      </c>
      <c r="O4" s="27"/>
      <c r="P4" s="27"/>
      <c r="Q4" s="27"/>
      <c r="R4" s="27"/>
      <c r="S4" s="112">
        <v>118</v>
      </c>
      <c r="T4" s="25">
        <f t="shared" ref="T4:T18" si="2">M4*S4+N4*S4+O4*S4+P4*S4+Q4*S4+R4*S4</f>
        <v>590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45597</v>
      </c>
      <c r="L5" s="24" t="s">
        <v>47</v>
      </c>
      <c r="M5" s="27">
        <v>3</v>
      </c>
      <c r="N5" s="27"/>
      <c r="O5" s="27"/>
      <c r="P5" s="27"/>
      <c r="Q5" s="27"/>
      <c r="R5" s="27"/>
      <c r="S5" s="25">
        <v>450</v>
      </c>
      <c r="T5" s="25">
        <f t="shared" si="2"/>
        <v>1350</v>
      </c>
    </row>
    <row r="6" spans="1:30" x14ac:dyDescent="0.25">
      <c r="A6" s="28">
        <v>45607</v>
      </c>
      <c r="B6" s="27"/>
      <c r="C6" s="27">
        <v>30</v>
      </c>
      <c r="D6" s="27"/>
      <c r="E6" s="27"/>
      <c r="F6" s="27"/>
      <c r="G6" s="27"/>
      <c r="H6" s="25">
        <v>115.998</v>
      </c>
      <c r="I6" s="25">
        <f t="shared" si="1"/>
        <v>3479.94</v>
      </c>
      <c r="J6" s="30"/>
      <c r="K6" s="28">
        <v>45607</v>
      </c>
      <c r="L6" s="24" t="s">
        <v>47</v>
      </c>
      <c r="M6" s="27"/>
      <c r="N6" s="27">
        <v>30</v>
      </c>
      <c r="O6" s="27"/>
      <c r="P6" s="27"/>
      <c r="Q6" s="27"/>
      <c r="R6" s="27"/>
      <c r="S6" s="112">
        <v>116</v>
      </c>
      <c r="T6" s="25">
        <f t="shared" si="2"/>
        <v>3480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4"/>
      <c r="L7" s="24" t="s">
        <v>47</v>
      </c>
      <c r="M7" s="27"/>
      <c r="N7" s="141">
        <v>15</v>
      </c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/>
      <c r="M8" s="27"/>
      <c r="N8" s="27"/>
      <c r="O8" s="27"/>
      <c r="P8" s="27"/>
      <c r="Q8" s="27"/>
      <c r="R8" s="27"/>
      <c r="S8" s="112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/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4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/>
    </row>
    <row r="20" spans="1:20" x14ac:dyDescent="0.25">
      <c r="A20" s="24"/>
      <c r="B20" s="27">
        <f>SUM(B3:B19)</f>
        <v>3</v>
      </c>
      <c r="C20" s="27">
        <f>SUM(C3:C19)</f>
        <v>50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683.99800000000005</v>
      </c>
      <c r="I20" s="25">
        <f>SUM(I3:I19)</f>
        <v>7189.9400000000005</v>
      </c>
      <c r="J20" s="30"/>
      <c r="K20" s="24"/>
      <c r="L20" s="24"/>
      <c r="M20" s="27">
        <f>SUM(M3:M19)</f>
        <v>3</v>
      </c>
      <c r="N20" s="27">
        <f t="shared" ref="N20:R20" si="5">SUM(N3:N19)</f>
        <v>50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0"/>
  <sheetViews>
    <sheetView workbookViewId="0">
      <pane ySplit="1" topLeftCell="A2" activePane="bottomLeft" state="frozen"/>
      <selection pane="bottomLeft" activeCell="L26" sqref="L26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90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90</v>
      </c>
      <c r="I1" s="58" t="s">
        <v>18</v>
      </c>
      <c r="J1" s="58" t="s">
        <v>19</v>
      </c>
      <c r="K1" s="59"/>
      <c r="L1" s="59"/>
      <c r="M1" s="57" t="s">
        <v>90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150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>
        <v>45643</v>
      </c>
      <c r="B3" s="27">
        <v>75</v>
      </c>
      <c r="C3" s="25">
        <v>604.99199999999996</v>
      </c>
      <c r="D3" s="25">
        <f>B3*C3</f>
        <v>45374.399999999994</v>
      </c>
      <c r="E3" s="30"/>
      <c r="F3" s="28"/>
      <c r="G3" s="24"/>
      <c r="H3" s="27"/>
      <c r="I3" s="25"/>
      <c r="J3" s="25"/>
      <c r="M3" s="25">
        <v>498</v>
      </c>
      <c r="N3" s="25"/>
      <c r="O3" s="25"/>
      <c r="P3" s="25"/>
      <c r="Q3" s="25"/>
      <c r="R3" s="29"/>
      <c r="S3" s="29"/>
      <c r="T3" s="29"/>
    </row>
    <row r="4" spans="1:21" x14ac:dyDescent="0.25">
      <c r="A4" s="24"/>
      <c r="B4" s="27"/>
      <c r="C4" s="25"/>
      <c r="D4" s="25">
        <f t="shared" ref="D4:D8" si="0">B4*C4</f>
        <v>0</v>
      </c>
      <c r="E4" s="30"/>
      <c r="F4" s="28">
        <v>45644</v>
      </c>
      <c r="G4" s="24" t="s">
        <v>47</v>
      </c>
      <c r="H4" s="27">
        <v>25</v>
      </c>
      <c r="I4" s="25">
        <v>604.99199999999996</v>
      </c>
      <c r="J4" s="25">
        <f>H4*I4</f>
        <v>15124.8</v>
      </c>
      <c r="M4" s="25">
        <f>M2*M3</f>
        <v>74700</v>
      </c>
      <c r="N4" s="25"/>
      <c r="O4" s="25"/>
      <c r="P4" s="25"/>
      <c r="Q4" s="25"/>
      <c r="R4" s="29"/>
      <c r="S4" s="29"/>
      <c r="T4" s="29"/>
    </row>
    <row r="5" spans="1:21" x14ac:dyDescent="0.25">
      <c r="A5" s="169">
        <v>45699</v>
      </c>
      <c r="B5" s="137">
        <v>0</v>
      </c>
      <c r="C5" s="25">
        <v>604.99199999999996</v>
      </c>
      <c r="D5" s="25">
        <f t="shared" si="0"/>
        <v>0</v>
      </c>
      <c r="E5" s="30"/>
      <c r="F5" s="28"/>
      <c r="G5" s="24"/>
      <c r="H5" s="27"/>
      <c r="I5" s="25"/>
      <c r="J5" s="25">
        <f t="shared" ref="J5:J19" si="1">H5*I5</f>
        <v>0</v>
      </c>
      <c r="K5" s="337" t="s">
        <v>155</v>
      </c>
    </row>
    <row r="6" spans="1:21" ht="16.5" thickBot="1" x14ac:dyDescent="0.3">
      <c r="A6" s="24"/>
      <c r="B6" s="27"/>
      <c r="C6" s="25"/>
      <c r="D6" s="25">
        <f t="shared" si="0"/>
        <v>0</v>
      </c>
      <c r="E6" s="30"/>
      <c r="F6" s="232">
        <v>45706</v>
      </c>
      <c r="G6" s="157"/>
      <c r="H6" s="158">
        <v>50</v>
      </c>
      <c r="I6" s="159">
        <v>604.99199999999996</v>
      </c>
      <c r="J6" s="159">
        <f t="shared" si="1"/>
        <v>30249.599999999999</v>
      </c>
      <c r="K6" s="136"/>
    </row>
    <row r="7" spans="1:21" x14ac:dyDescent="0.25">
      <c r="A7" s="24"/>
      <c r="B7" s="27"/>
      <c r="C7" s="25"/>
      <c r="D7" s="25">
        <f t="shared" si="0"/>
        <v>0</v>
      </c>
      <c r="E7" s="231"/>
      <c r="F7" s="298">
        <v>45720</v>
      </c>
      <c r="G7" s="256"/>
      <c r="H7" s="237">
        <v>25</v>
      </c>
      <c r="I7" s="238">
        <v>604.99199999999996</v>
      </c>
      <c r="J7" s="239">
        <f t="shared" si="1"/>
        <v>15124.8</v>
      </c>
      <c r="K7" s="297"/>
    </row>
    <row r="8" spans="1:21" ht="16.5" thickBot="1" x14ac:dyDescent="0.3">
      <c r="A8" s="28">
        <v>45730</v>
      </c>
      <c r="B8" s="27">
        <v>150</v>
      </c>
      <c r="C8" s="25">
        <v>498</v>
      </c>
      <c r="D8" s="25">
        <f t="shared" si="0"/>
        <v>74700</v>
      </c>
      <c r="E8" s="231"/>
      <c r="F8" s="242"/>
      <c r="G8" s="123"/>
      <c r="H8" s="124"/>
      <c r="I8" s="125"/>
      <c r="J8" s="243">
        <f t="shared" si="1"/>
        <v>0</v>
      </c>
      <c r="K8" s="297"/>
    </row>
    <row r="9" spans="1:21" ht="16.5" thickBot="1" x14ac:dyDescent="0.3">
      <c r="A9" s="24"/>
      <c r="B9" s="27"/>
      <c r="C9" s="25"/>
      <c r="D9" s="25"/>
      <c r="E9" s="231"/>
      <c r="F9" s="276">
        <v>45736</v>
      </c>
      <c r="G9" s="252"/>
      <c r="H9" s="253">
        <v>25</v>
      </c>
      <c r="I9" s="254">
        <v>604.99199999999996</v>
      </c>
      <c r="J9" s="255">
        <f t="shared" si="1"/>
        <v>15124.8</v>
      </c>
      <c r="K9" s="297"/>
    </row>
    <row r="10" spans="1:21" ht="16.5" thickBot="1" x14ac:dyDescent="0.3">
      <c r="A10" s="166" t="s">
        <v>145</v>
      </c>
      <c r="B10" s="167"/>
      <c r="C10" s="168"/>
      <c r="D10" s="168"/>
      <c r="E10" s="168"/>
      <c r="F10" s="331"/>
      <c r="G10" s="332"/>
      <c r="H10" s="333"/>
      <c r="I10" s="327"/>
      <c r="J10" s="327">
        <f t="shared" si="1"/>
        <v>0</v>
      </c>
      <c r="K10" s="27"/>
    </row>
    <row r="11" spans="1:21" ht="16.5" thickBot="1" x14ac:dyDescent="0.3">
      <c r="A11" s="24"/>
      <c r="B11" s="27"/>
      <c r="C11" s="25"/>
      <c r="D11" s="25"/>
      <c r="E11" s="231"/>
      <c r="F11" s="276">
        <v>45751</v>
      </c>
      <c r="G11" s="252"/>
      <c r="H11" s="253">
        <v>25</v>
      </c>
      <c r="I11" s="254">
        <v>604.99199999999996</v>
      </c>
      <c r="J11" s="255">
        <f t="shared" si="1"/>
        <v>15124.8</v>
      </c>
    </row>
    <row r="12" spans="1:21" ht="16.5" thickBot="1" x14ac:dyDescent="0.3">
      <c r="A12" s="24"/>
      <c r="B12" s="27"/>
      <c r="C12" s="25"/>
      <c r="D12" s="25"/>
      <c r="E12" s="231"/>
      <c r="F12" s="276">
        <v>45762</v>
      </c>
      <c r="G12" s="252"/>
      <c r="H12" s="253">
        <v>25</v>
      </c>
      <c r="I12" s="254">
        <v>604.99</v>
      </c>
      <c r="J12" s="255">
        <f t="shared" si="1"/>
        <v>15124.75</v>
      </c>
    </row>
    <row r="13" spans="1:21" ht="16.5" thickBot="1" x14ac:dyDescent="0.3">
      <c r="A13" s="24"/>
      <c r="B13" s="27"/>
      <c r="C13" s="25"/>
      <c r="D13" s="25"/>
      <c r="E13" s="231"/>
      <c r="F13" s="276">
        <v>45775</v>
      </c>
      <c r="G13" s="252"/>
      <c r="H13" s="253">
        <v>25</v>
      </c>
      <c r="I13" s="254">
        <v>604.99</v>
      </c>
      <c r="J13" s="255">
        <f t="shared" si="1"/>
        <v>15124.75</v>
      </c>
    </row>
    <row r="14" spans="1:21" x14ac:dyDescent="0.25">
      <c r="A14" s="166" t="s">
        <v>175</v>
      </c>
      <c r="B14" s="141"/>
      <c r="C14" s="148"/>
      <c r="D14" s="148"/>
      <c r="E14" s="148"/>
      <c r="F14" s="359"/>
      <c r="G14" s="359"/>
      <c r="H14" s="360"/>
      <c r="I14" s="361"/>
      <c r="J14" s="361">
        <f t="shared" si="1"/>
        <v>0</v>
      </c>
    </row>
    <row r="15" spans="1:21" x14ac:dyDescent="0.25">
      <c r="A15" s="24" t="s">
        <v>174</v>
      </c>
      <c r="B15" s="27">
        <v>150</v>
      </c>
      <c r="C15" s="25">
        <v>471.22</v>
      </c>
      <c r="D15" s="25">
        <f>B15*C15</f>
        <v>70683</v>
      </c>
      <c r="E15" s="30"/>
      <c r="F15" s="24" t="s">
        <v>178</v>
      </c>
      <c r="G15" s="24"/>
      <c r="H15" s="27">
        <v>25</v>
      </c>
      <c r="I15" s="25">
        <v>498</v>
      </c>
      <c r="J15" s="25">
        <f t="shared" si="1"/>
        <v>12450</v>
      </c>
    </row>
    <row r="16" spans="1:21" x14ac:dyDescent="0.25">
      <c r="A16" s="24"/>
      <c r="B16" s="27"/>
      <c r="C16" s="25"/>
      <c r="D16" s="25">
        <f t="shared" ref="D16:D19" si="2">B16*C16</f>
        <v>0</v>
      </c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>
        <f t="shared" si="2"/>
        <v>0</v>
      </c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>
        <f t="shared" si="2"/>
        <v>0</v>
      </c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>
        <f t="shared" si="2"/>
        <v>0</v>
      </c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375</v>
      </c>
      <c r="C20" s="25"/>
      <c r="D20" s="25"/>
      <c r="E20" s="30"/>
      <c r="F20" s="24"/>
      <c r="G20" s="24"/>
      <c r="H20" s="27">
        <f>SUM(H3:H19)</f>
        <v>225</v>
      </c>
      <c r="I20" s="25"/>
      <c r="J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склад</vt:lpstr>
      <vt:lpstr>Агроимпекс</vt:lpstr>
      <vt:lpstr>ОПТТОРГ</vt:lpstr>
      <vt:lpstr>АгроТрейд</vt:lpstr>
      <vt:lpstr>Академия-Т</vt:lpstr>
      <vt:lpstr>ВМ Ингредиент</vt:lpstr>
      <vt:lpstr>Велторг</vt:lpstr>
      <vt:lpstr>Вито-Хаус</vt:lpstr>
      <vt:lpstr>Доминант</vt:lpstr>
      <vt:lpstr>КрахмалПрод</vt:lpstr>
      <vt:lpstr>РесурсГр</vt:lpstr>
      <vt:lpstr>НьюБио</vt:lpstr>
      <vt:lpstr>Омега Фуд Техн</vt:lpstr>
      <vt:lpstr>Русские мельницы</vt:lpstr>
      <vt:lpstr>Орион</vt:lpstr>
      <vt:lpstr>ЛюксОйл</vt:lpstr>
      <vt:lpstr>ПродАльянс</vt:lpstr>
      <vt:lpstr>отработ масло</vt:lpstr>
      <vt:lpstr>ТД Виктан</vt:lpstr>
      <vt:lpstr>Скип</vt:lpstr>
      <vt:lpstr>СоюзСнаб</vt:lpstr>
      <vt:lpstr>Союзснаб ПдК</vt:lpstr>
      <vt:lpstr>ИП Ким</vt:lpstr>
      <vt:lpstr>чл</vt:lpstr>
      <vt:lpstr>Эко Ресурс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2025-09-10T10:03:55Z</dcterms:modified>
</cp:coreProperties>
</file>