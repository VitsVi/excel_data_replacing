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my_codes\excel_data_replacing\files\"/>
    </mc:Choice>
  </mc:AlternateContent>
  <xr:revisionPtr revIDLastSave="0" documentId="13_ncr:1_{F8263FA3-66C9-4230-9BF3-0435761DD1AC}" xr6:coauthVersionLast="47" xr6:coauthVersionMax="47" xr10:uidLastSave="{00000000-0000-0000-0000-000000000000}"/>
  <bookViews>
    <workbookView xWindow="-23148" yWindow="-108" windowWidth="23256" windowHeight="12456" firstSheet="16" activeTab="23" xr2:uid="{00000000-000D-0000-FFFF-FFFF00000000}"/>
  </bookViews>
  <sheets>
    <sheet name="26.04-28.04" sheetId="1" r:id="rId1"/>
    <sheet name="29.04." sheetId="2" r:id="rId2"/>
    <sheet name="30.04.-04.05." sheetId="3" r:id="rId3"/>
    <sheet name="05.05." sheetId="4" r:id="rId4"/>
    <sheet name="06.05." sheetId="5" r:id="rId5"/>
    <sheet name="07.05" sheetId="6" r:id="rId6"/>
    <sheet name="08.05." sheetId="7" r:id="rId7"/>
    <sheet name="09.05.-11.05." sheetId="8" r:id="rId8"/>
    <sheet name="12.05." sheetId="9" r:id="rId9"/>
    <sheet name="13.05." sheetId="10" r:id="rId10"/>
    <sheet name="14.05." sheetId="11" r:id="rId11"/>
    <sheet name="15.05." sheetId="12" r:id="rId12"/>
    <sheet name="16.05.-18.05." sheetId="13" r:id="rId13"/>
    <sheet name="19.05." sheetId="14" r:id="rId14"/>
    <sheet name="20.05." sheetId="15" r:id="rId15"/>
    <sheet name="22.05." sheetId="17" r:id="rId16"/>
    <sheet name="21.05." sheetId="16" r:id="rId17"/>
    <sheet name="23.05.-25.05." sheetId="18" r:id="rId18"/>
    <sheet name="26.05." sheetId="19" r:id="rId19"/>
    <sheet name="27.05." sheetId="20" r:id="rId20"/>
    <sheet name="28.05." sheetId="21" r:id="rId21"/>
    <sheet name="29.05. " sheetId="22" r:id="rId22"/>
    <sheet name="30.01.-01.06." sheetId="23" r:id="rId23"/>
    <sheet name="02.06.2025" sheetId="24" r:id="rId24"/>
    <sheet name="Лист1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8" roundtripDataChecksum="dpzbBebDSNAItPwHRCfkuxQd2KUQauxcYdSdXxvbvDY="/>
    </ext>
  </extLst>
</workbook>
</file>

<file path=xl/calcChain.xml><?xml version="1.0" encoding="utf-8"?>
<calcChain xmlns="http://schemas.openxmlformats.org/spreadsheetml/2006/main">
  <c r="F58" i="10" l="1"/>
  <c r="F59" i="10"/>
  <c r="C60" i="10"/>
  <c r="G91" i="24" l="1"/>
  <c r="E91" i="24"/>
  <c r="G90" i="24"/>
  <c r="G89" i="24"/>
  <c r="I77" i="24"/>
  <c r="G77" i="24"/>
  <c r="F77" i="24"/>
  <c r="E77" i="24"/>
  <c r="I76" i="24"/>
  <c r="G76" i="24"/>
  <c r="I75" i="24"/>
  <c r="G75" i="24"/>
  <c r="H56" i="24"/>
  <c r="F56" i="24"/>
  <c r="D56" i="24"/>
  <c r="B56" i="24"/>
  <c r="D36" i="24"/>
  <c r="H35" i="24"/>
  <c r="H34" i="24"/>
  <c r="H33" i="24"/>
  <c r="H32" i="24"/>
  <c r="H31" i="24"/>
  <c r="H30" i="24"/>
  <c r="H29" i="24"/>
  <c r="H28" i="24"/>
  <c r="H26" i="24"/>
  <c r="H36" i="24" s="1"/>
  <c r="H25" i="24"/>
  <c r="H24" i="24"/>
  <c r="H23" i="24"/>
  <c r="F13" i="24"/>
  <c r="E13" i="24"/>
  <c r="B80" i="24" s="1"/>
  <c r="I5" i="24"/>
  <c r="I13" i="24" s="1"/>
  <c r="C80" i="24" s="1"/>
  <c r="G5" i="24"/>
  <c r="I4" i="24"/>
  <c r="G4" i="24"/>
  <c r="G13" i="24" s="1"/>
  <c r="E91" i="23"/>
  <c r="G90" i="23"/>
  <c r="G89" i="23"/>
  <c r="G91" i="23" s="1"/>
  <c r="F77" i="23"/>
  <c r="E77" i="23"/>
  <c r="I76" i="23"/>
  <c r="G76" i="23"/>
  <c r="I75" i="23"/>
  <c r="G75" i="23"/>
  <c r="I66" i="23"/>
  <c r="G66" i="23"/>
  <c r="G65" i="23"/>
  <c r="I65" i="23" s="1"/>
  <c r="G64" i="23"/>
  <c r="I64" i="23" s="1"/>
  <c r="G63" i="23"/>
  <c r="I63" i="23" s="1"/>
  <c r="G62" i="23"/>
  <c r="I62" i="23" s="1"/>
  <c r="H56" i="23"/>
  <c r="F56" i="23"/>
  <c r="D56" i="23"/>
  <c r="B56" i="23"/>
  <c r="B57" i="23" s="1"/>
  <c r="D36" i="23"/>
  <c r="H35" i="23"/>
  <c r="H34" i="23"/>
  <c r="H33" i="23"/>
  <c r="H32" i="23"/>
  <c r="H31" i="23"/>
  <c r="H30" i="23"/>
  <c r="H29" i="23"/>
  <c r="H28" i="23"/>
  <c r="H26" i="23"/>
  <c r="H36" i="23" s="1"/>
  <c r="H25" i="23"/>
  <c r="H24" i="23"/>
  <c r="H23" i="23"/>
  <c r="F13" i="23"/>
  <c r="E13" i="23"/>
  <c r="I9" i="23"/>
  <c r="G9" i="23"/>
  <c r="I8" i="23"/>
  <c r="G8" i="23"/>
  <c r="I7" i="23"/>
  <c r="G7" i="23"/>
  <c r="I6" i="23"/>
  <c r="G6" i="23"/>
  <c r="I5" i="23"/>
  <c r="I13" i="23" s="1"/>
  <c r="G5" i="23"/>
  <c r="I4" i="23"/>
  <c r="G4" i="23"/>
  <c r="G13" i="23" s="1"/>
  <c r="F109" i="22"/>
  <c r="F108" i="22"/>
  <c r="E103" i="22"/>
  <c r="G102" i="22"/>
  <c r="G101" i="22"/>
  <c r="G100" i="22"/>
  <c r="G103" i="22" s="1"/>
  <c r="F89" i="22"/>
  <c r="E89" i="22"/>
  <c r="I88" i="22"/>
  <c r="G88" i="22"/>
  <c r="I87" i="22"/>
  <c r="G87" i="22"/>
  <c r="I76" i="22"/>
  <c r="I75" i="22"/>
  <c r="G75" i="22"/>
  <c r="I74" i="22"/>
  <c r="I89" i="22" s="1"/>
  <c r="G74" i="22"/>
  <c r="G89" i="22" s="1"/>
  <c r="H68" i="22"/>
  <c r="F68" i="22"/>
  <c r="D68" i="22"/>
  <c r="B68" i="22"/>
  <c r="B69" i="22" s="1"/>
  <c r="D48" i="22"/>
  <c r="H47" i="22"/>
  <c r="H46" i="22"/>
  <c r="H45" i="22"/>
  <c r="H44" i="22"/>
  <c r="H43" i="22"/>
  <c r="H42" i="22"/>
  <c r="H41" i="22"/>
  <c r="H40" i="22"/>
  <c r="H38" i="22"/>
  <c r="H48" i="22" s="1"/>
  <c r="H37" i="22"/>
  <c r="H36" i="22"/>
  <c r="H35" i="22"/>
  <c r="F25" i="22"/>
  <c r="E25" i="22"/>
  <c r="B92" i="22" s="1"/>
  <c r="I24" i="22"/>
  <c r="I25" i="22" s="1"/>
  <c r="G24" i="22"/>
  <c r="G25" i="22" s="1"/>
  <c r="F109" i="21"/>
  <c r="F108" i="21"/>
  <c r="E103" i="21"/>
  <c r="G102" i="21"/>
  <c r="G101" i="21"/>
  <c r="G100" i="21"/>
  <c r="G103" i="21" s="1"/>
  <c r="F89" i="21"/>
  <c r="E89" i="21"/>
  <c r="I88" i="21"/>
  <c r="G88" i="21"/>
  <c r="I87" i="21"/>
  <c r="G87" i="21"/>
  <c r="I77" i="21"/>
  <c r="G77" i="21"/>
  <c r="I76" i="21"/>
  <c r="G76" i="21"/>
  <c r="I75" i="21"/>
  <c r="I89" i="21" s="1"/>
  <c r="G75" i="21"/>
  <c r="I74" i="21"/>
  <c r="G74" i="21"/>
  <c r="G89" i="21" s="1"/>
  <c r="B69" i="21"/>
  <c r="H68" i="21"/>
  <c r="F68" i="21"/>
  <c r="D68" i="21"/>
  <c r="B68" i="21"/>
  <c r="D48" i="21"/>
  <c r="H47" i="21"/>
  <c r="H46" i="21"/>
  <c r="H45" i="21"/>
  <c r="H44" i="21"/>
  <c r="H43" i="21"/>
  <c r="H42" i="21"/>
  <c r="H41" i="21"/>
  <c r="H40" i="21"/>
  <c r="H38" i="21"/>
  <c r="H48" i="21" s="1"/>
  <c r="H37" i="21"/>
  <c r="H36" i="21"/>
  <c r="H35" i="21"/>
  <c r="F25" i="21"/>
  <c r="E25" i="21"/>
  <c r="B92" i="21" s="1"/>
  <c r="I24" i="21"/>
  <c r="I25" i="21" s="1"/>
  <c r="C92" i="21" s="1"/>
  <c r="G24" i="21"/>
  <c r="G25" i="21" s="1"/>
  <c r="F111" i="20"/>
  <c r="F110" i="20"/>
  <c r="E105" i="20"/>
  <c r="G104" i="20"/>
  <c r="G103" i="20"/>
  <c r="G102" i="20"/>
  <c r="G105" i="20" s="1"/>
  <c r="F91" i="20"/>
  <c r="E91" i="20"/>
  <c r="I90" i="20"/>
  <c r="G90" i="20"/>
  <c r="I89" i="20"/>
  <c r="G89" i="20"/>
  <c r="I79" i="20"/>
  <c r="G79" i="20"/>
  <c r="I78" i="20"/>
  <c r="G78" i="20"/>
  <c r="I77" i="20"/>
  <c r="G77" i="20"/>
  <c r="I76" i="20"/>
  <c r="I91" i="20" s="1"/>
  <c r="G76" i="20"/>
  <c r="G91" i="20" s="1"/>
  <c r="H70" i="20"/>
  <c r="F70" i="20"/>
  <c r="D70" i="20"/>
  <c r="B70" i="20"/>
  <c r="B71" i="20" s="1"/>
  <c r="D50" i="20"/>
  <c r="H49" i="20"/>
  <c r="H48" i="20"/>
  <c r="H47" i="20"/>
  <c r="H46" i="20"/>
  <c r="H45" i="20"/>
  <c r="H44" i="20"/>
  <c r="H43" i="20"/>
  <c r="H42" i="20"/>
  <c r="H41" i="20"/>
  <c r="H38" i="20"/>
  <c r="H50" i="20" s="1"/>
  <c r="H37" i="20"/>
  <c r="H36" i="20"/>
  <c r="H35" i="20"/>
  <c r="F25" i="20"/>
  <c r="E25" i="20"/>
  <c r="B94" i="20" s="1"/>
  <c r="I24" i="20"/>
  <c r="G24" i="20"/>
  <c r="I5" i="20"/>
  <c r="G5" i="20"/>
  <c r="I4" i="20"/>
  <c r="I25" i="20" s="1"/>
  <c r="G4" i="20"/>
  <c r="G25" i="20" s="1"/>
  <c r="F113" i="19"/>
  <c r="F112" i="19"/>
  <c r="E107" i="19"/>
  <c r="G106" i="19"/>
  <c r="G105" i="19"/>
  <c r="G104" i="19"/>
  <c r="G107" i="19" s="1"/>
  <c r="B96" i="19"/>
  <c r="I93" i="19"/>
  <c r="G93" i="19"/>
  <c r="F93" i="19"/>
  <c r="E93" i="19"/>
  <c r="I92" i="19"/>
  <c r="G92" i="19"/>
  <c r="I91" i="19"/>
  <c r="G91" i="19"/>
  <c r="H72" i="19"/>
  <c r="F72" i="19"/>
  <c r="D72" i="19"/>
  <c r="B72" i="19"/>
  <c r="B73" i="19" s="1"/>
  <c r="D52" i="19"/>
  <c r="H51" i="19"/>
  <c r="H50" i="19"/>
  <c r="H49" i="19"/>
  <c r="H48" i="19"/>
  <c r="H47" i="19"/>
  <c r="H46" i="19"/>
  <c r="H45" i="19"/>
  <c r="H44" i="19"/>
  <c r="H43" i="19"/>
  <c r="H41" i="19"/>
  <c r="H37" i="19"/>
  <c r="H36" i="19"/>
  <c r="H35" i="19"/>
  <c r="H34" i="19"/>
  <c r="H33" i="19"/>
  <c r="H38" i="19" s="1"/>
  <c r="H52" i="19" s="1"/>
  <c r="F25" i="19"/>
  <c r="E25" i="19"/>
  <c r="I24" i="19"/>
  <c r="G24" i="19"/>
  <c r="I11" i="19"/>
  <c r="G11" i="19"/>
  <c r="I10" i="19"/>
  <c r="I9" i="19"/>
  <c r="I8" i="19"/>
  <c r="G8" i="19"/>
  <c r="I7" i="19"/>
  <c r="G7" i="19"/>
  <c r="I6" i="19"/>
  <c r="G6" i="19"/>
  <c r="I5" i="19"/>
  <c r="I25" i="19" s="1"/>
  <c r="C96" i="19" s="1"/>
  <c r="G5" i="19"/>
  <c r="G25" i="19" s="1"/>
  <c r="F120" i="18"/>
  <c r="F119" i="18"/>
  <c r="E114" i="18"/>
  <c r="G113" i="18"/>
  <c r="G112" i="18"/>
  <c r="G111" i="18"/>
  <c r="G114" i="18" s="1"/>
  <c r="I100" i="18"/>
  <c r="G100" i="18"/>
  <c r="F100" i="18"/>
  <c r="E100" i="18"/>
  <c r="I99" i="18"/>
  <c r="G99" i="18"/>
  <c r="I98" i="18"/>
  <c r="G98" i="18"/>
  <c r="H79" i="18"/>
  <c r="F79" i="18"/>
  <c r="D79" i="18"/>
  <c r="B79" i="18"/>
  <c r="B80" i="18" s="1"/>
  <c r="D51" i="18"/>
  <c r="H50" i="18"/>
  <c r="H49" i="18"/>
  <c r="H48" i="18"/>
  <c r="H47" i="18"/>
  <c r="H46" i="18"/>
  <c r="H45" i="18"/>
  <c r="H44" i="18"/>
  <c r="H43" i="18"/>
  <c r="H42" i="18"/>
  <c r="H40" i="18"/>
  <c r="H36" i="18"/>
  <c r="H35" i="18"/>
  <c r="H34" i="18"/>
  <c r="H33" i="18"/>
  <c r="H32" i="18"/>
  <c r="F24" i="18"/>
  <c r="E24" i="18"/>
  <c r="B103" i="18" s="1"/>
  <c r="I23" i="18"/>
  <c r="G23" i="18"/>
  <c r="I19" i="18"/>
  <c r="G19" i="18"/>
  <c r="I18" i="18"/>
  <c r="G18" i="18"/>
  <c r="I17" i="18"/>
  <c r="G17" i="18"/>
  <c r="I16" i="18"/>
  <c r="G16" i="18"/>
  <c r="I15" i="18"/>
  <c r="G15" i="18"/>
  <c r="I14" i="18"/>
  <c r="I13" i="18"/>
  <c r="G13" i="18"/>
  <c r="I12" i="18"/>
  <c r="G12" i="18"/>
  <c r="I11" i="18"/>
  <c r="G11" i="18"/>
  <c r="I10" i="18"/>
  <c r="G10" i="18"/>
  <c r="I9" i="18"/>
  <c r="I8" i="18"/>
  <c r="I7" i="18"/>
  <c r="I6" i="18"/>
  <c r="G6" i="18"/>
  <c r="I5" i="18"/>
  <c r="G5" i="18"/>
  <c r="F115" i="17"/>
  <c r="F114" i="17"/>
  <c r="G109" i="17"/>
  <c r="E109" i="17"/>
  <c r="G108" i="17"/>
  <c r="G107" i="17"/>
  <c r="G106" i="17"/>
  <c r="G105" i="17"/>
  <c r="G104" i="17"/>
  <c r="G103" i="17"/>
  <c r="G102" i="17"/>
  <c r="G101" i="17"/>
  <c r="F95" i="17"/>
  <c r="E95" i="17"/>
  <c r="I94" i="17"/>
  <c r="G94" i="17"/>
  <c r="I93" i="17"/>
  <c r="G93" i="17"/>
  <c r="I86" i="17"/>
  <c r="G86" i="17"/>
  <c r="I85" i="17"/>
  <c r="G85" i="17"/>
  <c r="I84" i="17"/>
  <c r="G84" i="17"/>
  <c r="I83" i="17"/>
  <c r="G83" i="17"/>
  <c r="I82" i="17"/>
  <c r="G82" i="17"/>
  <c r="I81" i="17"/>
  <c r="G81" i="17"/>
  <c r="I80" i="17"/>
  <c r="I95" i="17" s="1"/>
  <c r="G80" i="17"/>
  <c r="G95" i="17" s="1"/>
  <c r="H74" i="17"/>
  <c r="F74" i="17"/>
  <c r="D74" i="17"/>
  <c r="B74" i="17"/>
  <c r="B75" i="17" s="1"/>
  <c r="D54" i="17"/>
  <c r="H53" i="17"/>
  <c r="H52" i="17"/>
  <c r="H51" i="17"/>
  <c r="H50" i="17"/>
  <c r="H49" i="17"/>
  <c r="H48" i="17"/>
  <c r="H47" i="17"/>
  <c r="H46" i="17"/>
  <c r="H45" i="17"/>
  <c r="H43" i="17"/>
  <c r="H39" i="17"/>
  <c r="H38" i="17"/>
  <c r="H37" i="17"/>
  <c r="H36" i="17"/>
  <c r="H35" i="17"/>
  <c r="H40" i="17" s="1"/>
  <c r="H54" i="17" s="1"/>
  <c r="I27" i="17"/>
  <c r="G27" i="17"/>
  <c r="F27" i="17"/>
  <c r="E27" i="17"/>
  <c r="B98" i="17" s="1"/>
  <c r="F115" i="16"/>
  <c r="F114" i="16"/>
  <c r="E109" i="16"/>
  <c r="G108" i="16"/>
  <c r="G107" i="16"/>
  <c r="G106" i="16"/>
  <c r="G109" i="16" s="1"/>
  <c r="C98" i="16"/>
  <c r="I95" i="16"/>
  <c r="G95" i="16"/>
  <c r="F95" i="16"/>
  <c r="E95" i="16"/>
  <c r="I94" i="16"/>
  <c r="G94" i="16"/>
  <c r="I93" i="16"/>
  <c r="G93" i="16"/>
  <c r="H74" i="16"/>
  <c r="F74" i="16"/>
  <c r="D74" i="16"/>
  <c r="B74" i="16"/>
  <c r="B75" i="16" s="1"/>
  <c r="D54" i="16"/>
  <c r="H53" i="16"/>
  <c r="H52" i="16"/>
  <c r="H51" i="16"/>
  <c r="H50" i="16"/>
  <c r="H49" i="16"/>
  <c r="H48" i="16"/>
  <c r="H47" i="16"/>
  <c r="H46" i="16"/>
  <c r="H45" i="16"/>
  <c r="H43" i="16"/>
  <c r="H39" i="16"/>
  <c r="H38" i="16"/>
  <c r="H37" i="16"/>
  <c r="H36" i="16"/>
  <c r="H35" i="16"/>
  <c r="H40" i="16" s="1"/>
  <c r="H54" i="16" s="1"/>
  <c r="I27" i="16"/>
  <c r="G27" i="16"/>
  <c r="F27" i="16"/>
  <c r="E27" i="16"/>
  <c r="B98" i="16" s="1"/>
  <c r="F115" i="15"/>
  <c r="F114" i="15"/>
  <c r="E109" i="15"/>
  <c r="G108" i="15"/>
  <c r="G107" i="15"/>
  <c r="G106" i="15"/>
  <c r="G109" i="15" s="1"/>
  <c r="C98" i="15"/>
  <c r="I95" i="15"/>
  <c r="G95" i="15"/>
  <c r="F95" i="15"/>
  <c r="E95" i="15"/>
  <c r="I94" i="15"/>
  <c r="G94" i="15"/>
  <c r="I93" i="15"/>
  <c r="G93" i="15"/>
  <c r="H74" i="15"/>
  <c r="F74" i="15"/>
  <c r="D74" i="15"/>
  <c r="B74" i="15"/>
  <c r="B75" i="15" s="1"/>
  <c r="D54" i="15"/>
  <c r="H53" i="15"/>
  <c r="H52" i="15"/>
  <c r="H51" i="15"/>
  <c r="H50" i="15"/>
  <c r="H49" i="15"/>
  <c r="H48" i="15"/>
  <c r="H47" i="15"/>
  <c r="H46" i="15"/>
  <c r="H45" i="15"/>
  <c r="H43" i="15"/>
  <c r="H39" i="15"/>
  <c r="H38" i="15"/>
  <c r="H37" i="15"/>
  <c r="H36" i="15"/>
  <c r="H35" i="15"/>
  <c r="H40" i="15" s="1"/>
  <c r="H54" i="15" s="1"/>
  <c r="I27" i="15"/>
  <c r="G27" i="15"/>
  <c r="F27" i="15"/>
  <c r="E27" i="15"/>
  <c r="B98" i="15" s="1"/>
  <c r="F115" i="14"/>
  <c r="F114" i="14"/>
  <c r="E109" i="14"/>
  <c r="G108" i="14"/>
  <c r="G107" i="14"/>
  <c r="G106" i="14"/>
  <c r="G105" i="14"/>
  <c r="G104" i="14"/>
  <c r="G103" i="14"/>
  <c r="G102" i="14"/>
  <c r="G101" i="14"/>
  <c r="G109" i="14" s="1"/>
  <c r="F95" i="14"/>
  <c r="E95" i="14"/>
  <c r="I94" i="14"/>
  <c r="G94" i="14"/>
  <c r="I93" i="14"/>
  <c r="G93" i="14"/>
  <c r="I80" i="14"/>
  <c r="I95" i="14" s="1"/>
  <c r="G80" i="14"/>
  <c r="G95" i="14" s="1"/>
  <c r="H74" i="14"/>
  <c r="F74" i="14"/>
  <c r="D74" i="14"/>
  <c r="B74" i="14"/>
  <c r="B75" i="14" s="1"/>
  <c r="D54" i="14"/>
  <c r="H53" i="14"/>
  <c r="H52" i="14"/>
  <c r="H51" i="14"/>
  <c r="H50" i="14"/>
  <c r="H49" i="14"/>
  <c r="H48" i="14"/>
  <c r="H47" i="14"/>
  <c r="H46" i="14"/>
  <c r="H45" i="14"/>
  <c r="H43" i="14"/>
  <c r="H39" i="14"/>
  <c r="H38" i="14"/>
  <c r="H37" i="14"/>
  <c r="H36" i="14"/>
  <c r="H35" i="14"/>
  <c r="H40" i="14" s="1"/>
  <c r="H54" i="14" s="1"/>
  <c r="F27" i="14"/>
  <c r="E27" i="14"/>
  <c r="B98" i="14" s="1"/>
  <c r="I9" i="14"/>
  <c r="G9" i="14"/>
  <c r="I8" i="14"/>
  <c r="G8" i="14"/>
  <c r="I7" i="14"/>
  <c r="G7" i="14"/>
  <c r="I6" i="14"/>
  <c r="G6" i="14"/>
  <c r="I5" i="14"/>
  <c r="I27" i="14" s="1"/>
  <c r="C98" i="14" s="1"/>
  <c r="G5" i="14"/>
  <c r="I4" i="14"/>
  <c r="G4" i="14"/>
  <c r="G27" i="14" s="1"/>
  <c r="F114" i="13"/>
  <c r="F113" i="13"/>
  <c r="E108" i="13"/>
  <c r="G107" i="13"/>
  <c r="G106" i="13"/>
  <c r="G105" i="13"/>
  <c r="G108" i="13" s="1"/>
  <c r="I94" i="13"/>
  <c r="G94" i="13"/>
  <c r="F94" i="13"/>
  <c r="E94" i="13"/>
  <c r="I93" i="13"/>
  <c r="G93" i="13"/>
  <c r="I92" i="13"/>
  <c r="G92" i="13"/>
  <c r="H73" i="13"/>
  <c r="F73" i="13"/>
  <c r="D73" i="13"/>
  <c r="B73" i="13"/>
  <c r="B74" i="13" s="1"/>
  <c r="D53" i="13"/>
  <c r="H52" i="13"/>
  <c r="H51" i="13"/>
  <c r="H50" i="13"/>
  <c r="H49" i="13"/>
  <c r="H48" i="13"/>
  <c r="H47" i="13"/>
  <c r="H46" i="13"/>
  <c r="H45" i="13"/>
  <c r="H44" i="13"/>
  <c r="H43" i="13"/>
  <c r="H36" i="13"/>
  <c r="H35" i="13"/>
  <c r="H40" i="13" s="1"/>
  <c r="H53" i="13" s="1"/>
  <c r="F27" i="13"/>
  <c r="E27" i="13"/>
  <c r="B97" i="13" s="1"/>
  <c r="I23" i="13"/>
  <c r="G23" i="13"/>
  <c r="I22" i="13"/>
  <c r="G22" i="13"/>
  <c r="I21" i="13"/>
  <c r="G21" i="13"/>
  <c r="I20" i="13"/>
  <c r="G20" i="13"/>
  <c r="I19" i="13"/>
  <c r="G19" i="13"/>
  <c r="I18" i="13"/>
  <c r="G18" i="13"/>
  <c r="I17" i="13"/>
  <c r="G17" i="13"/>
  <c r="I16" i="13"/>
  <c r="G16" i="13"/>
  <c r="I15" i="13"/>
  <c r="G15" i="13"/>
  <c r="I14" i="13"/>
  <c r="G14" i="13"/>
  <c r="I13" i="13"/>
  <c r="G13" i="13"/>
  <c r="I12" i="13"/>
  <c r="G12" i="13"/>
  <c r="I11" i="13"/>
  <c r="G11" i="13"/>
  <c r="I10" i="13"/>
  <c r="G10" i="13"/>
  <c r="I9" i="13"/>
  <c r="G9" i="13"/>
  <c r="I8" i="13"/>
  <c r="G8" i="13"/>
  <c r="I7" i="13"/>
  <c r="G7" i="13"/>
  <c r="I6" i="13"/>
  <c r="G6" i="13"/>
  <c r="I5" i="13"/>
  <c r="G5" i="13"/>
  <c r="I4" i="13"/>
  <c r="I27" i="13" s="1"/>
  <c r="C97" i="13" s="1"/>
  <c r="G4" i="13"/>
  <c r="G27" i="13" s="1"/>
  <c r="F99" i="12"/>
  <c r="F98" i="12"/>
  <c r="E93" i="12"/>
  <c r="G92" i="12"/>
  <c r="G91" i="12"/>
  <c r="G90" i="12"/>
  <c r="G93" i="12" s="1"/>
  <c r="F79" i="12"/>
  <c r="E79" i="12"/>
  <c r="I78" i="12"/>
  <c r="G78" i="12"/>
  <c r="I77" i="12"/>
  <c r="G77" i="12"/>
  <c r="I65" i="12"/>
  <c r="G65" i="12"/>
  <c r="I64" i="12"/>
  <c r="I79" i="12" s="1"/>
  <c r="G64" i="12"/>
  <c r="G79" i="12" s="1"/>
  <c r="H58" i="12"/>
  <c r="F58" i="12"/>
  <c r="D58" i="12"/>
  <c r="B58" i="12"/>
  <c r="B59" i="12" s="1"/>
  <c r="D38" i="12"/>
  <c r="H37" i="12"/>
  <c r="H36" i="12"/>
  <c r="H35" i="12"/>
  <c r="H34" i="12"/>
  <c r="H33" i="12"/>
  <c r="H32" i="12"/>
  <c r="H31" i="12"/>
  <c r="H30" i="12"/>
  <c r="H29" i="12"/>
  <c r="H28" i="12"/>
  <c r="H21" i="12"/>
  <c r="H25" i="12" s="1"/>
  <c r="H38" i="12" s="1"/>
  <c r="H20" i="12"/>
  <c r="G12" i="12"/>
  <c r="F12" i="12"/>
  <c r="E12" i="12"/>
  <c r="B82" i="12" s="1"/>
  <c r="I4" i="12"/>
  <c r="I12" i="12" s="1"/>
  <c r="F99" i="11"/>
  <c r="F98" i="11"/>
  <c r="E93" i="11"/>
  <c r="G92" i="11"/>
  <c r="G91" i="11"/>
  <c r="G90" i="11"/>
  <c r="G93" i="11" s="1"/>
  <c r="F79" i="11"/>
  <c r="E79" i="11"/>
  <c r="I78" i="11"/>
  <c r="G78" i="11"/>
  <c r="I77" i="11"/>
  <c r="G77" i="11"/>
  <c r="I66" i="11"/>
  <c r="G66" i="11"/>
  <c r="I65" i="11"/>
  <c r="G65" i="11"/>
  <c r="I64" i="11"/>
  <c r="I79" i="11" s="1"/>
  <c r="G64" i="11"/>
  <c r="G79" i="11" s="1"/>
  <c r="H58" i="11"/>
  <c r="F58" i="11"/>
  <c r="D58" i="11"/>
  <c r="B58" i="11"/>
  <c r="B59" i="11" s="1"/>
  <c r="D38" i="11"/>
  <c r="H37" i="11"/>
  <c r="H36" i="11"/>
  <c r="H35" i="11"/>
  <c r="H34" i="11"/>
  <c r="H33" i="11"/>
  <c r="H32" i="11"/>
  <c r="H31" i="11"/>
  <c r="H30" i="11"/>
  <c r="H29" i="11"/>
  <c r="H28" i="11"/>
  <c r="H21" i="11"/>
  <c r="H20" i="11"/>
  <c r="H25" i="11" s="1"/>
  <c r="H38" i="11" s="1"/>
  <c r="G12" i="11"/>
  <c r="F12" i="11"/>
  <c r="E12" i="11"/>
  <c r="B82" i="11" s="1"/>
  <c r="I4" i="11"/>
  <c r="I12" i="11" s="1"/>
  <c r="C82" i="11" s="1"/>
  <c r="F99" i="10"/>
  <c r="F98" i="10"/>
  <c r="E93" i="10"/>
  <c r="G92" i="10"/>
  <c r="G91" i="10"/>
  <c r="G90" i="10"/>
  <c r="G87" i="10"/>
  <c r="G86" i="10"/>
  <c r="G85" i="10"/>
  <c r="G93" i="10" s="1"/>
  <c r="F79" i="10"/>
  <c r="E79" i="10"/>
  <c r="I78" i="10"/>
  <c r="G78" i="10"/>
  <c r="I77" i="10"/>
  <c r="G77" i="10"/>
  <c r="I65" i="10"/>
  <c r="G65" i="10"/>
  <c r="G79" i="10" s="1"/>
  <c r="I64" i="10"/>
  <c r="I79" i="10" s="1"/>
  <c r="G64" i="10"/>
  <c r="H58" i="10"/>
  <c r="D58" i="10"/>
  <c r="B58" i="10"/>
  <c r="B59" i="10" s="1"/>
  <c r="D38" i="10"/>
  <c r="H37" i="10"/>
  <c r="H36" i="10"/>
  <c r="H35" i="10"/>
  <c r="H34" i="10"/>
  <c r="H33" i="10"/>
  <c r="H32" i="10"/>
  <c r="H31" i="10"/>
  <c r="H30" i="10"/>
  <c r="H29" i="10"/>
  <c r="H28" i="10"/>
  <c r="H25" i="10"/>
  <c r="H38" i="10" s="1"/>
  <c r="H21" i="10"/>
  <c r="H20" i="10"/>
  <c r="G12" i="10"/>
  <c r="F12" i="10"/>
  <c r="E12" i="10"/>
  <c r="B82" i="10" s="1"/>
  <c r="I4" i="10"/>
  <c r="I12" i="10" s="1"/>
  <c r="C82" i="10" s="1"/>
  <c r="F99" i="9"/>
  <c r="F98" i="9"/>
  <c r="E93" i="9"/>
  <c r="G92" i="9"/>
  <c r="G91" i="9"/>
  <c r="G90" i="9"/>
  <c r="G85" i="9"/>
  <c r="G93" i="9" s="1"/>
  <c r="I79" i="9"/>
  <c r="G79" i="9"/>
  <c r="F79" i="9"/>
  <c r="E79" i="9"/>
  <c r="I78" i="9"/>
  <c r="G78" i="9"/>
  <c r="I77" i="9"/>
  <c r="G77" i="9"/>
  <c r="H58" i="9"/>
  <c r="F58" i="9"/>
  <c r="D58" i="9"/>
  <c r="B58" i="9"/>
  <c r="B59" i="9" s="1"/>
  <c r="D38" i="9"/>
  <c r="H37" i="9"/>
  <c r="H36" i="9"/>
  <c r="H35" i="9"/>
  <c r="H34" i="9"/>
  <c r="H33" i="9"/>
  <c r="H32" i="9"/>
  <c r="H31" i="9"/>
  <c r="H30" i="9"/>
  <c r="H29" i="9"/>
  <c r="H28" i="9"/>
  <c r="H21" i="9"/>
  <c r="H20" i="9"/>
  <c r="H25" i="9" s="1"/>
  <c r="H38" i="9" s="1"/>
  <c r="G12" i="9"/>
  <c r="F12" i="9"/>
  <c r="E12" i="9"/>
  <c r="B82" i="9" s="1"/>
  <c r="I4" i="9"/>
  <c r="I12" i="9" s="1"/>
  <c r="C82" i="9" s="1"/>
  <c r="F99" i="8"/>
  <c r="F98" i="8"/>
  <c r="E93" i="8"/>
  <c r="G92" i="8"/>
  <c r="G91" i="8"/>
  <c r="G90" i="8"/>
  <c r="G85" i="8"/>
  <c r="G93" i="8" s="1"/>
  <c r="I79" i="8"/>
  <c r="G79" i="8"/>
  <c r="F79" i="8"/>
  <c r="E79" i="8"/>
  <c r="I78" i="8"/>
  <c r="G78" i="8"/>
  <c r="I77" i="8"/>
  <c r="G77" i="8"/>
  <c r="H58" i="8"/>
  <c r="F58" i="8"/>
  <c r="D58" i="8"/>
  <c r="B58" i="8"/>
  <c r="B59" i="8" s="1"/>
  <c r="D38" i="8"/>
  <c r="H37" i="8"/>
  <c r="H36" i="8"/>
  <c r="H35" i="8"/>
  <c r="H34" i="8"/>
  <c r="H33" i="8"/>
  <c r="H32" i="8"/>
  <c r="H31" i="8"/>
  <c r="H30" i="8"/>
  <c r="H29" i="8"/>
  <c r="H28" i="8"/>
  <c r="H21" i="8"/>
  <c r="H20" i="8"/>
  <c r="H25" i="8" s="1"/>
  <c r="H38" i="8" s="1"/>
  <c r="G12" i="8"/>
  <c r="F12" i="8"/>
  <c r="E12" i="8"/>
  <c r="B82" i="8" s="1"/>
  <c r="I4" i="8"/>
  <c r="I12" i="8" s="1"/>
  <c r="C82" i="8" s="1"/>
  <c r="F99" i="7"/>
  <c r="F98" i="7"/>
  <c r="E93" i="7"/>
  <c r="G92" i="7"/>
  <c r="G91" i="7"/>
  <c r="G90" i="7"/>
  <c r="G93" i="7" s="1"/>
  <c r="I79" i="7"/>
  <c r="G79" i="7"/>
  <c r="F79" i="7"/>
  <c r="E79" i="7"/>
  <c r="I78" i="7"/>
  <c r="G78" i="7"/>
  <c r="I77" i="7"/>
  <c r="G77" i="7"/>
  <c r="C60" i="7"/>
  <c r="H58" i="7"/>
  <c r="F58" i="7"/>
  <c r="D58" i="7"/>
  <c r="D38" i="7"/>
  <c r="H37" i="7"/>
  <c r="H36" i="7"/>
  <c r="H35" i="7"/>
  <c r="H34" i="7"/>
  <c r="H33" i="7"/>
  <c r="H32" i="7"/>
  <c r="H31" i="7"/>
  <c r="H30" i="7"/>
  <c r="H29" i="7"/>
  <c r="H28" i="7"/>
  <c r="H21" i="7"/>
  <c r="H20" i="7"/>
  <c r="H25" i="7" s="1"/>
  <c r="H38" i="7" s="1"/>
  <c r="I12" i="7"/>
  <c r="C82" i="7" s="1"/>
  <c r="G12" i="7"/>
  <c r="F12" i="7"/>
  <c r="E12" i="7"/>
  <c r="B82" i="7" s="1"/>
  <c r="F99" i="6"/>
  <c r="F98" i="6"/>
  <c r="E93" i="6"/>
  <c r="G92" i="6"/>
  <c r="G91" i="6"/>
  <c r="G90" i="6"/>
  <c r="G93" i="6" s="1"/>
  <c r="I79" i="6"/>
  <c r="G79" i="6"/>
  <c r="F79" i="6"/>
  <c r="E79" i="6"/>
  <c r="I78" i="6"/>
  <c r="G78" i="6"/>
  <c r="I77" i="6"/>
  <c r="G77" i="6"/>
  <c r="F59" i="6"/>
  <c r="H58" i="6"/>
  <c r="F58" i="6"/>
  <c r="D58" i="6"/>
  <c r="B58" i="6"/>
  <c r="B59" i="6" s="1"/>
  <c r="C60" i="6" s="1"/>
  <c r="D38" i="6"/>
  <c r="H37" i="6"/>
  <c r="H36" i="6"/>
  <c r="H35" i="6"/>
  <c r="H34" i="6"/>
  <c r="H33" i="6"/>
  <c r="H32" i="6"/>
  <c r="H31" i="6"/>
  <c r="H30" i="6"/>
  <c r="H29" i="6"/>
  <c r="H28" i="6"/>
  <c r="H21" i="6"/>
  <c r="H20" i="6"/>
  <c r="H25" i="6" s="1"/>
  <c r="H38" i="6" s="1"/>
  <c r="F12" i="6"/>
  <c r="E12" i="6"/>
  <c r="B82" i="6" s="1"/>
  <c r="I9" i="6"/>
  <c r="I8" i="6"/>
  <c r="I7" i="6"/>
  <c r="I6" i="6"/>
  <c r="G6" i="6"/>
  <c r="I5" i="6"/>
  <c r="G5" i="6"/>
  <c r="G12" i="6" s="1"/>
  <c r="I4" i="6"/>
  <c r="I12" i="6" s="1"/>
  <c r="C82" i="6" s="1"/>
  <c r="F99" i="5"/>
  <c r="F98" i="5"/>
  <c r="E93" i="5"/>
  <c r="G92" i="5"/>
  <c r="G91" i="5"/>
  <c r="G90" i="5"/>
  <c r="G85" i="5"/>
  <c r="G93" i="5" s="1"/>
  <c r="I79" i="5"/>
  <c r="G79" i="5"/>
  <c r="F79" i="5"/>
  <c r="E79" i="5"/>
  <c r="I78" i="5"/>
  <c r="G78" i="5"/>
  <c r="I77" i="5"/>
  <c r="G77" i="5"/>
  <c r="F59" i="5"/>
  <c r="H58" i="5"/>
  <c r="F58" i="5"/>
  <c r="D58" i="5"/>
  <c r="B58" i="5"/>
  <c r="B59" i="5" s="1"/>
  <c r="C60" i="5" s="1"/>
  <c r="D38" i="5"/>
  <c r="H37" i="5"/>
  <c r="H36" i="5"/>
  <c r="H35" i="5"/>
  <c r="H34" i="5"/>
  <c r="H33" i="5"/>
  <c r="H32" i="5"/>
  <c r="H31" i="5"/>
  <c r="H30" i="5"/>
  <c r="H29" i="5"/>
  <c r="H28" i="5"/>
  <c r="H21" i="5"/>
  <c r="H20" i="5"/>
  <c r="H25" i="5" s="1"/>
  <c r="H38" i="5" s="1"/>
  <c r="F12" i="5"/>
  <c r="E12" i="5"/>
  <c r="B82" i="5" s="1"/>
  <c r="I7" i="5"/>
  <c r="I6" i="5"/>
  <c r="G6" i="5"/>
  <c r="I5" i="5"/>
  <c r="G5" i="5"/>
  <c r="I4" i="5"/>
  <c r="I12" i="5" s="1"/>
  <c r="C82" i="5" s="1"/>
  <c r="G4" i="5"/>
  <c r="G12" i="5" s="1"/>
  <c r="F99" i="4"/>
  <c r="F98" i="4"/>
  <c r="E93" i="4"/>
  <c r="G92" i="4"/>
  <c r="G91" i="4"/>
  <c r="G90" i="4"/>
  <c r="G85" i="4"/>
  <c r="G93" i="4" s="1"/>
  <c r="F79" i="4"/>
  <c r="E79" i="4"/>
  <c r="I78" i="4"/>
  <c r="G78" i="4"/>
  <c r="I77" i="4"/>
  <c r="G77" i="4"/>
  <c r="I64" i="4"/>
  <c r="I79" i="4" s="1"/>
  <c r="G64" i="4"/>
  <c r="G79" i="4" s="1"/>
  <c r="H58" i="4"/>
  <c r="F58" i="4"/>
  <c r="F59" i="4" s="1"/>
  <c r="D58" i="4"/>
  <c r="B58" i="4"/>
  <c r="B59" i="4" s="1"/>
  <c r="C60" i="4" s="1"/>
  <c r="D38" i="4"/>
  <c r="H37" i="4"/>
  <c r="H36" i="4"/>
  <c r="H35" i="4"/>
  <c r="H34" i="4"/>
  <c r="H33" i="4"/>
  <c r="H32" i="4"/>
  <c r="H31" i="4"/>
  <c r="H30" i="4"/>
  <c r="H29" i="4"/>
  <c r="H28" i="4"/>
  <c r="H21" i="4"/>
  <c r="H20" i="4"/>
  <c r="H25" i="4" s="1"/>
  <c r="H38" i="4" s="1"/>
  <c r="F12" i="4"/>
  <c r="E12" i="4"/>
  <c r="I7" i="4"/>
  <c r="G7" i="4"/>
  <c r="I6" i="4"/>
  <c r="G6" i="4"/>
  <c r="I5" i="4"/>
  <c r="G5" i="4"/>
  <c r="I4" i="4"/>
  <c r="I12" i="4" s="1"/>
  <c r="C82" i="4" s="1"/>
  <c r="G4" i="4"/>
  <c r="G12" i="4" s="1"/>
  <c r="F102" i="3"/>
  <c r="F101" i="3"/>
  <c r="E96" i="3"/>
  <c r="G95" i="3"/>
  <c r="G94" i="3"/>
  <c r="G93" i="3"/>
  <c r="G96" i="3" s="1"/>
  <c r="I82" i="3"/>
  <c r="G82" i="3"/>
  <c r="F82" i="3"/>
  <c r="E82" i="3"/>
  <c r="I81" i="3"/>
  <c r="G81" i="3"/>
  <c r="I80" i="3"/>
  <c r="G80" i="3"/>
  <c r="F62" i="3"/>
  <c r="H61" i="3"/>
  <c r="F61" i="3"/>
  <c r="D61" i="3"/>
  <c r="B61" i="3"/>
  <c r="B62" i="3" s="1"/>
  <c r="C63" i="3" s="1"/>
  <c r="D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1" i="3"/>
  <c r="H20" i="3"/>
  <c r="H25" i="3" s="1"/>
  <c r="H41" i="3" s="1"/>
  <c r="G12" i="3"/>
  <c r="F12" i="3"/>
  <c r="E12" i="3"/>
  <c r="B85" i="3" s="1"/>
  <c r="I9" i="3"/>
  <c r="I8" i="3"/>
  <c r="I7" i="3"/>
  <c r="I6" i="3"/>
  <c r="I5" i="3"/>
  <c r="I12" i="3" s="1"/>
  <c r="C85" i="3" s="1"/>
  <c r="I4" i="3"/>
  <c r="F102" i="2"/>
  <c r="F101" i="2"/>
  <c r="F100" i="2"/>
  <c r="E96" i="2"/>
  <c r="G95" i="2"/>
  <c r="G94" i="2"/>
  <c r="G93" i="2"/>
  <c r="G90" i="2"/>
  <c r="G89" i="2"/>
  <c r="G96" i="2" s="1"/>
  <c r="F82" i="2"/>
  <c r="E82" i="2"/>
  <c r="I81" i="2"/>
  <c r="G81" i="2"/>
  <c r="I80" i="2"/>
  <c r="G80" i="2"/>
  <c r="I70" i="2"/>
  <c r="G70" i="2"/>
  <c r="I69" i="2"/>
  <c r="G69" i="2"/>
  <c r="I68" i="2"/>
  <c r="G68" i="2"/>
  <c r="G82" i="2" s="1"/>
  <c r="I67" i="2"/>
  <c r="I82" i="2" s="1"/>
  <c r="H61" i="2"/>
  <c r="F61" i="2"/>
  <c r="F62" i="2" s="1"/>
  <c r="D61" i="2"/>
  <c r="B61" i="2"/>
  <c r="B62" i="2" s="1"/>
  <c r="C63" i="2" s="1"/>
  <c r="D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1" i="2"/>
  <c r="H20" i="2"/>
  <c r="H25" i="2" s="1"/>
  <c r="H41" i="2" s="1"/>
  <c r="G12" i="2"/>
  <c r="F12" i="2"/>
  <c r="E12" i="2"/>
  <c r="B85" i="2" s="1"/>
  <c r="I9" i="2"/>
  <c r="I8" i="2"/>
  <c r="I7" i="2"/>
  <c r="I6" i="2"/>
  <c r="I5" i="2"/>
  <c r="I4" i="2"/>
  <c r="I12" i="2" s="1"/>
  <c r="F102" i="1"/>
  <c r="F101" i="1"/>
  <c r="E96" i="1"/>
  <c r="G95" i="1"/>
  <c r="G94" i="1"/>
  <c r="G93" i="1"/>
  <c r="G92" i="1"/>
  <c r="G91" i="1"/>
  <c r="G90" i="1"/>
  <c r="G89" i="1"/>
  <c r="G88" i="1"/>
  <c r="G96" i="1" s="1"/>
  <c r="I82" i="1"/>
  <c r="G82" i="1"/>
  <c r="F82" i="1"/>
  <c r="E82" i="1"/>
  <c r="I81" i="1"/>
  <c r="G81" i="1"/>
  <c r="I80" i="1"/>
  <c r="G80" i="1"/>
  <c r="H61" i="1"/>
  <c r="F61" i="1"/>
  <c r="F62" i="1" s="1"/>
  <c r="D61" i="1"/>
  <c r="B61" i="1"/>
  <c r="B62" i="1" s="1"/>
  <c r="C63" i="1" s="1"/>
  <c r="D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5" i="1"/>
  <c r="H41" i="1" s="1"/>
  <c r="H21" i="1"/>
  <c r="H20" i="1"/>
  <c r="G12" i="1"/>
  <c r="F12" i="1"/>
  <c r="E12" i="1"/>
  <c r="B85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B57" i="24" l="1"/>
  <c r="H37" i="18"/>
  <c r="H51" i="18" s="1"/>
  <c r="G24" i="18"/>
  <c r="I24" i="18"/>
  <c r="C103" i="18" s="1"/>
  <c r="I12" i="1"/>
  <c r="C85" i="1" s="1"/>
  <c r="B82" i="4"/>
  <c r="C94" i="20"/>
  <c r="C92" i="22"/>
  <c r="C80" i="23"/>
  <c r="I77" i="23"/>
  <c r="C85" i="2"/>
  <c r="C82" i="12"/>
  <c r="C98" i="17"/>
  <c r="G77" i="23"/>
  <c r="B80" i="23" s="1"/>
</calcChain>
</file>

<file path=xl/sharedStrings.xml><?xml version="1.0" encoding="utf-8"?>
<sst xmlns="http://schemas.openxmlformats.org/spreadsheetml/2006/main" count="2627" uniqueCount="408">
  <si>
    <t>Ежедневный финансовый отчет</t>
  </si>
  <si>
    <t>Реализация за наличный расчёт</t>
  </si>
  <si>
    <t>Контрагент</t>
  </si>
  <si>
    <t xml:space="preserve">поставщик </t>
  </si>
  <si>
    <t>наименование</t>
  </si>
  <si>
    <t>вес упаковки, тарелки</t>
  </si>
  <si>
    <t>кол.-во пакетов, коробок</t>
  </si>
  <si>
    <t>кол-во мест в коробке/упаковке</t>
  </si>
  <si>
    <t>общий вес, кг.</t>
  </si>
  <si>
    <t>цена пакет, тарелка</t>
  </si>
  <si>
    <t>сумма</t>
  </si>
  <si>
    <t>себестоимость</t>
  </si>
  <si>
    <t xml:space="preserve">Поступление от </t>
  </si>
  <si>
    <t>примечание</t>
  </si>
  <si>
    <t>Касса</t>
  </si>
  <si>
    <t>Производство</t>
  </si>
  <si>
    <t xml:space="preserve">Бухгалтерия </t>
  </si>
  <si>
    <t>Остаток на начало дня:</t>
  </si>
  <si>
    <t>Итого приход:</t>
  </si>
  <si>
    <t>Расход за день:</t>
  </si>
  <si>
    <t xml:space="preserve">уборка </t>
  </si>
  <si>
    <t>Итого расход:</t>
  </si>
  <si>
    <t>Остаток на конец дня:</t>
  </si>
  <si>
    <t>Расчётный счёт</t>
  </si>
  <si>
    <t>ВТБ</t>
  </si>
  <si>
    <t>Альфабанк</t>
  </si>
  <si>
    <t>Поступление</t>
  </si>
  <si>
    <t>Расход</t>
  </si>
  <si>
    <t>от кого</t>
  </si>
  <si>
    <t>кому</t>
  </si>
  <si>
    <t xml:space="preserve">кому </t>
  </si>
  <si>
    <t xml:space="preserve">проценты по депозиту </t>
  </si>
  <si>
    <t xml:space="preserve">комиссия банка </t>
  </si>
  <si>
    <t xml:space="preserve">ООО Яндекс лавка </t>
  </si>
  <si>
    <t>Интернет решения  за МФУ</t>
  </si>
  <si>
    <t xml:space="preserve">Единый налоговый платеж </t>
  </si>
  <si>
    <t>Размещение на депозите 1231000</t>
  </si>
  <si>
    <t>ИТОГО:</t>
  </si>
  <si>
    <t>Реализация по безналичному расчёту</t>
  </si>
  <si>
    <t>поставщик</t>
  </si>
  <si>
    <t>Комментарий</t>
  </si>
  <si>
    <t>реализация Всего касса+безнал:</t>
  </si>
  <si>
    <t>кг</t>
  </si>
  <si>
    <t>на сумму</t>
  </si>
  <si>
    <t>Услуги оказывают нам (доставка сырья и комплектующих на склад, Товара покупателям)</t>
  </si>
  <si>
    <t>вид услуги</t>
  </si>
  <si>
    <t>Кому</t>
  </si>
  <si>
    <t xml:space="preserve">город доставки </t>
  </si>
  <si>
    <t>цена</t>
  </si>
  <si>
    <t>за тонну</t>
  </si>
  <si>
    <t>Услуги оказываем мы</t>
  </si>
  <si>
    <t>вес, кг, шт</t>
  </si>
  <si>
    <t>№УПД</t>
  </si>
  <si>
    <t>ИП1</t>
  </si>
  <si>
    <t>квадромикс 200 гр</t>
  </si>
  <si>
    <t>арахис ассорти 200 гр</t>
  </si>
  <si>
    <t>васаби 110 гр</t>
  </si>
  <si>
    <t>сметана зелень 110 гр</t>
  </si>
  <si>
    <t>барбекю 110 гр</t>
  </si>
  <si>
    <t>сыр лук 110 гр</t>
  </si>
  <si>
    <t>поступление от ИП1</t>
  </si>
  <si>
    <t>протяжка электричества для барабана и фасовочного аппарта Бистром, материалы (кабеля, гофра)</t>
  </si>
  <si>
    <t>размещение объявления на НН.ру (помощник бухгалтера)</t>
  </si>
  <si>
    <t xml:space="preserve">ООО Золотой снек ,за арахис </t>
  </si>
  <si>
    <t xml:space="preserve">ИП Савин  транспортные услуги </t>
  </si>
  <si>
    <t xml:space="preserve">АО Союзснаб  за пищевые добавки </t>
  </si>
  <si>
    <t>Размещение на депозите 1218000</t>
  </si>
  <si>
    <t>ООО Акваэлемент</t>
  </si>
  <si>
    <t>ООО Снекпром</t>
  </si>
  <si>
    <t>Услуга по обжарке и спецированию арахиса</t>
  </si>
  <si>
    <t>ООО Элемент Трейд</t>
  </si>
  <si>
    <t>Арахис жарено соленый тарелка со вкусами Ассорти 200 г</t>
  </si>
  <si>
    <t>Екатеринбург</t>
  </si>
  <si>
    <t>Новосибирск</t>
  </si>
  <si>
    <t>Нефтеюганск</t>
  </si>
  <si>
    <t>Промстеклоснаб</t>
  </si>
  <si>
    <t>Доставка</t>
  </si>
  <si>
    <t>FM Logistic</t>
  </si>
  <si>
    <t>Москва</t>
  </si>
  <si>
    <t>Замена суммы</t>
  </si>
  <si>
    <t>Акваэлемент</t>
  </si>
  <si>
    <t>Егорьевск+Химки</t>
  </si>
  <si>
    <t xml:space="preserve"> доставка в два адреса</t>
  </si>
  <si>
    <t>Элемент Трейд</t>
  </si>
  <si>
    <t>поступление ч/л</t>
  </si>
  <si>
    <t>комиссия</t>
  </si>
  <si>
    <t>палеты</t>
  </si>
  <si>
    <t>з/п Захаров</t>
  </si>
  <si>
    <t>дизельное топливо для кары</t>
  </si>
  <si>
    <t>инветарь для уборки</t>
  </si>
  <si>
    <t xml:space="preserve">Проценты по депозиту </t>
  </si>
  <si>
    <t xml:space="preserve">Комиссия банка </t>
  </si>
  <si>
    <t xml:space="preserve">Финансирование по факторингу </t>
  </si>
  <si>
    <t>Перевод в ВТБ</t>
  </si>
  <si>
    <t xml:space="preserve">ООО Экобиотехнологии  за отработаное масло </t>
  </si>
  <si>
    <t xml:space="preserve">ООО Все инструменты  за риббон </t>
  </si>
  <si>
    <t xml:space="preserve">ООО Яндекс лавка за арахис </t>
  </si>
  <si>
    <t xml:space="preserve">ООО Креп пласт  за поликарбонат </t>
  </si>
  <si>
    <t xml:space="preserve">Перевод с альфа банка </t>
  </si>
  <si>
    <t>ИП Головлин  аренда  оборудования</t>
  </si>
  <si>
    <t xml:space="preserve">ООО Люкс ОЙЛ за пальмовое масло </t>
  </si>
  <si>
    <t xml:space="preserve">ООО ТД Доминант </t>
  </si>
  <si>
    <t>Размещение на депозите  695000</t>
  </si>
  <si>
    <t xml:space="preserve">ООО Агроимпэкс  за арахис </t>
  </si>
  <si>
    <t>Пятая база</t>
  </si>
  <si>
    <t>Пивкоф</t>
  </si>
  <si>
    <t xml:space="preserve">поступление ч/л </t>
  </si>
  <si>
    <t>поступление от НС через АА</t>
  </si>
  <si>
    <t>уборка</t>
  </si>
  <si>
    <t>швабры</t>
  </si>
  <si>
    <t>автошампунь</t>
  </si>
  <si>
    <t>пицца для сотрудников</t>
  </si>
  <si>
    <t>з/п</t>
  </si>
  <si>
    <t>откачка канализации</t>
  </si>
  <si>
    <t>бензин для триммера</t>
  </si>
  <si>
    <t>з/п Агапова СА</t>
  </si>
  <si>
    <t>Редакция поступления</t>
  </si>
  <si>
    <t xml:space="preserve">страховые взносы  травматизм апрель </t>
  </si>
  <si>
    <t>комиссия банка</t>
  </si>
  <si>
    <t xml:space="preserve">Золотой снек  за арахис </t>
  </si>
  <si>
    <t xml:space="preserve">Комиссия банка за май обслуживание счета </t>
  </si>
  <si>
    <t xml:space="preserve">Яндекс ласка за арахис </t>
  </si>
  <si>
    <t xml:space="preserve">Заработная плата апрель Зыкова </t>
  </si>
  <si>
    <t xml:space="preserve">Заработная плата апрель Хомутская </t>
  </si>
  <si>
    <t xml:space="preserve">Заработная плата  апрель Чижиков </t>
  </si>
  <si>
    <t xml:space="preserve">Заработная плата апрель Агапова </t>
  </si>
  <si>
    <t xml:space="preserve">Заработная плата по реестрам  апрель </t>
  </si>
  <si>
    <t>Размещение на депозите 1767000</t>
  </si>
  <si>
    <t>ЭЛЕМЕНТ-ТРЕЙД ООО</t>
  </si>
  <si>
    <t>Ассорти арахиса жареного со специями, тарелка 200 г</t>
  </si>
  <si>
    <t>Кому / От кого</t>
  </si>
  <si>
    <t>ИП Савин</t>
  </si>
  <si>
    <t>арахис</t>
  </si>
  <si>
    <t>Рыбное-Большое Толбино</t>
  </si>
  <si>
    <t>Редакция  стоимости доставки</t>
  </si>
  <si>
    <t>FM Logistic-Монетка</t>
  </si>
  <si>
    <t xml:space="preserve">арахис </t>
  </si>
  <si>
    <t>Указал сумму за доставку за два палета в Нефтеюганск</t>
  </si>
  <si>
    <t>смаки 200 гр</t>
  </si>
  <si>
    <t xml:space="preserve">поступление от АА </t>
  </si>
  <si>
    <t>возврат залога</t>
  </si>
  <si>
    <t>редакция</t>
  </si>
  <si>
    <t xml:space="preserve">оплата квартиры </t>
  </si>
  <si>
    <t>коммунальные услуги</t>
  </si>
  <si>
    <t xml:space="preserve">Проценты  по депозиту </t>
  </si>
  <si>
    <t>ООО Интернет решения  за картридж</t>
  </si>
  <si>
    <t xml:space="preserve">ООО Все инструменты  за мешки для мусора </t>
  </si>
  <si>
    <t xml:space="preserve">ООО Мастер строй за хозтовары </t>
  </si>
  <si>
    <t xml:space="preserve">ИП Савин транспортные услуги </t>
  </si>
  <si>
    <t xml:space="preserve">ИП Ким  за масло  подсолнечное </t>
  </si>
  <si>
    <t xml:space="preserve">ИП Савин за востановление оборудования </t>
  </si>
  <si>
    <t>Размещение средств на депозите 1050000</t>
  </si>
  <si>
    <t>Люкс Оил- Снекпром</t>
  </si>
  <si>
    <t>пальмовое масло</t>
  </si>
  <si>
    <t>Москва-Рыбное</t>
  </si>
  <si>
    <t>Редакция цены доставки</t>
  </si>
  <si>
    <t>арахис в корочке микс</t>
  </si>
  <si>
    <t>МЮ</t>
  </si>
  <si>
    <t>ИП 1</t>
  </si>
  <si>
    <t>арахис в корочке васаби</t>
  </si>
  <si>
    <t>арахис в корочке сметана зелень</t>
  </si>
  <si>
    <t>поступление от ИП2</t>
  </si>
  <si>
    <t xml:space="preserve">редакция, внёс полную сумму </t>
  </si>
  <si>
    <t>поступление от МЮ</t>
  </si>
  <si>
    <t>комиссия 7%+банковская</t>
  </si>
  <si>
    <t>болты и шайбы для сборки фасовки</t>
  </si>
  <si>
    <t xml:space="preserve">ООО Промстеклоснаб  транспортные услуги </t>
  </si>
  <si>
    <t>ООО Стэк сопровождение 1С</t>
  </si>
  <si>
    <t xml:space="preserve">ИП Харламова  услуги предоставления персонала </t>
  </si>
  <si>
    <t xml:space="preserve">ИП Головлин  аренда оборудования </t>
  </si>
  <si>
    <t>манипулятор (разгружали биг-беги)</t>
  </si>
  <si>
    <t xml:space="preserve">редакция </t>
  </si>
  <si>
    <t>Снекпром</t>
  </si>
  <si>
    <t>железные бочки из-под патоки</t>
  </si>
  <si>
    <t>Поступление от ИП1</t>
  </si>
  <si>
    <t>поступление н (за железые бочки)</t>
  </si>
  <si>
    <t>мешки</t>
  </si>
  <si>
    <t>доставка</t>
  </si>
  <si>
    <t>Агроимпекс-Снекпром</t>
  </si>
  <si>
    <t>арахис сплит</t>
  </si>
  <si>
    <t>Москва (Химки)</t>
  </si>
  <si>
    <t>форсунки для барабана</t>
  </si>
  <si>
    <t>з/п Саманков</t>
  </si>
  <si>
    <t>з/п Матвиенко</t>
  </si>
  <si>
    <t>з/п сотрудники</t>
  </si>
  <si>
    <t>командировка Логинов (конструктор)</t>
  </si>
  <si>
    <t xml:space="preserve">ООО Золотой снек  за арахис </t>
  </si>
  <si>
    <t>ООО ПЭК  за доставку</t>
  </si>
  <si>
    <t xml:space="preserve">ООО Приопак за пленку </t>
  </si>
  <si>
    <t xml:space="preserve">Лаконт А за светопробы </t>
  </si>
  <si>
    <t xml:space="preserve">АО Эко ресурс  за диоксид титана </t>
  </si>
  <si>
    <t>Размещение на депозите 277000</t>
  </si>
  <si>
    <t>монтаж перегородки в помывочной зоне</t>
  </si>
  <si>
    <t xml:space="preserve">ИП Лысенко  за арахис </t>
  </si>
  <si>
    <t>Комиссия банка</t>
  </si>
  <si>
    <t xml:space="preserve">Перевод в ВТБ </t>
  </si>
  <si>
    <t xml:space="preserve">ООО Золотой снек </t>
  </si>
  <si>
    <t xml:space="preserve">ООО Эко-пронск  вывоз мусора </t>
  </si>
  <si>
    <t xml:space="preserve">Саманков В.И. оплата по договору  изготовл металлоконструкций </t>
  </si>
  <si>
    <t xml:space="preserve">Перевод с Альфа банк </t>
  </si>
  <si>
    <t xml:space="preserve">ОО Компания ОПТТорг  за арахис </t>
  </si>
  <si>
    <t>Размещение на депозит 252000</t>
  </si>
  <si>
    <t>Элемент-Трейд</t>
  </si>
  <si>
    <t>Арахис в хрустящей корочке "Квадромикс", тарелка 200 г</t>
  </si>
  <si>
    <t>Уфа</t>
  </si>
  <si>
    <t>Снекпром - FM Logistic</t>
  </si>
  <si>
    <t>Большое Толбино</t>
  </si>
  <si>
    <t>Снекпром - Элемент Трэйд</t>
  </si>
  <si>
    <t>была указана цена за паллет</t>
  </si>
  <si>
    <t>приход ИП У4</t>
  </si>
  <si>
    <t>з/п Рожков</t>
  </si>
  <si>
    <t>баннер  (б/у накрыли Нотис)</t>
  </si>
  <si>
    <t xml:space="preserve">Проценты по депозиту  </t>
  </si>
  <si>
    <t xml:space="preserve">ООО Интернет решения за халаты </t>
  </si>
  <si>
    <t xml:space="preserve">ООО Акваэлемент  за переработку </t>
  </si>
  <si>
    <t xml:space="preserve">ООО Офисмаг за клейкую ленту </t>
  </si>
  <si>
    <t xml:space="preserve">ООО Интернет решения за хозтовары </t>
  </si>
  <si>
    <t xml:space="preserve">ООО Крахмалпродукт за патоку </t>
  </si>
  <si>
    <t xml:space="preserve">ООО Пластик  за тарелки </t>
  </si>
  <si>
    <t>Золотой Снек</t>
  </si>
  <si>
    <t>Арахис в хрустящей корочке Сыр 1 кг/10 шт</t>
  </si>
  <si>
    <t>Арахис в хрустящей корочке Холодец с хреном 1 кг/10 шт</t>
  </si>
  <si>
    <t>Арахис в хрустящей корочке Чили-лайм 1 кг/10 шт</t>
  </si>
  <si>
    <t>розетка</t>
  </si>
  <si>
    <t>ИП Лысенко</t>
  </si>
  <si>
    <t>Smakky</t>
  </si>
  <si>
    <t>поступление ч/л ИП1</t>
  </si>
  <si>
    <t>240 переплатил</t>
  </si>
  <si>
    <t>монтаж фасовки (Евгений Третьяков)</t>
  </si>
  <si>
    <t>расходники на фасовку</t>
  </si>
  <si>
    <t xml:space="preserve">Возврат Интернет решения </t>
  </si>
  <si>
    <t xml:space="preserve">ООО Золотой снек за арахис </t>
  </si>
  <si>
    <t xml:space="preserve">Ростелеком за услуги связи </t>
  </si>
  <si>
    <t xml:space="preserve">Перевод с Альфа банка </t>
  </si>
  <si>
    <t xml:space="preserve">Интернет решения за сетевой фильтр,патч корт </t>
  </si>
  <si>
    <t xml:space="preserve">ООО Мастер строй  за материалы </t>
  </si>
  <si>
    <t xml:space="preserve">ООО Офис маг за канцтовары </t>
  </si>
  <si>
    <t>ООО Эколаб за дизинфекцию</t>
  </si>
  <si>
    <t xml:space="preserve">ООО ТД Виктан  за соль </t>
  </si>
  <si>
    <t xml:space="preserve">ООО ПРомстеклоснаб транспортные услуги </t>
  </si>
  <si>
    <t xml:space="preserve">ООО Русские мельницы  мука </t>
  </si>
  <si>
    <t xml:space="preserve">ООО ВМ ИНгридиентс за ароматизатор пищевой </t>
  </si>
  <si>
    <t>Размещение на депозите 295000</t>
  </si>
  <si>
    <t>поступление ИП2</t>
  </si>
  <si>
    <t>поступление ИП3</t>
  </si>
  <si>
    <t>комиссия ИП2 налог 7</t>
  </si>
  <si>
    <t>комиссия ИП2 комиссия банка</t>
  </si>
  <si>
    <t>комиссия ИП3</t>
  </si>
  <si>
    <t xml:space="preserve">палеты </t>
  </si>
  <si>
    <t xml:space="preserve">Перевод  с альфа банка </t>
  </si>
  <si>
    <t>Альфа банк комиссия за АУДЗ</t>
  </si>
  <si>
    <t xml:space="preserve">ИП Савина  О.В. электроэнергия </t>
  </si>
  <si>
    <t xml:space="preserve">Альфа банк  факторинговая комиссия </t>
  </si>
  <si>
    <t>Размещение на депозите 150000</t>
  </si>
  <si>
    <t xml:space="preserve">ИП Савин Д аренда погрузчика </t>
  </si>
  <si>
    <t>ИП Савина О.В. аренда  недвижимости</t>
  </si>
  <si>
    <t xml:space="preserve">ИП Савин </t>
  </si>
  <si>
    <t>Снекпром- Пластик</t>
  </si>
  <si>
    <t>плпастиковые тарелки</t>
  </si>
  <si>
    <t>Рязань</t>
  </si>
  <si>
    <t>FM Logistic-Снекпром</t>
  </si>
  <si>
    <t>Подольск</t>
  </si>
  <si>
    <t>Снекпром-ТД Крахмал продукт</t>
  </si>
  <si>
    <t>патока</t>
  </si>
  <si>
    <t>Снекпром-Экоресурс</t>
  </si>
  <si>
    <t>диоксид титана</t>
  </si>
  <si>
    <t>Снекпро-Элемент Трэйд</t>
  </si>
  <si>
    <t>возрат займа Нерудснаб</t>
  </si>
  <si>
    <t>канцтовары</t>
  </si>
  <si>
    <t>хозтовары</t>
  </si>
  <si>
    <t>Уралсиб</t>
  </si>
  <si>
    <t>Остаток на начало дня :</t>
  </si>
  <si>
    <t xml:space="preserve">Поступление </t>
  </si>
  <si>
    <t xml:space="preserve">от кого </t>
  </si>
  <si>
    <t xml:space="preserve">сумма </t>
  </si>
  <si>
    <r>
      <rPr>
        <b/>
        <sz val="11"/>
        <color theme="1"/>
        <rFont val="Times New Roman"/>
        <family val="1"/>
        <charset val="204"/>
      </rPr>
      <t>сумма</t>
    </r>
    <r>
      <rPr>
        <b/>
        <sz val="12"/>
        <color theme="1"/>
        <rFont val="Arial"/>
        <family val="2"/>
        <charset val="204"/>
      </rPr>
      <t xml:space="preserve"> </t>
    </r>
  </si>
  <si>
    <t xml:space="preserve">Перевод с ВТБ </t>
  </si>
  <si>
    <r>
      <rPr>
        <sz val="11"/>
        <color theme="1"/>
        <rFont val="Times New Roman"/>
        <family val="1"/>
        <charset val="204"/>
      </rPr>
      <t>комиссия банка</t>
    </r>
    <r>
      <rPr>
        <sz val="12"/>
        <color theme="1"/>
        <rFont val="Arial"/>
        <family val="2"/>
        <charset val="204"/>
      </rPr>
      <t xml:space="preserve"> </t>
    </r>
  </si>
  <si>
    <t xml:space="preserve">Перевод в Уралсиб на погашение комиссии банка </t>
  </si>
  <si>
    <t xml:space="preserve">Заработная плата Геращенко </t>
  </si>
  <si>
    <t xml:space="preserve">заработая плата Крылова </t>
  </si>
  <si>
    <t xml:space="preserve">ООО ЮГ Логистика  услуги доставки </t>
  </si>
  <si>
    <t xml:space="preserve">Заработная плата Хомутская </t>
  </si>
  <si>
    <t xml:space="preserve">Заработная плата Зыкова </t>
  </si>
  <si>
    <t xml:space="preserve">Заработная плата Чижиков </t>
  </si>
  <si>
    <t xml:space="preserve">Заработная плата Агапова </t>
  </si>
  <si>
    <t xml:space="preserve">ООО Промстеклоснаб транспортные услуги </t>
  </si>
  <si>
    <t>Заработная плата по реестру</t>
  </si>
  <si>
    <t xml:space="preserve">ООО Союзснаб  за пищевые добавки </t>
  </si>
  <si>
    <t xml:space="preserve">Остаток на конец дня </t>
  </si>
  <si>
    <t>работа Третьяков Евгений (фасовка Бистром)</t>
  </si>
  <si>
    <t>Элемент трейд</t>
  </si>
  <si>
    <t>Пермь</t>
  </si>
  <si>
    <t xml:space="preserve">ФМ </t>
  </si>
  <si>
    <t>ФМ</t>
  </si>
  <si>
    <t>бочка железная</t>
  </si>
  <si>
    <t>арахис в хрустящей оболочке васаби</t>
  </si>
  <si>
    <t>арахис в хрустящей оболочке сыр</t>
  </si>
  <si>
    <t>арахис ж/с</t>
  </si>
  <si>
    <t>поступление от ИП Супрунов</t>
  </si>
  <si>
    <t>арахис в корочке бекон</t>
  </si>
  <si>
    <t>арахис в корочке мексиканский соус</t>
  </si>
  <si>
    <t>арахис в корочке барбекю</t>
  </si>
  <si>
    <t>арахис в корочке сыр</t>
  </si>
  <si>
    <t>поступление ИП Супрунов</t>
  </si>
  <si>
    <t>почта</t>
  </si>
  <si>
    <t>з/п Фетисова (рассчет)</t>
  </si>
  <si>
    <t>сетка от комаров</t>
  </si>
  <si>
    <t xml:space="preserve">ООО Белторгфуд </t>
  </si>
  <si>
    <t>ООО Стэк  обслуживание 1С</t>
  </si>
  <si>
    <t xml:space="preserve">ООО Мастер строй за мешки ,материалы </t>
  </si>
  <si>
    <t xml:space="preserve">ООО Интернет решения  за спецодежду ,хохзтовары </t>
  </si>
  <si>
    <t xml:space="preserve">ООО Промстеклоснаб за транспортные услуги   </t>
  </si>
  <si>
    <t xml:space="preserve">ИП Харламова за услуги по предоставлению персонала </t>
  </si>
  <si>
    <t>Размещение на депозите  1325800</t>
  </si>
  <si>
    <t>поступление ИП1</t>
  </si>
  <si>
    <t>поступление от ИП 1</t>
  </si>
  <si>
    <t>переплата 300 руб</t>
  </si>
  <si>
    <t>поступление от ч/л</t>
  </si>
  <si>
    <t>переплата 25 руб</t>
  </si>
  <si>
    <t>з/п Рашидова (рассчет)</t>
  </si>
  <si>
    <t>з/п Музалев (рассчет)</t>
  </si>
  <si>
    <t xml:space="preserve">ООО "Концепт " за риббон </t>
  </si>
  <si>
    <t xml:space="preserve">ООО Интернет Решения  за хозтовары </t>
  </si>
  <si>
    <t xml:space="preserve">ООО Лейб стик  за этикетки </t>
  </si>
  <si>
    <t xml:space="preserve">АО Союзснаб  за пищевые добавка </t>
  </si>
  <si>
    <t>Размещение на депозите  1096000</t>
  </si>
  <si>
    <t>поступление от Пивкофф</t>
  </si>
  <si>
    <t>манипулятор (разгрузка плит под мусорный контейнера)</t>
  </si>
  <si>
    <t>командировка в Москву за весовым дозатором для тарелок (Третьяков Евгений)</t>
  </si>
  <si>
    <t>Редакция остатка на конец дня</t>
  </si>
  <si>
    <t xml:space="preserve">ООО Интернет решения  за трос для насоса </t>
  </si>
  <si>
    <t>ООО Интернет решения  за лакмусовая бумага ,ролик с подшипником</t>
  </si>
  <si>
    <t xml:space="preserve">ООО Интернет решения за перчатки </t>
  </si>
  <si>
    <t xml:space="preserve">ИП Шамандрина  за москитные сетки </t>
  </si>
  <si>
    <t xml:space="preserve">ООО Офисмаг за канцтовары </t>
  </si>
  <si>
    <t xml:space="preserve">ООО Спецстройгрупп ремонт электрооборудования </t>
  </si>
  <si>
    <t xml:space="preserve">Лаконт Александр   разработка дизайна сайта </t>
  </si>
  <si>
    <t>Размещение средств на депозите 878000</t>
  </si>
  <si>
    <t>ООО Золотой СНЕК</t>
  </si>
  <si>
    <t>Арахис в хрустящей корочке МИКС 1 кг/10 шт</t>
  </si>
  <si>
    <t>Арахис в хрустящей корочке Васаби 1 кг/10 шт</t>
  </si>
  <si>
    <t>Арахис в хрустящей корочке Сметана зелень 1 кг/10 шт</t>
  </si>
  <si>
    <t>Челябинск</t>
  </si>
  <si>
    <t>редакция 570 руб</t>
  </si>
  <si>
    <t>запчасть для газонокосилки</t>
  </si>
  <si>
    <t xml:space="preserve">ООО Чистая вода   вода питьевая </t>
  </si>
  <si>
    <t xml:space="preserve">ООО Интернет решения  за ламинатор </t>
  </si>
  <si>
    <t>ООО ДБС  за ленту конвейерную</t>
  </si>
  <si>
    <t xml:space="preserve">ООО Итеко Россия  транспортные услуги </t>
  </si>
  <si>
    <t xml:space="preserve">АО ФМ Ложистик Восток  транспортные услуги </t>
  </si>
  <si>
    <t>Размещение на депозите 278000</t>
  </si>
  <si>
    <t>Золотой снек</t>
  </si>
  <si>
    <t>Арахис в хрустящей корочке Шашлык 1 кг/10 шт</t>
  </si>
  <si>
    <t>Элемент-трейд</t>
  </si>
  <si>
    <t>поступление займа от АА через НС</t>
  </si>
  <si>
    <t>премия Амплеева</t>
  </si>
  <si>
    <t>премия Пургина</t>
  </si>
  <si>
    <t>премия Реброва</t>
  </si>
  <si>
    <t>премия Гончарова</t>
  </si>
  <si>
    <t>угощения для сотрудников</t>
  </si>
  <si>
    <t xml:space="preserve">финансирование по факторингу </t>
  </si>
  <si>
    <t xml:space="preserve">перевод в ВТБ </t>
  </si>
  <si>
    <t xml:space="preserve">ООО Эколаб за услуги дератизации </t>
  </si>
  <si>
    <t>ООО ПФ Крэдо за ремонт двигателя</t>
  </si>
  <si>
    <t xml:space="preserve">ИП Головлин  аренда </t>
  </si>
  <si>
    <t>размещение на депозите 312340</t>
  </si>
  <si>
    <t>ЕКБ</t>
  </si>
  <si>
    <t>Химки</t>
  </si>
  <si>
    <t>обжарка арахиса</t>
  </si>
  <si>
    <t>Услуга по обжарке арахиса</t>
  </si>
  <si>
    <t xml:space="preserve">ИП1 </t>
  </si>
  <si>
    <t>Поступление от ИП2</t>
  </si>
  <si>
    <t>комиссия ИП1</t>
  </si>
  <si>
    <t>Комиссия ИП 2</t>
  </si>
  <si>
    <t>Зарплата Савин</t>
  </si>
  <si>
    <t xml:space="preserve">ИП Савин за транспортные услуги </t>
  </si>
  <si>
    <t>Размещение на депозите 800000</t>
  </si>
  <si>
    <t>Арахис в хрустящей корочке Мексиканский соус 1 кг/10 шт</t>
  </si>
  <si>
    <t>Белторгфуд</t>
  </si>
  <si>
    <t>Арахис в хрустящей корочке ассорти со вкусами: Бекон, Сыр, Васаби, 0,5 кг</t>
  </si>
  <si>
    <t>Оплачено 62000</t>
  </si>
  <si>
    <t>актуальный остаток на начало дня</t>
  </si>
  <si>
    <t>поступление Пятая база</t>
  </si>
  <si>
    <t>аптечка</t>
  </si>
  <si>
    <t>з/п технолог Маргарита</t>
  </si>
  <si>
    <t xml:space="preserve">аренда квартиры </t>
  </si>
  <si>
    <t xml:space="preserve">обслуживание счета </t>
  </si>
  <si>
    <t>ООО КМТ профи за заправку картриджа</t>
  </si>
  <si>
    <t xml:space="preserve">ООО Мастер строй за дрель ,материалы </t>
  </si>
  <si>
    <t xml:space="preserve">ИП Савина О.В. аренда </t>
  </si>
  <si>
    <t>Размещение на депозите 275000</t>
  </si>
  <si>
    <t>Аурум Фуд</t>
  </si>
  <si>
    <t>Золотой Снек (тарелки, гофрокороба)</t>
  </si>
  <si>
    <t>Интернет Решения</t>
  </si>
  <si>
    <t>Лейбл Стик (этикетки)</t>
  </si>
  <si>
    <t>ТД Л-Пак (гофроящики)</t>
  </si>
  <si>
    <t>Тара.ру (гофроящики)</t>
  </si>
  <si>
    <t>НИКА (лотки)</t>
  </si>
  <si>
    <t>Ф-Граф (пленки)</t>
  </si>
  <si>
    <t>СЗ-Гофра</t>
  </si>
  <si>
    <t>Упак Ареал</t>
  </si>
  <si>
    <t>РусУпак</t>
  </si>
  <si>
    <t>Пластик (тарелки)</t>
  </si>
  <si>
    <t>Полимаркет (этикетки)</t>
  </si>
  <si>
    <t>Приопак</t>
  </si>
  <si>
    <t>ООО ТД Л-Пак</t>
  </si>
  <si>
    <t>ИП Савина О.В. Электроэнергия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</si>
</sst>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#,##0.00\ &quot;₽&quot;;[Red]\-#,##0.00\ &quot;₽&quot;"/>
    <numFmt numFmtId="164" formatCode="0.000"/>
    <numFmt numFmtId="165" formatCode="#,##0.00\ &quot;₽&quot;"/>
    <numFmt numFmtId="166" formatCode="#,##0.000\ &quot;₽&quot;"/>
    <numFmt numFmtId="167" formatCode="0.0"/>
    <numFmt numFmtId="168" formatCode="#,##0.00\ _₽"/>
  </numFmts>
  <fonts count="24" x14ac:knownFonts="1">
    <font>
      <sz val="12"/>
      <color theme="1"/>
      <name val="Aptos Narrow"/>
      <scheme val="minor"/>
    </font>
    <font>
      <b/>
      <sz val="1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Aptos Narrow"/>
      <family val="2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b/>
      <sz val="18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11"/>
      <color rgb="FFED0000"/>
      <name val="Times New Roman"/>
      <family val="1"/>
      <charset val="204"/>
    </font>
    <font>
      <sz val="12"/>
      <color theme="1"/>
      <name val="Aptos Narrow"/>
      <family val="2"/>
    </font>
    <font>
      <b/>
      <sz val="12"/>
      <color theme="1"/>
      <name val="Times New Roman"/>
      <family val="1"/>
      <charset val="204"/>
    </font>
    <font>
      <b/>
      <sz val="12"/>
      <color theme="1"/>
      <name val="Aptos Narrow"/>
      <family val="2"/>
    </font>
    <font>
      <sz val="12"/>
      <color theme="1"/>
      <name val="Times New Roman"/>
      <family val="1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00B0F0"/>
        <bgColor rgb="FF00B0F0"/>
      </patternFill>
    </fill>
    <fill>
      <patternFill patternType="solid">
        <fgColor rgb="FFFDC7EB"/>
        <bgColor rgb="FFFDC7EB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9"/>
        <bgColor theme="9"/>
      </patternFill>
    </fill>
    <fill>
      <patternFill patternType="solid">
        <fgColor rgb="FFA5A5A5"/>
        <bgColor rgb="FFA5A5A5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9">
    <xf numFmtId="0" fontId="0" fillId="0" borderId="0" xfId="0"/>
    <xf numFmtId="0" fontId="2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3" borderId="7" xfId="0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164" fontId="2" fillId="3" borderId="7" xfId="0" applyNumberFormat="1" applyFont="1" applyFill="1" applyBorder="1" applyAlignment="1">
      <alignment horizontal="center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165" fontId="6" fillId="3" borderId="9" xfId="0" applyNumberFormat="1" applyFont="1" applyFill="1" applyBorder="1" applyAlignment="1">
      <alignment horizontal="center" vertical="center"/>
    </xf>
    <xf numFmtId="165" fontId="2" fillId="3" borderId="10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/>
    <xf numFmtId="0" fontId="6" fillId="3" borderId="11" xfId="0" applyFont="1" applyFill="1" applyBorder="1" applyAlignment="1">
      <alignment vertical="center" wrapText="1"/>
    </xf>
    <xf numFmtId="165" fontId="6" fillId="3" borderId="12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right" vertical="center"/>
    </xf>
    <xf numFmtId="165" fontId="6" fillId="3" borderId="9" xfId="0" applyNumberFormat="1" applyFont="1" applyFill="1" applyBorder="1" applyAlignment="1">
      <alignment horizontal="right" vertical="center"/>
    </xf>
    <xf numFmtId="165" fontId="2" fillId="3" borderId="10" xfId="0" applyNumberFormat="1" applyFont="1" applyFill="1" applyBorder="1" applyAlignment="1">
      <alignment horizontal="right" vertical="center"/>
    </xf>
    <xf numFmtId="0" fontId="6" fillId="3" borderId="15" xfId="0" applyFont="1" applyFill="1" applyBorder="1"/>
    <xf numFmtId="0" fontId="6" fillId="3" borderId="15" xfId="0" applyFont="1" applyFill="1" applyBorder="1" applyAlignment="1">
      <alignment horizontal="center" vertical="center"/>
    </xf>
    <xf numFmtId="165" fontId="6" fillId="3" borderId="12" xfId="0" applyNumberFormat="1" applyFont="1" applyFill="1" applyBorder="1" applyAlignment="1">
      <alignment horizontal="right" vertical="center"/>
    </xf>
    <xf numFmtId="166" fontId="6" fillId="3" borderId="15" xfId="0" applyNumberFormat="1" applyFont="1" applyFill="1" applyBorder="1"/>
    <xf numFmtId="0" fontId="2" fillId="2" borderId="15" xfId="0" applyFont="1" applyFill="1" applyBorder="1"/>
    <xf numFmtId="0" fontId="6" fillId="2" borderId="1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vertical="center"/>
    </xf>
    <xf numFmtId="2" fontId="5" fillId="2" borderId="15" xfId="0" applyNumberFormat="1" applyFont="1" applyFill="1" applyBorder="1"/>
    <xf numFmtId="2" fontId="5" fillId="2" borderId="12" xfId="0" applyNumberFormat="1" applyFont="1" applyFill="1" applyBorder="1"/>
    <xf numFmtId="0" fontId="6" fillId="2" borderId="12" xfId="0" applyFont="1" applyFill="1" applyBorder="1"/>
    <xf numFmtId="165" fontId="5" fillId="2" borderId="15" xfId="0" applyNumberFormat="1" applyFont="1" applyFill="1" applyBorder="1"/>
    <xf numFmtId="165" fontId="6" fillId="2" borderId="15" xfId="0" applyNumberFormat="1" applyFont="1" applyFill="1" applyBorder="1"/>
    <xf numFmtId="0" fontId="6" fillId="0" borderId="0" xfId="0" applyFont="1"/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4" borderId="15" xfId="0" applyFont="1" applyFill="1" applyBorder="1"/>
    <xf numFmtId="0" fontId="5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/>
    </xf>
    <xf numFmtId="0" fontId="7" fillId="0" borderId="17" xfId="0" applyFont="1" applyBorder="1"/>
    <xf numFmtId="0" fontId="6" fillId="5" borderId="7" xfId="0" applyFont="1" applyFill="1" applyBorder="1"/>
    <xf numFmtId="2" fontId="5" fillId="0" borderId="15" xfId="0" applyNumberFormat="1" applyFont="1" applyBorder="1" applyAlignment="1">
      <alignment horizontal="center" vertical="center"/>
    </xf>
    <xf numFmtId="0" fontId="6" fillId="0" borderId="18" xfId="0" applyFont="1" applyBorder="1" applyAlignment="1">
      <alignment horizontal="center"/>
    </xf>
    <xf numFmtId="2" fontId="6" fillId="3" borderId="15" xfId="0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7" fillId="0" borderId="20" xfId="0" applyFont="1" applyBorder="1"/>
    <xf numFmtId="0" fontId="6" fillId="0" borderId="1" xfId="0" applyFont="1" applyBorder="1" applyAlignment="1">
      <alignment horizontal="center" wrapText="1"/>
    </xf>
    <xf numFmtId="0" fontId="9" fillId="0" borderId="0" xfId="0" applyFont="1"/>
    <xf numFmtId="0" fontId="5" fillId="3" borderId="15" xfId="0" applyFont="1" applyFill="1" applyBorder="1"/>
    <xf numFmtId="0" fontId="2" fillId="3" borderId="15" xfId="0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vertical="center"/>
    </xf>
    <xf numFmtId="165" fontId="3" fillId="3" borderId="15" xfId="0" applyNumberFormat="1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165" fontId="5" fillId="3" borderId="15" xfId="0" applyNumberFormat="1" applyFont="1" applyFill="1" applyBorder="1" applyAlignment="1">
      <alignment horizontal="right"/>
    </xf>
    <xf numFmtId="0" fontId="7" fillId="0" borderId="1" xfId="0" applyFont="1" applyBorder="1"/>
    <xf numFmtId="0" fontId="6" fillId="7" borderId="15" xfId="0" applyFont="1" applyFill="1" applyBorder="1" applyAlignment="1">
      <alignment horizontal="left"/>
    </xf>
    <xf numFmtId="0" fontId="2" fillId="7" borderId="15" xfId="0" applyFont="1" applyFill="1" applyBorder="1" applyAlignment="1">
      <alignment horizontal="center" vertical="center"/>
    </xf>
    <xf numFmtId="165" fontId="2" fillId="7" borderId="15" xfId="0" applyNumberFormat="1" applyFont="1" applyFill="1" applyBorder="1" applyAlignment="1">
      <alignment horizontal="center" vertical="center"/>
    </xf>
    <xf numFmtId="0" fontId="6" fillId="7" borderId="15" xfId="0" applyFont="1" applyFill="1" applyBorder="1"/>
    <xf numFmtId="2" fontId="2" fillId="7" borderId="15" xfId="0" applyNumberFormat="1" applyFont="1" applyFill="1" applyBorder="1"/>
    <xf numFmtId="2" fontId="3" fillId="7" borderId="15" xfId="0" applyNumberFormat="1" applyFont="1" applyFill="1" applyBorder="1"/>
    <xf numFmtId="165" fontId="5" fillId="7" borderId="15" xfId="0" applyNumberFormat="1" applyFont="1" applyFill="1" applyBorder="1" applyAlignment="1">
      <alignment horizontal="right"/>
    </xf>
    <xf numFmtId="0" fontId="6" fillId="7" borderId="15" xfId="0" applyFont="1" applyFill="1" applyBorder="1" applyAlignment="1">
      <alignment horizontal="center" vertical="center"/>
    </xf>
    <xf numFmtId="165" fontId="6" fillId="7" borderId="15" xfId="0" applyNumberFormat="1" applyFont="1" applyFill="1" applyBorder="1" applyAlignment="1">
      <alignment horizontal="center"/>
    </xf>
    <xf numFmtId="165" fontId="6" fillId="7" borderId="15" xfId="0" applyNumberFormat="1" applyFont="1" applyFill="1" applyBorder="1" applyAlignment="1">
      <alignment horizontal="right"/>
    </xf>
    <xf numFmtId="0" fontId="5" fillId="7" borderId="15" xfId="0" applyFont="1" applyFill="1" applyBorder="1"/>
    <xf numFmtId="0" fontId="5" fillId="7" borderId="15" xfId="0" applyFont="1" applyFill="1" applyBorder="1" applyAlignment="1">
      <alignment wrapText="1"/>
    </xf>
    <xf numFmtId="0" fontId="2" fillId="7" borderId="15" xfId="0" applyFont="1" applyFill="1" applyBorder="1" applyAlignment="1">
      <alignment vertical="center"/>
    </xf>
    <xf numFmtId="165" fontId="2" fillId="7" borderId="15" xfId="0" applyNumberFormat="1" applyFont="1" applyFill="1" applyBorder="1" applyAlignment="1">
      <alignment vertical="center"/>
    </xf>
    <xf numFmtId="165" fontId="5" fillId="7" borderId="15" xfId="0" applyNumberFormat="1" applyFont="1" applyFill="1" applyBorder="1"/>
    <xf numFmtId="0" fontId="6" fillId="7" borderId="15" xfId="0" applyFont="1" applyFill="1" applyBorder="1" applyAlignment="1">
      <alignment wrapText="1"/>
    </xf>
    <xf numFmtId="14" fontId="6" fillId="7" borderId="15" xfId="0" applyNumberFormat="1" applyFont="1" applyFill="1" applyBorder="1" applyAlignment="1">
      <alignment wrapText="1"/>
    </xf>
    <xf numFmtId="0" fontId="6" fillId="7" borderId="15" xfId="0" applyFont="1" applyFill="1" applyBorder="1" applyAlignment="1">
      <alignment vertical="center"/>
    </xf>
    <xf numFmtId="165" fontId="6" fillId="7" borderId="15" xfId="0" applyNumberFormat="1" applyFont="1" applyFill="1" applyBorder="1" applyAlignment="1">
      <alignment vertical="center"/>
    </xf>
    <xf numFmtId="0" fontId="5" fillId="7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6" borderId="15" xfId="0" applyFont="1" applyFill="1" applyBorder="1"/>
    <xf numFmtId="2" fontId="2" fillId="6" borderId="15" xfId="0" applyNumberFormat="1" applyFont="1" applyFill="1" applyBorder="1" applyAlignment="1">
      <alignment horizontal="center" vertical="center"/>
    </xf>
    <xf numFmtId="165" fontId="2" fillId="6" borderId="15" xfId="0" applyNumberFormat="1" applyFont="1" applyFill="1" applyBorder="1" applyAlignment="1">
      <alignment vertical="center"/>
    </xf>
    <xf numFmtId="165" fontId="3" fillId="6" borderId="15" xfId="0" applyNumberFormat="1" applyFont="1" applyFill="1" applyBorder="1" applyAlignment="1">
      <alignment vertical="center"/>
    </xf>
    <xf numFmtId="2" fontId="2" fillId="6" borderId="15" xfId="0" applyNumberFormat="1" applyFont="1" applyFill="1" applyBorder="1" applyAlignment="1">
      <alignment vertical="center"/>
    </xf>
    <xf numFmtId="165" fontId="5" fillId="6" borderId="15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5" fillId="8" borderId="13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 vertical="center" wrapText="1"/>
    </xf>
    <xf numFmtId="165" fontId="5" fillId="8" borderId="13" xfId="0" applyNumberFormat="1" applyFont="1" applyFill="1" applyBorder="1" applyAlignment="1">
      <alignment horizontal="center"/>
    </xf>
    <xf numFmtId="0" fontId="5" fillId="9" borderId="13" xfId="0" applyFont="1" applyFill="1" applyBorder="1" applyAlignment="1">
      <alignment horizontal="center" vertical="center" wrapText="1"/>
    </xf>
    <xf numFmtId="165" fontId="5" fillId="9" borderId="13" xfId="0" applyNumberFormat="1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/>
    </xf>
    <xf numFmtId="165" fontId="3" fillId="0" borderId="15" xfId="0" applyNumberFormat="1" applyFont="1" applyBorder="1" applyAlignment="1">
      <alignment horizontal="center" vertical="center" wrapText="1"/>
    </xf>
    <xf numFmtId="165" fontId="6" fillId="0" borderId="15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0" fillId="0" borderId="15" xfId="0" applyNumberFormat="1" applyFont="1" applyBorder="1" applyAlignment="1">
      <alignment horizontal="center" vertical="center" wrapText="1"/>
    </xf>
    <xf numFmtId="165" fontId="2" fillId="0" borderId="15" xfId="0" applyNumberFormat="1" applyFont="1" applyBorder="1" applyAlignment="1">
      <alignment vertical="center" wrapText="1"/>
    </xf>
    <xf numFmtId="165" fontId="6" fillId="5" borderId="15" xfId="0" applyNumberFormat="1" applyFont="1" applyFill="1" applyBorder="1" applyAlignment="1">
      <alignment horizontal="right" vertical="center"/>
    </xf>
    <xf numFmtId="165" fontId="2" fillId="0" borderId="15" xfId="0" applyNumberFormat="1" applyFont="1" applyBorder="1" applyAlignment="1">
      <alignment horizontal="left" vertical="center" wrapText="1"/>
    </xf>
    <xf numFmtId="165" fontId="6" fillId="0" borderId="18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65" fontId="2" fillId="5" borderId="15" xfId="0" applyNumberFormat="1" applyFont="1" applyFill="1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/>
    </xf>
    <xf numFmtId="165" fontId="2" fillId="5" borderId="15" xfId="0" applyNumberFormat="1" applyFont="1" applyFill="1" applyBorder="1" applyAlignment="1">
      <alignment horizontal="right" vertical="center" wrapText="1"/>
    </xf>
    <xf numFmtId="165" fontId="2" fillId="0" borderId="18" xfId="0" applyNumberFormat="1" applyFont="1" applyBorder="1" applyAlignment="1">
      <alignment horizontal="center" vertical="center" wrapText="1"/>
    </xf>
    <xf numFmtId="165" fontId="6" fillId="10" borderId="15" xfId="0" applyNumberFormat="1" applyFont="1" applyFill="1" applyBorder="1" applyAlignment="1">
      <alignment horizontal="right" vertical="center"/>
    </xf>
    <xf numFmtId="165" fontId="2" fillId="0" borderId="15" xfId="0" applyNumberFormat="1" applyFont="1" applyBorder="1" applyAlignment="1">
      <alignment horizontal="right" vertical="center" wrapText="1"/>
    </xf>
    <xf numFmtId="165" fontId="6" fillId="0" borderId="15" xfId="0" applyNumberFormat="1" applyFont="1" applyBorder="1" applyAlignment="1">
      <alignment horizontal="right" vertical="center"/>
    </xf>
    <xf numFmtId="0" fontId="3" fillId="5" borderId="15" xfId="0" applyFont="1" applyFill="1" applyBorder="1" applyAlignment="1">
      <alignment horizontal="center" vertical="center"/>
    </xf>
    <xf numFmtId="165" fontId="6" fillId="10" borderId="13" xfId="0" applyNumberFormat="1" applyFont="1" applyFill="1" applyBorder="1" applyAlignment="1">
      <alignment horizontal="center" vertical="center"/>
    </xf>
    <xf numFmtId="8" fontId="3" fillId="5" borderId="15" xfId="0" applyNumberFormat="1" applyFont="1" applyFill="1" applyBorder="1" applyAlignment="1">
      <alignment horizontal="center" vertical="center"/>
    </xf>
    <xf numFmtId="165" fontId="6" fillId="10" borderId="15" xfId="0" applyNumberFormat="1" applyFont="1" applyFill="1" applyBorder="1" applyAlignment="1">
      <alignment horizontal="left" vertical="center"/>
    </xf>
    <xf numFmtId="165" fontId="6" fillId="10" borderId="15" xfId="0" applyNumberFormat="1" applyFont="1" applyFill="1" applyBorder="1" applyAlignment="1">
      <alignment horizontal="center" vertical="center"/>
    </xf>
    <xf numFmtId="165" fontId="11" fillId="0" borderId="15" xfId="0" applyNumberFormat="1" applyFont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 vertical="center"/>
    </xf>
    <xf numFmtId="165" fontId="5" fillId="8" borderId="12" xfId="0" applyNumberFormat="1" applyFont="1" applyFill="1" applyBorder="1" applyAlignment="1">
      <alignment horizontal="center" vertical="center"/>
    </xf>
    <xf numFmtId="165" fontId="5" fillId="8" borderId="15" xfId="0" applyNumberFormat="1" applyFont="1" applyFill="1" applyBorder="1" applyAlignment="1">
      <alignment horizontal="center"/>
    </xf>
    <xf numFmtId="165" fontId="5" fillId="9" borderId="15" xfId="0" applyNumberFormat="1" applyFont="1" applyFill="1" applyBorder="1" applyAlignment="1">
      <alignment horizontal="center"/>
    </xf>
    <xf numFmtId="0" fontId="5" fillId="8" borderId="15" xfId="0" applyFont="1" applyFill="1" applyBorder="1" applyAlignment="1">
      <alignment vertical="center"/>
    </xf>
    <xf numFmtId="165" fontId="3" fillId="8" borderId="13" xfId="0" applyNumberFormat="1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165" fontId="5" fillId="11" borderId="1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12" fillId="0" borderId="0" xfId="0" applyFont="1"/>
    <xf numFmtId="0" fontId="3" fillId="2" borderId="21" xfId="0" applyFont="1" applyFill="1" applyBorder="1" applyAlignment="1">
      <alignment horizontal="left" vertical="center" wrapText="1"/>
    </xf>
    <xf numFmtId="14" fontId="3" fillId="2" borderId="22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left" vertical="center" wrapText="1"/>
    </xf>
    <xf numFmtId="49" fontId="3" fillId="0" borderId="28" xfId="0" applyNumberFormat="1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5" fillId="12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2" fillId="12" borderId="15" xfId="0" applyFont="1" applyFill="1" applyBorder="1" applyAlignment="1">
      <alignment horizontal="left" vertical="center" wrapText="1"/>
    </xf>
    <xf numFmtId="0" fontId="2" fillId="12" borderId="15" xfId="0" applyFont="1" applyFill="1" applyBorder="1" applyAlignment="1">
      <alignment horizontal="center" vertical="center"/>
    </xf>
    <xf numFmtId="2" fontId="6" fillId="12" borderId="15" xfId="0" applyNumberFormat="1" applyFont="1" applyFill="1" applyBorder="1" applyAlignment="1">
      <alignment horizontal="center" vertical="center"/>
    </xf>
    <xf numFmtId="167" fontId="2" fillId="12" borderId="15" xfId="0" applyNumberFormat="1" applyFont="1" applyFill="1" applyBorder="1" applyAlignment="1">
      <alignment horizontal="center" vertical="center"/>
    </xf>
    <xf numFmtId="165" fontId="6" fillId="12" borderId="15" xfId="0" applyNumberFormat="1" applyFont="1" applyFill="1" applyBorder="1" applyAlignment="1">
      <alignment horizontal="center" vertical="center"/>
    </xf>
    <xf numFmtId="1" fontId="14" fillId="0" borderId="17" xfId="0" applyNumberFormat="1" applyFont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left" vertical="center" wrapText="1"/>
    </xf>
    <xf numFmtId="1" fontId="15" fillId="0" borderId="17" xfId="0" applyNumberFormat="1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 wrapText="1"/>
    </xf>
    <xf numFmtId="2" fontId="16" fillId="0" borderId="17" xfId="0" applyNumberFormat="1" applyFont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2" fontId="6" fillId="12" borderId="10" xfId="0" applyNumberFormat="1" applyFont="1" applyFill="1" applyBorder="1" applyAlignment="1">
      <alignment horizontal="center" vertical="center"/>
    </xf>
    <xf numFmtId="167" fontId="2" fillId="12" borderId="7" xfId="0" applyNumberFormat="1" applyFont="1" applyFill="1" applyBorder="1" applyAlignment="1">
      <alignment horizontal="center" vertical="center"/>
    </xf>
    <xf numFmtId="2" fontId="6" fillId="12" borderId="9" xfId="0" applyNumberFormat="1" applyFont="1" applyFill="1" applyBorder="1" applyAlignment="1">
      <alignment horizontal="center" vertical="center"/>
    </xf>
    <xf numFmtId="165" fontId="6" fillId="12" borderId="7" xfId="0" applyNumberFormat="1" applyFont="1" applyFill="1" applyBorder="1" applyAlignment="1">
      <alignment horizontal="center" vertical="center"/>
    </xf>
    <xf numFmtId="165" fontId="6" fillId="12" borderId="30" xfId="0" applyNumberFormat="1" applyFont="1" applyFill="1" applyBorder="1" applyAlignment="1">
      <alignment horizontal="center" vertical="center"/>
    </xf>
    <xf numFmtId="0" fontId="6" fillId="12" borderId="11" xfId="0" applyFont="1" applyFill="1" applyBorder="1" applyAlignment="1">
      <alignment horizontal="center" vertical="center" wrapText="1"/>
    </xf>
    <xf numFmtId="2" fontId="6" fillId="12" borderId="13" xfId="0" applyNumberFormat="1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3" fillId="12" borderId="32" xfId="0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 wrapText="1"/>
    </xf>
    <xf numFmtId="0" fontId="2" fillId="12" borderId="34" xfId="0" applyFont="1" applyFill="1" applyBorder="1" applyAlignment="1">
      <alignment horizontal="center" vertical="center"/>
    </xf>
    <xf numFmtId="2" fontId="6" fillId="12" borderId="35" xfId="0" applyNumberFormat="1" applyFont="1" applyFill="1" applyBorder="1" applyAlignment="1">
      <alignment horizontal="center" vertical="center"/>
    </xf>
    <xf numFmtId="167" fontId="2" fillId="12" borderId="34" xfId="0" applyNumberFormat="1" applyFont="1" applyFill="1" applyBorder="1" applyAlignment="1">
      <alignment horizontal="center" vertical="center"/>
    </xf>
    <xf numFmtId="2" fontId="6" fillId="12" borderId="36" xfId="0" applyNumberFormat="1" applyFont="1" applyFill="1" applyBorder="1" applyAlignment="1">
      <alignment horizontal="center" vertical="center"/>
    </xf>
    <xf numFmtId="165" fontId="6" fillId="12" borderId="34" xfId="0" applyNumberFormat="1" applyFont="1" applyFill="1" applyBorder="1" applyAlignment="1">
      <alignment horizontal="center" vertical="center"/>
    </xf>
    <xf numFmtId="165" fontId="6" fillId="12" borderId="37" xfId="0" applyNumberFormat="1" applyFont="1" applyFill="1" applyBorder="1" applyAlignment="1">
      <alignment horizontal="center" vertical="center"/>
    </xf>
    <xf numFmtId="0" fontId="5" fillId="12" borderId="7" xfId="0" applyFont="1" applyFill="1" applyBorder="1"/>
    <xf numFmtId="0" fontId="2" fillId="12" borderId="10" xfId="0" applyFont="1" applyFill="1" applyBorder="1"/>
    <xf numFmtId="0" fontId="2" fillId="12" borderId="7" xfId="0" applyFont="1" applyFill="1" applyBorder="1"/>
    <xf numFmtId="2" fontId="6" fillId="12" borderId="9" xfId="0" applyNumberFormat="1" applyFont="1" applyFill="1" applyBorder="1" applyAlignment="1">
      <alignment horizontal="center"/>
    </xf>
    <xf numFmtId="165" fontId="6" fillId="12" borderId="7" xfId="0" applyNumberFormat="1" applyFont="1" applyFill="1" applyBorder="1"/>
    <xf numFmtId="2" fontId="16" fillId="0" borderId="15" xfId="0" applyNumberFormat="1" applyFont="1" applyBorder="1" applyAlignment="1">
      <alignment horizontal="center" vertical="center"/>
    </xf>
    <xf numFmtId="0" fontId="2" fillId="12" borderId="13" xfId="0" applyFont="1" applyFill="1" applyBorder="1"/>
    <xf numFmtId="0" fontId="2" fillId="12" borderId="15" xfId="0" applyFont="1" applyFill="1" applyBorder="1"/>
    <xf numFmtId="2" fontId="6" fillId="12" borderId="13" xfId="0" applyNumberFormat="1" applyFont="1" applyFill="1" applyBorder="1" applyAlignment="1">
      <alignment horizontal="center"/>
    </xf>
    <xf numFmtId="165" fontId="6" fillId="12" borderId="15" xfId="0" applyNumberFormat="1" applyFont="1" applyFill="1" applyBorder="1"/>
    <xf numFmtId="0" fontId="3" fillId="13" borderId="7" xfId="0" applyFont="1" applyFill="1" applyBorder="1" applyAlignment="1">
      <alignment horizontal="center"/>
    </xf>
    <xf numFmtId="0" fontId="5" fillId="13" borderId="9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vertical="center"/>
    </xf>
    <xf numFmtId="0" fontId="2" fillId="14" borderId="15" xfId="0" applyFont="1" applyFill="1" applyBorder="1"/>
    <xf numFmtId="2" fontId="5" fillId="15" borderId="13" xfId="0" applyNumberFormat="1" applyFont="1" applyFill="1" applyBorder="1" applyAlignment="1">
      <alignment horizontal="center"/>
    </xf>
    <xf numFmtId="2" fontId="5" fillId="13" borderId="7" xfId="0" applyNumberFormat="1" applyFont="1" applyFill="1" applyBorder="1" applyAlignment="1">
      <alignment horizontal="center"/>
    </xf>
    <xf numFmtId="168" fontId="5" fillId="13" borderId="9" xfId="0" applyNumberFormat="1" applyFont="1" applyFill="1" applyBorder="1" applyAlignment="1">
      <alignment horizontal="center"/>
    </xf>
    <xf numFmtId="165" fontId="5" fillId="13" borderId="10" xfId="0" applyNumberFormat="1" applyFont="1" applyFill="1" applyBorder="1"/>
    <xf numFmtId="3" fontId="5" fillId="0" borderId="38" xfId="0" applyNumberFormat="1" applyFont="1" applyBorder="1" applyAlignment="1">
      <alignment horizontal="center"/>
    </xf>
    <xf numFmtId="0" fontId="3" fillId="12" borderId="39" xfId="0" applyFont="1" applyFill="1" applyBorder="1" applyAlignment="1">
      <alignment horizontal="center" vertical="center" wrapText="1"/>
    </xf>
    <xf numFmtId="0" fontId="5" fillId="16" borderId="15" xfId="0" applyFont="1" applyFill="1" applyBorder="1" applyAlignment="1">
      <alignment horizontal="center" vertical="center"/>
    </xf>
    <xf numFmtId="0" fontId="5" fillId="16" borderId="15" xfId="0" applyFont="1" applyFill="1" applyBorder="1" applyAlignment="1">
      <alignment horizontal="center"/>
    </xf>
    <xf numFmtId="0" fontId="7" fillId="0" borderId="16" xfId="0" applyFont="1" applyBorder="1"/>
    <xf numFmtId="2" fontId="3" fillId="12" borderId="15" xfId="0" applyNumberFormat="1" applyFont="1" applyFill="1" applyBorder="1" applyAlignment="1">
      <alignment horizontal="center" vertical="center"/>
    </xf>
    <xf numFmtId="165" fontId="3" fillId="12" borderId="15" xfId="0" applyNumberFormat="1" applyFont="1" applyFill="1" applyBorder="1" applyAlignment="1">
      <alignment horizontal="center"/>
    </xf>
    <xf numFmtId="49" fontId="12" fillId="5" borderId="14" xfId="0" applyNumberFormat="1" applyFont="1" applyFill="1" applyBorder="1" applyAlignment="1">
      <alignment horizontal="center"/>
    </xf>
    <xf numFmtId="0" fontId="3" fillId="2" borderId="15" xfId="0" applyFont="1" applyFill="1" applyBorder="1"/>
    <xf numFmtId="0" fontId="5" fillId="2" borderId="39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vertical="center"/>
    </xf>
    <xf numFmtId="0" fontId="5" fillId="2" borderId="40" xfId="0" applyFont="1" applyFill="1" applyBorder="1"/>
    <xf numFmtId="0" fontId="5" fillId="2" borderId="15" xfId="0" applyFont="1" applyFill="1" applyBorder="1"/>
    <xf numFmtId="0" fontId="5" fillId="2" borderId="41" xfId="0" applyFont="1" applyFill="1" applyBorder="1"/>
    <xf numFmtId="0" fontId="3" fillId="3" borderId="15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wrapText="1"/>
    </xf>
    <xf numFmtId="2" fontId="2" fillId="3" borderId="15" xfId="0" applyNumberFormat="1" applyFont="1" applyFill="1" applyBorder="1" applyAlignment="1">
      <alignment horizontal="center" vertical="center"/>
    </xf>
    <xf numFmtId="165" fontId="6" fillId="3" borderId="11" xfId="0" applyNumberFormat="1" applyFont="1" applyFill="1" applyBorder="1" applyAlignment="1">
      <alignment horizontal="right" vertical="center"/>
    </xf>
    <xf numFmtId="0" fontId="12" fillId="16" borderId="15" xfId="0" applyFont="1" applyFill="1" applyBorder="1" applyAlignment="1">
      <alignment horizontal="center"/>
    </xf>
    <xf numFmtId="0" fontId="3" fillId="3" borderId="15" xfId="0" applyFont="1" applyFill="1" applyBorder="1"/>
    <xf numFmtId="0" fontId="2" fillId="3" borderId="15" xfId="0" applyFont="1" applyFill="1" applyBorder="1"/>
    <xf numFmtId="0" fontId="2" fillId="3" borderId="15" xfId="0" applyFont="1" applyFill="1" applyBorder="1" applyAlignment="1">
      <alignment horizontal="center"/>
    </xf>
    <xf numFmtId="165" fontId="3" fillId="3" borderId="15" xfId="0" applyNumberFormat="1" applyFont="1" applyFill="1" applyBorder="1"/>
    <xf numFmtId="0" fontId="2" fillId="3" borderId="15" xfId="0" applyFont="1" applyFill="1" applyBorder="1" applyAlignment="1">
      <alignment wrapText="1"/>
    </xf>
    <xf numFmtId="2" fontId="2" fillId="3" borderId="15" xfId="0" applyNumberFormat="1" applyFont="1" applyFill="1" applyBorder="1" applyAlignment="1">
      <alignment horizontal="right" vertical="center"/>
    </xf>
    <xf numFmtId="0" fontId="2" fillId="3" borderId="15" xfId="0" applyFont="1" applyFill="1" applyBorder="1" applyAlignment="1">
      <alignment horizontal="center" vertical="center" wrapText="1"/>
    </xf>
    <xf numFmtId="2" fontId="3" fillId="3" borderId="15" xfId="0" applyNumberFormat="1" applyFont="1" applyFill="1" applyBorder="1" applyAlignment="1">
      <alignment horizontal="right" vertical="center"/>
    </xf>
    <xf numFmtId="0" fontId="2" fillId="16" borderId="15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6" fillId="2" borderId="9" xfId="0" applyFont="1" applyFill="1" applyBorder="1"/>
    <xf numFmtId="2" fontId="5" fillId="2" borderId="7" xfId="0" applyNumberFormat="1" applyFont="1" applyFill="1" applyBorder="1"/>
    <xf numFmtId="0" fontId="6" fillId="2" borderId="7" xfId="0" applyFont="1" applyFill="1" applyBorder="1"/>
    <xf numFmtId="165" fontId="5" fillId="2" borderId="7" xfId="0" applyNumberFormat="1" applyFont="1" applyFill="1" applyBorder="1"/>
    <xf numFmtId="0" fontId="17" fillId="0" borderId="0" xfId="0" applyFont="1"/>
    <xf numFmtId="0" fontId="5" fillId="2" borderId="4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39" xfId="0" applyFont="1" applyFill="1" applyBorder="1"/>
    <xf numFmtId="0" fontId="5" fillId="3" borderId="39" xfId="0" applyFont="1" applyFill="1" applyBorder="1"/>
    <xf numFmtId="0" fontId="2" fillId="3" borderId="39" xfId="0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2" fontId="2" fillId="3" borderId="15" xfId="0" applyNumberFormat="1" applyFont="1" applyFill="1" applyBorder="1"/>
    <xf numFmtId="165" fontId="2" fillId="3" borderId="39" xfId="0" applyNumberFormat="1" applyFont="1" applyFill="1" applyBorder="1"/>
    <xf numFmtId="2" fontId="6" fillId="3" borderId="41" xfId="0" applyNumberFormat="1" applyFont="1" applyFill="1" applyBorder="1" applyAlignment="1">
      <alignment horizontal="right"/>
    </xf>
    <xf numFmtId="0" fontId="6" fillId="3" borderId="39" xfId="0" applyFont="1" applyFill="1" applyBorder="1" applyAlignment="1">
      <alignment horizontal="center"/>
    </xf>
    <xf numFmtId="0" fontId="3" fillId="0" borderId="15" xfId="0" applyFont="1" applyBorder="1"/>
    <xf numFmtId="0" fontId="5" fillId="5" borderId="15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vertical="center"/>
    </xf>
    <xf numFmtId="2" fontId="5" fillId="5" borderId="15" xfId="0" applyNumberFormat="1" applyFont="1" applyFill="1" applyBorder="1" applyAlignment="1">
      <alignment horizontal="center"/>
    </xf>
    <xf numFmtId="2" fontId="2" fillId="5" borderId="15" xfId="0" applyNumberFormat="1" applyFont="1" applyFill="1" applyBorder="1"/>
    <xf numFmtId="8" fontId="3" fillId="5" borderId="15" xfId="0" applyNumberFormat="1" applyFont="1" applyFill="1" applyBorder="1"/>
    <xf numFmtId="2" fontId="5" fillId="5" borderId="15" xfId="0" applyNumberFormat="1" applyFont="1" applyFill="1" applyBorder="1"/>
    <xf numFmtId="165" fontId="5" fillId="5" borderId="15" xfId="0" applyNumberFormat="1" applyFont="1" applyFill="1" applyBorder="1"/>
    <xf numFmtId="0" fontId="2" fillId="0" borderId="15" xfId="0" applyFont="1" applyBorder="1"/>
    <xf numFmtId="0" fontId="2" fillId="0" borderId="15" xfId="0" applyFont="1" applyBorder="1" applyAlignment="1">
      <alignment horizontal="center" vertical="center"/>
    </xf>
    <xf numFmtId="2" fontId="3" fillId="0" borderId="15" xfId="0" applyNumberFormat="1" applyFont="1" applyBorder="1"/>
    <xf numFmtId="8" fontId="3" fillId="0" borderId="15" xfId="0" applyNumberFormat="1" applyFont="1" applyBorder="1"/>
    <xf numFmtId="0" fontId="2" fillId="0" borderId="0" xfId="0" applyFont="1" applyAlignment="1">
      <alignment horizontal="center" vertical="center"/>
    </xf>
    <xf numFmtId="165" fontId="3" fillId="0" borderId="0" xfId="0" applyNumberFormat="1" applyFont="1"/>
    <xf numFmtId="49" fontId="12" fillId="5" borderId="14" xfId="0" applyNumberFormat="1" applyFont="1" applyFill="1" applyBorder="1" applyAlignment="1">
      <alignment horizontal="left"/>
    </xf>
    <xf numFmtId="0" fontId="2" fillId="5" borderId="14" xfId="0" applyFont="1" applyFill="1" applyBorder="1"/>
    <xf numFmtId="0" fontId="5" fillId="2" borderId="45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vertical="center" wrapText="1"/>
    </xf>
    <xf numFmtId="164" fontId="6" fillId="17" borderId="15" xfId="0" applyNumberFormat="1" applyFont="1" applyFill="1" applyBorder="1" applyAlignment="1">
      <alignment wrapText="1"/>
    </xf>
    <xf numFmtId="164" fontId="6" fillId="3" borderId="15" xfId="0" applyNumberFormat="1" applyFont="1" applyFill="1" applyBorder="1" applyAlignment="1">
      <alignment horizontal="center" vertical="center"/>
    </xf>
    <xf numFmtId="2" fontId="6" fillId="3" borderId="47" xfId="0" applyNumberFormat="1" applyFont="1" applyFill="1" applyBorder="1" applyAlignment="1">
      <alignment horizontal="center" vertical="center"/>
    </xf>
    <xf numFmtId="167" fontId="6" fillId="3" borderId="47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right" vertical="center"/>
    </xf>
    <xf numFmtId="164" fontId="2" fillId="3" borderId="16" xfId="0" applyNumberFormat="1" applyFont="1" applyFill="1" applyBorder="1" applyAlignment="1">
      <alignment horizontal="right" vertical="center"/>
    </xf>
    <xf numFmtId="4" fontId="2" fillId="12" borderId="15" xfId="0" applyNumberFormat="1" applyFont="1" applyFill="1" applyBorder="1" applyAlignment="1">
      <alignment horizontal="left" vertical="center" wrapText="1"/>
    </xf>
    <xf numFmtId="0" fontId="5" fillId="18" borderId="15" xfId="0" applyFont="1" applyFill="1" applyBorder="1" applyAlignment="1">
      <alignment horizontal="center"/>
    </xf>
    <xf numFmtId="1" fontId="2" fillId="3" borderId="15" xfId="0" applyNumberFormat="1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vertical="center"/>
    </xf>
    <xf numFmtId="4" fontId="2" fillId="3" borderId="39" xfId="0" applyNumberFormat="1" applyFont="1" applyFill="1" applyBorder="1" applyAlignment="1">
      <alignment horizontal="center" vertical="center" wrapText="1"/>
    </xf>
    <xf numFmtId="2" fontId="2" fillId="3" borderId="15" xfId="0" applyNumberFormat="1" applyFont="1" applyFill="1" applyBorder="1" applyAlignment="1">
      <alignment vertical="center"/>
    </xf>
    <xf numFmtId="8" fontId="3" fillId="17" borderId="15" xfId="0" applyNumberFormat="1" applyFont="1" applyFill="1" applyBorder="1" applyAlignment="1">
      <alignment vertical="center"/>
    </xf>
    <xf numFmtId="0" fontId="7" fillId="8" borderId="20" xfId="0" applyFont="1" applyFill="1" applyBorder="1"/>
    <xf numFmtId="0" fontId="7" fillId="8" borderId="17" xfId="0" applyFont="1" applyFill="1" applyBorder="1"/>
    <xf numFmtId="4" fontId="2" fillId="0" borderId="15" xfId="0" applyNumberFormat="1" applyFont="1" applyBorder="1" applyAlignment="1">
      <alignment horizontal="center" vertical="center" wrapText="1"/>
    </xf>
    <xf numFmtId="165" fontId="6" fillId="0" borderId="18" xfId="0" applyNumberFormat="1" applyFont="1" applyBorder="1" applyAlignment="1">
      <alignment horizontal="center" vertical="center" wrapText="1"/>
    </xf>
    <xf numFmtId="4" fontId="7" fillId="0" borderId="15" xfId="0" applyNumberFormat="1" applyFont="1" applyBorder="1" applyAlignment="1">
      <alignment horizontal="center" vertical="center" wrapText="1"/>
    </xf>
    <xf numFmtId="4" fontId="6" fillId="10" borderId="13" xfId="0" applyNumberFormat="1" applyFont="1" applyFill="1" applyBorder="1" applyAlignment="1">
      <alignment horizontal="center" vertical="center"/>
    </xf>
    <xf numFmtId="4" fontId="6" fillId="10" borderId="15" xfId="0" applyNumberFormat="1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left"/>
    </xf>
    <xf numFmtId="165" fontId="2" fillId="18" borderId="15" xfId="0" applyNumberFormat="1" applyFont="1" applyFill="1" applyBorder="1" applyAlignment="1">
      <alignment horizontal="center" vertical="center"/>
    </xf>
    <xf numFmtId="165" fontId="6" fillId="18" borderId="15" xfId="0" applyNumberFormat="1" applyFont="1" applyFill="1" applyBorder="1" applyAlignment="1">
      <alignment horizontal="right"/>
    </xf>
    <xf numFmtId="0" fontId="2" fillId="18" borderId="0" xfId="0" applyFont="1" applyFill="1"/>
    <xf numFmtId="165" fontId="5" fillId="8" borderId="13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/>
    </xf>
    <xf numFmtId="0" fontId="5" fillId="2" borderId="48" xfId="0" applyFont="1" applyFill="1" applyBorder="1"/>
    <xf numFmtId="0" fontId="3" fillId="18" borderId="15" xfId="0" applyFont="1" applyFill="1" applyBorder="1" applyAlignment="1">
      <alignment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vertical="center"/>
    </xf>
    <xf numFmtId="2" fontId="2" fillId="18" borderId="15" xfId="0" applyNumberFormat="1" applyFont="1" applyFill="1" applyBorder="1" applyAlignment="1">
      <alignment horizontal="center" vertical="center" wrapText="1"/>
    </xf>
    <xf numFmtId="165" fontId="3" fillId="18" borderId="15" xfId="0" applyNumberFormat="1" applyFont="1" applyFill="1" applyBorder="1"/>
    <xf numFmtId="165" fontId="6" fillId="18" borderId="11" xfId="0" applyNumberFormat="1" applyFont="1" applyFill="1" applyBorder="1" applyAlignment="1">
      <alignment horizontal="right" vertical="center"/>
    </xf>
    <xf numFmtId="0" fontId="12" fillId="18" borderId="18" xfId="0" applyFont="1" applyFill="1" applyBorder="1" applyAlignment="1">
      <alignment horizontal="center"/>
    </xf>
    <xf numFmtId="49" fontId="12" fillId="18" borderId="0" xfId="0" applyNumberFormat="1" applyFont="1" applyFill="1" applyAlignment="1">
      <alignment horizontal="left"/>
    </xf>
    <xf numFmtId="0" fontId="2" fillId="18" borderId="15" xfId="0" applyFont="1" applyFill="1" applyBorder="1" applyAlignment="1">
      <alignment horizontal="center" vertical="center" wrapText="1"/>
    </xf>
    <xf numFmtId="2" fontId="2" fillId="18" borderId="15" xfId="0" applyNumberFormat="1" applyFont="1" applyFill="1" applyBorder="1" applyAlignment="1">
      <alignment horizontal="center" vertical="center"/>
    </xf>
    <xf numFmtId="165" fontId="3" fillId="18" borderId="15" xfId="0" applyNumberFormat="1" applyFont="1" applyFill="1" applyBorder="1" applyAlignment="1">
      <alignment vertical="center"/>
    </xf>
    <xf numFmtId="0" fontId="9" fillId="18" borderId="0" xfId="0" applyFont="1" applyFill="1"/>
    <xf numFmtId="0" fontId="18" fillId="18" borderId="0" xfId="0" applyFont="1" applyFill="1"/>
    <xf numFmtId="0" fontId="12" fillId="16" borderId="18" xfId="0" applyFont="1" applyFill="1" applyBorder="1" applyAlignment="1">
      <alignment horizontal="center"/>
    </xf>
    <xf numFmtId="0" fontId="6" fillId="18" borderId="15" xfId="0" applyFont="1" applyFill="1" applyBorder="1"/>
    <xf numFmtId="2" fontId="2" fillId="18" borderId="15" xfId="0" applyNumberFormat="1" applyFont="1" applyFill="1" applyBorder="1"/>
    <xf numFmtId="2" fontId="3" fillId="18" borderId="15" xfId="0" applyNumberFormat="1" applyFont="1" applyFill="1" applyBorder="1"/>
    <xf numFmtId="165" fontId="5" fillId="18" borderId="15" xfId="0" applyNumberFormat="1" applyFont="1" applyFill="1" applyBorder="1" applyAlignment="1">
      <alignment horizontal="right"/>
    </xf>
    <xf numFmtId="0" fontId="6" fillId="18" borderId="15" xfId="0" applyFont="1" applyFill="1" applyBorder="1" applyAlignment="1">
      <alignment wrapText="1"/>
    </xf>
    <xf numFmtId="0" fontId="5" fillId="18" borderId="15" xfId="0" applyFont="1" applyFill="1" applyBorder="1"/>
    <xf numFmtId="165" fontId="2" fillId="18" borderId="15" xfId="0" applyNumberFormat="1" applyFont="1" applyFill="1" applyBorder="1" applyAlignment="1">
      <alignment vertical="center"/>
    </xf>
    <xf numFmtId="0" fontId="2" fillId="10" borderId="0" xfId="0" applyFont="1" applyFill="1"/>
    <xf numFmtId="49" fontId="12" fillId="18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165" fontId="5" fillId="18" borderId="15" xfId="0" applyNumberFormat="1" applyFont="1" applyFill="1" applyBorder="1"/>
    <xf numFmtId="2" fontId="2" fillId="3" borderId="15" xfId="0" applyNumberFormat="1" applyFont="1" applyFill="1" applyBorder="1" applyAlignment="1">
      <alignment horizontal="center" vertical="center" wrapText="1"/>
    </xf>
    <xf numFmtId="0" fontId="5" fillId="18" borderId="13" xfId="0" applyFont="1" applyFill="1" applyBorder="1" applyAlignment="1">
      <alignment horizontal="center" vertical="center"/>
    </xf>
    <xf numFmtId="0" fontId="7" fillId="18" borderId="17" xfId="0" applyFont="1" applyFill="1" applyBorder="1"/>
    <xf numFmtId="165" fontId="5" fillId="18" borderId="13" xfId="0" applyNumberFormat="1" applyFont="1" applyFill="1" applyBorder="1" applyAlignment="1">
      <alignment horizontal="center" vertical="center"/>
    </xf>
    <xf numFmtId="0" fontId="7" fillId="18" borderId="20" xfId="0" applyFont="1" applyFill="1" applyBorder="1"/>
    <xf numFmtId="1" fontId="14" fillId="0" borderId="17" xfId="0" applyNumberFormat="1" applyFont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3" fillId="18" borderId="15" xfId="0" applyFont="1" applyFill="1" applyBorder="1" applyAlignment="1">
      <alignment horizontal="center" vertical="center"/>
    </xf>
    <xf numFmtId="4" fontId="2" fillId="18" borderId="15" xfId="0" applyNumberFormat="1" applyFont="1" applyFill="1" applyBorder="1" applyAlignment="1">
      <alignment horizontal="left" vertical="center" wrapText="1"/>
    </xf>
    <xf numFmtId="167" fontId="2" fillId="18" borderId="15" xfId="0" applyNumberFormat="1" applyFont="1" applyFill="1" applyBorder="1" applyAlignment="1">
      <alignment horizontal="center" vertical="center"/>
    </xf>
    <xf numFmtId="2" fontId="6" fillId="18" borderId="15" xfId="0" applyNumberFormat="1" applyFont="1" applyFill="1" applyBorder="1" applyAlignment="1">
      <alignment horizontal="center" vertical="center"/>
    </xf>
    <xf numFmtId="165" fontId="6" fillId="18" borderId="15" xfId="0" applyNumberFormat="1" applyFont="1" applyFill="1" applyBorder="1" applyAlignment="1">
      <alignment horizontal="center" vertical="center"/>
    </xf>
    <xf numFmtId="0" fontId="6" fillId="18" borderId="15" xfId="0" applyFont="1" applyFill="1" applyBorder="1" applyAlignment="1">
      <alignment horizontal="left" vertical="center" wrapText="1"/>
    </xf>
    <xf numFmtId="0" fontId="6" fillId="3" borderId="16" xfId="0" applyFont="1" applyFill="1" applyBorder="1" applyAlignment="1">
      <alignment vertical="center"/>
    </xf>
    <xf numFmtId="166" fontId="6" fillId="3" borderId="16" xfId="0" applyNumberFormat="1" applyFont="1" applyFill="1" applyBorder="1"/>
    <xf numFmtId="0" fontId="6" fillId="3" borderId="20" xfId="0" applyFont="1" applyFill="1" applyBorder="1" applyAlignment="1">
      <alignment vertical="center" wrapText="1"/>
    </xf>
    <xf numFmtId="0" fontId="18" fillId="19" borderId="15" xfId="0" applyFont="1" applyFill="1" applyBorder="1"/>
    <xf numFmtId="165" fontId="3" fillId="10" borderId="15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20" fillId="0" borderId="15" xfId="0" applyFont="1" applyBorder="1"/>
    <xf numFmtId="0" fontId="2" fillId="0" borderId="15" xfId="0" applyFont="1" applyBorder="1" applyAlignment="1">
      <alignment vertical="center"/>
    </xf>
    <xf numFmtId="4" fontId="2" fillId="0" borderId="15" xfId="0" applyNumberFormat="1" applyFont="1" applyBorder="1" applyAlignment="1">
      <alignment vertical="center"/>
    </xf>
    <xf numFmtId="0" fontId="18" fillId="0" borderId="15" xfId="0" applyFont="1" applyBorder="1"/>
    <xf numFmtId="4" fontId="2" fillId="0" borderId="15" xfId="0" applyNumberFormat="1" applyFont="1" applyBorder="1"/>
    <xf numFmtId="0" fontId="21" fillId="0" borderId="15" xfId="0" applyFont="1" applyBorder="1"/>
    <xf numFmtId="0" fontId="22" fillId="0" borderId="0" xfId="0" applyFont="1"/>
    <xf numFmtId="0" fontId="2" fillId="19" borderId="15" xfId="0" applyFont="1" applyFill="1" applyBorder="1"/>
    <xf numFmtId="4" fontId="2" fillId="19" borderId="15" xfId="0" applyNumberFormat="1" applyFont="1" applyFill="1" applyBorder="1"/>
    <xf numFmtId="0" fontId="3" fillId="19" borderId="15" xfId="0" applyFont="1" applyFill="1" applyBorder="1"/>
    <xf numFmtId="0" fontId="3" fillId="2" borderId="49" xfId="0" applyFont="1" applyFill="1" applyBorder="1" applyAlignment="1">
      <alignment horizontal="left" vertical="center" wrapText="1"/>
    </xf>
    <xf numFmtId="14" fontId="3" fillId="2" borderId="50" xfId="0" applyNumberFormat="1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left" vertical="center" wrapText="1"/>
    </xf>
    <xf numFmtId="0" fontId="3" fillId="2" borderId="45" xfId="0" applyFont="1" applyFill="1" applyBorder="1" applyAlignment="1">
      <alignment vertical="center" wrapText="1"/>
    </xf>
    <xf numFmtId="0" fontId="3" fillId="2" borderId="52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left" vertical="center" wrapText="1"/>
    </xf>
    <xf numFmtId="0" fontId="3" fillId="2" borderId="53" xfId="0" applyFont="1" applyFill="1" applyBorder="1" applyAlignment="1">
      <alignment horizontal="left" vertical="center" wrapText="1"/>
    </xf>
    <xf numFmtId="0" fontId="13" fillId="2" borderId="49" xfId="0" applyFont="1" applyFill="1" applyBorder="1" applyAlignment="1">
      <alignment horizontal="left" vertical="center" wrapText="1"/>
    </xf>
    <xf numFmtId="49" fontId="3" fillId="0" borderId="54" xfId="0" applyNumberFormat="1" applyFont="1" applyBorder="1" applyAlignment="1">
      <alignment horizontal="left" wrapText="1"/>
    </xf>
    <xf numFmtId="167" fontId="6" fillId="3" borderId="15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22" fillId="0" borderId="15" xfId="0" applyFont="1" applyBorder="1"/>
    <xf numFmtId="0" fontId="22" fillId="0" borderId="55" xfId="0" applyFont="1" applyBorder="1" applyAlignment="1">
      <alignment vertical="center"/>
    </xf>
    <xf numFmtId="0" fontId="5" fillId="12" borderId="56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6" fillId="12" borderId="57" xfId="0" applyFont="1" applyFill="1" applyBorder="1" applyAlignment="1">
      <alignment horizontal="center" vertical="center" wrapText="1"/>
    </xf>
    <xf numFmtId="0" fontId="2" fillId="12" borderId="16" xfId="0" applyFont="1" applyFill="1" applyBorder="1" applyAlignment="1">
      <alignment horizontal="center" vertical="center"/>
    </xf>
    <xf numFmtId="2" fontId="6" fillId="12" borderId="57" xfId="0" applyNumberFormat="1" applyFont="1" applyFill="1" applyBorder="1" applyAlignment="1">
      <alignment horizontal="center" vertical="center"/>
    </xf>
    <xf numFmtId="167" fontId="2" fillId="12" borderId="16" xfId="0" applyNumberFormat="1" applyFont="1" applyFill="1" applyBorder="1" applyAlignment="1">
      <alignment horizontal="center" vertical="center"/>
    </xf>
    <xf numFmtId="2" fontId="6" fillId="12" borderId="58" xfId="0" applyNumberFormat="1" applyFont="1" applyFill="1" applyBorder="1" applyAlignment="1">
      <alignment horizontal="center" vertical="center"/>
    </xf>
    <xf numFmtId="165" fontId="6" fillId="12" borderId="16" xfId="0" applyNumberFormat="1" applyFont="1" applyFill="1" applyBorder="1" applyAlignment="1">
      <alignment horizontal="center" vertical="center"/>
    </xf>
    <xf numFmtId="165" fontId="6" fillId="12" borderId="59" xfId="0" applyNumberFormat="1" applyFont="1" applyFill="1" applyBorder="1" applyAlignment="1">
      <alignment horizontal="center" vertical="center"/>
    </xf>
    <xf numFmtId="2" fontId="2" fillId="18" borderId="15" xfId="0" applyNumberFormat="1" applyFont="1" applyFill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7" fillId="18" borderId="1" xfId="0" applyFont="1" applyFill="1" applyBorder="1"/>
    <xf numFmtId="165" fontId="6" fillId="10" borderId="18" xfId="0" applyNumberFormat="1" applyFont="1" applyFill="1" applyBorder="1" applyAlignment="1">
      <alignment horizontal="center" vertical="center"/>
    </xf>
    <xf numFmtId="4" fontId="7" fillId="0" borderId="18" xfId="0" applyNumberFormat="1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/>
    </xf>
    <xf numFmtId="0" fontId="4" fillId="0" borderId="43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8" fillId="0" borderId="19" xfId="0" applyFont="1" applyBorder="1" applyAlignment="1">
      <alignment horizontal="center"/>
    </xf>
    <xf numFmtId="0" fontId="4" fillId="0" borderId="19" xfId="0" applyFont="1" applyBorder="1"/>
    <xf numFmtId="0" fontId="1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3" fillId="19" borderId="18" xfId="0" applyFont="1" applyFill="1" applyBorder="1"/>
    <xf numFmtId="0" fontId="4" fillId="0" borderId="20" xfId="0" applyFont="1" applyBorder="1"/>
    <xf numFmtId="0" fontId="4" fillId="0" borderId="17" xfId="0" applyFont="1" applyBorder="1"/>
    <xf numFmtId="0" fontId="3" fillId="0" borderId="18" xfId="0" applyFont="1" applyBorder="1" applyAlignment="1">
      <alignment vertical="center"/>
    </xf>
    <xf numFmtId="0" fontId="19" fillId="0" borderId="18" xfId="0" applyFont="1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55" xfId="0" applyFont="1" applyBorder="1" applyAlignment="1">
      <alignment horizontal="center" vertical="center"/>
    </xf>
    <xf numFmtId="0" fontId="4" fillId="0" borderId="16" xfId="0" applyFont="1" applyBorder="1"/>
    <xf numFmtId="0" fontId="22" fillId="0" borderId="55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0"/>
  <sheetViews>
    <sheetView topLeftCell="A32" workbookViewId="0">
      <selection activeCell="C63" sqref="C63"/>
    </sheetView>
  </sheetViews>
  <sheetFormatPr defaultColWidth="11.25" defaultRowHeight="15" customHeight="1" x14ac:dyDescent="0.25"/>
  <cols>
    <col min="1" max="1" width="27.875" customWidth="1"/>
    <col min="2" max="2" width="45.5" customWidth="1"/>
    <col min="3" max="3" width="25.75" customWidth="1"/>
    <col min="4" max="4" width="12.75" customWidth="1"/>
    <col min="5" max="5" width="17.375" customWidth="1"/>
    <col min="6" max="6" width="8.875" customWidth="1"/>
    <col min="7" max="7" width="9.625" customWidth="1"/>
    <col min="8" max="8" width="7.125" customWidth="1"/>
    <col min="9" max="9" width="9.375" customWidth="1"/>
    <col min="10" max="10" width="13.5" customWidth="1"/>
    <col min="11" max="11" width="8.375" customWidth="1"/>
  </cols>
  <sheetData>
    <row r="1" spans="1:11" ht="15.75" customHeight="1" x14ac:dyDescent="0.25">
      <c r="A1" s="371" t="s">
        <v>0</v>
      </c>
      <c r="B1" s="372"/>
      <c r="C1" s="372"/>
      <c r="D1" s="372"/>
      <c r="E1" s="372"/>
      <c r="F1" s="372"/>
      <c r="G1" s="372"/>
      <c r="H1" s="372"/>
      <c r="I1" s="372"/>
      <c r="J1" s="372"/>
      <c r="K1" s="1"/>
    </row>
    <row r="2" spans="1:11" ht="15.75" customHeight="1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  <c r="K2" s="1"/>
    </row>
    <row r="3" spans="1:11" ht="15.75" customHeight="1" x14ac:dyDescent="0.25">
      <c r="A3" s="2" t="s">
        <v>2</v>
      </c>
      <c r="B3" s="3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  <c r="K3" s="9"/>
    </row>
    <row r="4" spans="1:11" ht="15.75" customHeight="1" x14ac:dyDescent="0.25">
      <c r="A4" s="10"/>
      <c r="B4" s="11"/>
      <c r="C4" s="12"/>
      <c r="D4" s="13"/>
      <c r="E4" s="14"/>
      <c r="F4" s="14"/>
      <c r="G4" s="15"/>
      <c r="H4" s="16">
        <f t="shared" ref="H4:I4" si="0">G4*E4</f>
        <v>0</v>
      </c>
      <c r="I4" s="16">
        <f t="shared" si="0"/>
        <v>0</v>
      </c>
      <c r="J4" s="17"/>
      <c r="K4" s="1"/>
    </row>
    <row r="5" spans="1:11" ht="15.75" customHeight="1" x14ac:dyDescent="0.25">
      <c r="A5" s="10"/>
      <c r="B5" s="18"/>
      <c r="C5" s="12"/>
      <c r="D5" s="13"/>
      <c r="E5" s="14"/>
      <c r="F5" s="14"/>
      <c r="G5" s="19"/>
      <c r="H5" s="16">
        <f t="shared" ref="H5:I5" si="1">G5*E5</f>
        <v>0</v>
      </c>
      <c r="I5" s="16">
        <f t="shared" si="1"/>
        <v>0</v>
      </c>
      <c r="J5" s="17"/>
      <c r="K5" s="1"/>
    </row>
    <row r="6" spans="1:11" ht="15.75" customHeight="1" x14ac:dyDescent="0.25">
      <c r="A6" s="10"/>
      <c r="B6" s="20"/>
      <c r="C6" s="12"/>
      <c r="D6" s="13"/>
      <c r="E6" s="14"/>
      <c r="F6" s="14"/>
      <c r="G6" s="19"/>
      <c r="H6" s="16">
        <f t="shared" ref="H6:I6" si="2">G6*E6</f>
        <v>0</v>
      </c>
      <c r="I6" s="16">
        <f t="shared" si="2"/>
        <v>0</v>
      </c>
      <c r="J6" s="17"/>
      <c r="K6" s="1"/>
    </row>
    <row r="7" spans="1:11" ht="15.75" customHeight="1" x14ac:dyDescent="0.25">
      <c r="A7" s="10"/>
      <c r="B7" s="20"/>
      <c r="C7" s="12"/>
      <c r="D7" s="13"/>
      <c r="E7" s="14"/>
      <c r="F7" s="14"/>
      <c r="G7" s="19"/>
      <c r="H7" s="16">
        <f t="shared" ref="H7:I7" si="3">G7*E7</f>
        <v>0</v>
      </c>
      <c r="I7" s="16">
        <f t="shared" si="3"/>
        <v>0</v>
      </c>
      <c r="J7" s="17"/>
      <c r="K7" s="1"/>
    </row>
    <row r="8" spans="1:11" ht="15.75" customHeight="1" x14ac:dyDescent="0.25">
      <c r="A8" s="10"/>
      <c r="B8" s="21"/>
      <c r="C8" s="12"/>
      <c r="D8" s="13"/>
      <c r="E8" s="14"/>
      <c r="F8" s="14"/>
      <c r="G8" s="19"/>
      <c r="H8" s="16">
        <f t="shared" ref="H8:I8" si="4">G8*E8</f>
        <v>0</v>
      </c>
      <c r="I8" s="16">
        <f t="shared" si="4"/>
        <v>0</v>
      </c>
      <c r="J8" s="17"/>
      <c r="K8" s="1"/>
    </row>
    <row r="9" spans="1:11" ht="15.75" customHeight="1" x14ac:dyDescent="0.25">
      <c r="A9" s="10"/>
      <c r="B9" s="20"/>
      <c r="C9" s="12"/>
      <c r="D9" s="13"/>
      <c r="E9" s="14"/>
      <c r="F9" s="14"/>
      <c r="G9" s="19"/>
      <c r="H9" s="16">
        <f t="shared" ref="H9:I9" si="5">G9*E9</f>
        <v>0</v>
      </c>
      <c r="I9" s="16">
        <f t="shared" si="5"/>
        <v>0</v>
      </c>
      <c r="J9" s="17"/>
      <c r="K9" s="1"/>
    </row>
    <row r="10" spans="1:11" ht="15.75" customHeight="1" x14ac:dyDescent="0.25">
      <c r="A10" s="10"/>
      <c r="B10" s="22"/>
      <c r="C10" s="18"/>
      <c r="D10" s="23"/>
      <c r="E10" s="13"/>
      <c r="F10" s="14"/>
      <c r="G10" s="14"/>
      <c r="H10" s="24"/>
      <c r="I10" s="25"/>
      <c r="J10" s="17"/>
      <c r="K10" s="1"/>
    </row>
    <row r="11" spans="1:11" ht="15.75" customHeight="1" x14ac:dyDescent="0.25">
      <c r="A11" s="26"/>
      <c r="B11" s="27"/>
      <c r="C11" s="18"/>
      <c r="D11" s="23"/>
      <c r="E11" s="13"/>
      <c r="F11" s="14"/>
      <c r="G11" s="14"/>
      <c r="H11" s="28"/>
      <c r="I11" s="25"/>
      <c r="J11" s="29"/>
      <c r="K11" s="1"/>
    </row>
    <row r="12" spans="1:11" ht="15.75" customHeight="1" x14ac:dyDescent="0.25">
      <c r="A12" s="30"/>
      <c r="B12" s="31"/>
      <c r="C12" s="32"/>
      <c r="D12" s="30"/>
      <c r="E12" s="33">
        <f t="shared" ref="E12:G12" si="6">SUM(E4:E11)</f>
        <v>0</v>
      </c>
      <c r="F12" s="33">
        <f t="shared" si="6"/>
        <v>0</v>
      </c>
      <c r="G12" s="34">
        <f t="shared" si="6"/>
        <v>0</v>
      </c>
      <c r="H12" s="35"/>
      <c r="I12" s="36">
        <f>SUM(I4:I11)</f>
        <v>0</v>
      </c>
      <c r="J12" s="37"/>
      <c r="K12" s="1"/>
    </row>
    <row r="13" spans="1:11" ht="15.75" customHeight="1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  <c r="K13" s="1"/>
    </row>
    <row r="14" spans="1:11" ht="15.75" customHeight="1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  <c r="K14" s="1"/>
    </row>
    <row r="15" spans="1:11" ht="15.75" customHeight="1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  <c r="K15" s="1"/>
    </row>
    <row r="16" spans="1:11" ht="15.75" customHeight="1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  <c r="K16" s="1"/>
    </row>
    <row r="17" spans="1:11" ht="15.75" customHeight="1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  <c r="K17" s="1"/>
    </row>
    <row r="18" spans="1:11" ht="15.75" customHeight="1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  <c r="K18" s="53"/>
    </row>
    <row r="19" spans="1:11" ht="15.75" customHeight="1" x14ac:dyDescent="0.25">
      <c r="A19" s="54" t="s">
        <v>17</v>
      </c>
      <c r="B19" s="55"/>
      <c r="C19" s="56"/>
      <c r="D19" s="57">
        <v>71709.45</v>
      </c>
      <c r="E19" s="54" t="s">
        <v>17</v>
      </c>
      <c r="F19" s="58"/>
      <c r="G19" s="56"/>
      <c r="H19" s="59">
        <v>0</v>
      </c>
      <c r="I19" s="60"/>
      <c r="J19" s="1"/>
      <c r="K19" s="1"/>
    </row>
    <row r="20" spans="1:11" ht="15.75" customHeight="1" x14ac:dyDescent="0.25">
      <c r="A20" s="61"/>
      <c r="B20" s="62"/>
      <c r="C20" s="63"/>
      <c r="D20" s="63"/>
      <c r="E20" s="64"/>
      <c r="F20" s="65"/>
      <c r="G20" s="66"/>
      <c r="H20" s="67">
        <f t="shared" ref="H20:H21" si="7">F20*G20</f>
        <v>0</v>
      </c>
      <c r="I20" s="1"/>
      <c r="J20" s="1"/>
      <c r="K20" s="1"/>
    </row>
    <row r="21" spans="1:11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7"/>
        <v>0</v>
      </c>
      <c r="I21" s="1"/>
      <c r="J21" s="1"/>
      <c r="K21" s="1"/>
    </row>
    <row r="22" spans="1:11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  <c r="K22" s="1"/>
    </row>
    <row r="23" spans="1:11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  <c r="K23" s="1"/>
    </row>
    <row r="24" spans="1:11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  <c r="K24" s="1"/>
    </row>
    <row r="25" spans="1:11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  <c r="K25" s="1"/>
    </row>
    <row r="26" spans="1:11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  <c r="K26" s="1"/>
    </row>
    <row r="27" spans="1:11" ht="15.75" customHeight="1" x14ac:dyDescent="0.25">
      <c r="A27" s="76" t="s">
        <v>20</v>
      </c>
      <c r="B27" s="62"/>
      <c r="C27" s="63">
        <v>6000</v>
      </c>
      <c r="D27" s="63">
        <v>6000</v>
      </c>
      <c r="E27" s="71"/>
      <c r="F27" s="73"/>
      <c r="G27" s="74"/>
      <c r="H27" s="75"/>
      <c r="I27" s="1"/>
      <c r="J27" s="1"/>
      <c r="K27" s="1"/>
    </row>
    <row r="28" spans="1:11" ht="15.75" customHeight="1" x14ac:dyDescent="0.25">
      <c r="A28" s="77"/>
      <c r="B28" s="62"/>
      <c r="C28" s="63"/>
      <c r="D28" s="63"/>
      <c r="E28" s="71"/>
      <c r="F28" s="73"/>
      <c r="G28" s="74"/>
      <c r="H28" s="67">
        <f t="shared" ref="H28:H40" si="8">F28*G28</f>
        <v>0</v>
      </c>
      <c r="I28" s="1"/>
      <c r="J28" s="1"/>
      <c r="K28" s="1"/>
    </row>
    <row r="29" spans="1:11" ht="15.75" customHeight="1" x14ac:dyDescent="0.25">
      <c r="A29" s="76"/>
      <c r="B29" s="62"/>
      <c r="C29" s="63"/>
      <c r="D29" s="63"/>
      <c r="E29" s="71"/>
      <c r="F29" s="73"/>
      <c r="G29" s="74"/>
      <c r="H29" s="67">
        <f t="shared" si="8"/>
        <v>0</v>
      </c>
      <c r="I29" s="1"/>
      <c r="J29" s="1"/>
      <c r="K29" s="1"/>
    </row>
    <row r="30" spans="1:11" ht="15.75" customHeight="1" x14ac:dyDescent="0.25">
      <c r="A30" s="64"/>
      <c r="B30" s="62"/>
      <c r="C30" s="63"/>
      <c r="D30" s="63"/>
      <c r="E30" s="71"/>
      <c r="F30" s="73"/>
      <c r="G30" s="74"/>
      <c r="H30" s="67">
        <f t="shared" si="8"/>
        <v>0</v>
      </c>
      <c r="I30" s="1"/>
      <c r="J30" s="1"/>
      <c r="K30" s="1"/>
    </row>
    <row r="31" spans="1:11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8"/>
        <v>0</v>
      </c>
      <c r="I31" s="1"/>
      <c r="J31" s="1"/>
      <c r="K31" s="1"/>
    </row>
    <row r="32" spans="1:11" ht="15.75" customHeight="1" x14ac:dyDescent="0.25">
      <c r="A32" s="76"/>
      <c r="B32" s="62"/>
      <c r="C32" s="63"/>
      <c r="D32" s="63"/>
      <c r="E32" s="71"/>
      <c r="F32" s="73"/>
      <c r="G32" s="74"/>
      <c r="H32" s="67">
        <f t="shared" si="8"/>
        <v>0</v>
      </c>
      <c r="I32" s="1"/>
      <c r="J32" s="1"/>
      <c r="K32" s="1"/>
    </row>
    <row r="33" spans="1:11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8"/>
        <v>0</v>
      </c>
      <c r="I33" s="1"/>
      <c r="J33" s="1"/>
      <c r="K33" s="1"/>
    </row>
    <row r="34" spans="1:11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8"/>
        <v>0</v>
      </c>
      <c r="I34" s="1"/>
      <c r="J34" s="1"/>
      <c r="K34" s="1"/>
    </row>
    <row r="35" spans="1:11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8"/>
        <v>0</v>
      </c>
      <c r="I35" s="1"/>
      <c r="J35" s="1"/>
      <c r="K35" s="1"/>
    </row>
    <row r="36" spans="1:11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8"/>
        <v>0</v>
      </c>
      <c r="I36" s="1"/>
      <c r="J36" s="1"/>
      <c r="K36" s="1"/>
    </row>
    <row r="37" spans="1:11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8"/>
        <v>0</v>
      </c>
      <c r="I37" s="1"/>
      <c r="J37" s="1"/>
      <c r="K37" s="1"/>
    </row>
    <row r="38" spans="1:11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8"/>
        <v>0</v>
      </c>
      <c r="I38" s="1"/>
      <c r="J38" s="1"/>
      <c r="K38" s="1"/>
    </row>
    <row r="39" spans="1:11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8"/>
        <v>0</v>
      </c>
      <c r="I39" s="1"/>
      <c r="J39" s="1"/>
      <c r="K39" s="1"/>
    </row>
    <row r="40" spans="1:11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8"/>
        <v>0</v>
      </c>
      <c r="I40" s="81"/>
      <c r="J40" s="81"/>
      <c r="K40" s="81"/>
    </row>
    <row r="41" spans="1:11" ht="15.75" customHeight="1" x14ac:dyDescent="0.25">
      <c r="A41" s="82" t="s">
        <v>22</v>
      </c>
      <c r="B41" s="83"/>
      <c r="C41" s="84"/>
      <c r="D41" s="85">
        <f>SUM(D20,D21:D24,D19,)-SUM(D27:D40,)</f>
        <v>65709.45</v>
      </c>
      <c r="E41" s="82" t="s">
        <v>22</v>
      </c>
      <c r="F41" s="86"/>
      <c r="G41" s="84"/>
      <c r="H41" s="87">
        <f>SUM(H19+H25-H40)</f>
        <v>0</v>
      </c>
      <c r="I41" s="1"/>
      <c r="J41" s="1"/>
      <c r="K41" s="1"/>
    </row>
    <row r="42" spans="1:11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  <c r="K42" s="1"/>
    </row>
    <row r="43" spans="1:11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  <c r="K43" s="1"/>
    </row>
    <row r="44" spans="1:11" ht="15.75" customHeight="1" x14ac:dyDescent="0.25">
      <c r="A44" s="90" t="s">
        <v>24</v>
      </c>
      <c r="B44" s="51"/>
      <c r="C44" s="51"/>
      <c r="D44" s="44"/>
      <c r="E44" s="91" t="s">
        <v>25</v>
      </c>
      <c r="F44" s="51"/>
      <c r="G44" s="51"/>
      <c r="H44" s="44"/>
      <c r="I44" s="1"/>
      <c r="J44" s="1"/>
      <c r="K44" s="1"/>
    </row>
    <row r="45" spans="1:11" ht="15.75" customHeight="1" x14ac:dyDescent="0.25">
      <c r="A45" s="92" t="s">
        <v>17</v>
      </c>
      <c r="B45" s="44"/>
      <c r="C45" s="93">
        <v>324024.71999999997</v>
      </c>
      <c r="D45" s="51"/>
      <c r="E45" s="94" t="s">
        <v>17</v>
      </c>
      <c r="F45" s="44"/>
      <c r="G45" s="95">
        <v>3090.7</v>
      </c>
      <c r="H45" s="44"/>
      <c r="I45" s="1"/>
      <c r="J45" s="1"/>
      <c r="K45" s="1"/>
    </row>
    <row r="46" spans="1:11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  <c r="K46" s="81"/>
    </row>
    <row r="47" spans="1:11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  <c r="K47" s="81"/>
    </row>
    <row r="48" spans="1:11" ht="15.75" customHeight="1" x14ac:dyDescent="0.25">
      <c r="A48" s="98" t="s">
        <v>31</v>
      </c>
      <c r="B48" s="99">
        <v>505.97</v>
      </c>
      <c r="C48" s="100" t="s">
        <v>32</v>
      </c>
      <c r="D48" s="101">
        <v>50</v>
      </c>
      <c r="E48" s="102"/>
      <c r="F48" s="103"/>
      <c r="G48" s="104"/>
      <c r="H48" s="103"/>
      <c r="I48" s="81"/>
      <c r="J48" s="81"/>
      <c r="K48" s="81"/>
    </row>
    <row r="49" spans="1:11" ht="15.75" customHeight="1" x14ac:dyDescent="0.25">
      <c r="A49" s="105" t="s">
        <v>33</v>
      </c>
      <c r="B49" s="106">
        <v>1123200</v>
      </c>
      <c r="C49" s="106" t="s">
        <v>34</v>
      </c>
      <c r="D49" s="101">
        <v>19713</v>
      </c>
      <c r="E49" s="104"/>
      <c r="F49" s="103"/>
      <c r="G49" s="104"/>
      <c r="H49" s="103"/>
      <c r="I49" s="81"/>
      <c r="J49" s="81"/>
      <c r="K49" s="81"/>
    </row>
    <row r="50" spans="1:11" ht="15.75" customHeight="1" x14ac:dyDescent="0.25">
      <c r="A50" s="105"/>
      <c r="B50" s="107"/>
      <c r="C50" s="107" t="s">
        <v>35</v>
      </c>
      <c r="D50" s="101">
        <v>196093</v>
      </c>
      <c r="E50" s="104"/>
      <c r="F50" s="103"/>
      <c r="G50" s="108"/>
      <c r="H50" s="103"/>
      <c r="I50" s="81"/>
      <c r="J50" s="81"/>
      <c r="K50" s="81"/>
    </row>
    <row r="51" spans="1:11" ht="15.75" customHeight="1" x14ac:dyDescent="0.25">
      <c r="A51" s="109"/>
      <c r="B51" s="107"/>
      <c r="C51" s="107" t="s">
        <v>36</v>
      </c>
      <c r="D51" s="101">
        <v>0</v>
      </c>
      <c r="E51" s="102"/>
      <c r="F51" s="110"/>
      <c r="G51" s="108"/>
      <c r="H51" s="103"/>
      <c r="I51" s="81"/>
      <c r="J51" s="81"/>
      <c r="K51" s="81"/>
    </row>
    <row r="52" spans="1:11" ht="15.75" customHeight="1" x14ac:dyDescent="0.25">
      <c r="A52" s="111"/>
      <c r="B52" s="107"/>
      <c r="C52" s="107"/>
      <c r="D52" s="101"/>
      <c r="E52" s="112"/>
      <c r="F52" s="113"/>
      <c r="G52" s="114"/>
      <c r="H52" s="114"/>
      <c r="I52" s="81"/>
      <c r="J52" s="81"/>
      <c r="K52" s="81"/>
    </row>
    <row r="53" spans="1:11" ht="15.75" customHeight="1" x14ac:dyDescent="0.25">
      <c r="A53" s="111"/>
      <c r="B53" s="107"/>
      <c r="C53" s="107"/>
      <c r="D53" s="101"/>
      <c r="E53" s="112"/>
      <c r="F53" s="113"/>
      <c r="G53" s="115"/>
      <c r="H53" s="114"/>
      <c r="I53" s="81"/>
      <c r="J53" s="81"/>
      <c r="K53" s="81"/>
    </row>
    <row r="54" spans="1:11" ht="15.75" customHeight="1" x14ac:dyDescent="0.25">
      <c r="A54" s="116"/>
      <c r="B54" s="107"/>
      <c r="C54" s="107"/>
      <c r="D54" s="101"/>
      <c r="E54" s="112"/>
      <c r="F54" s="112"/>
      <c r="G54" s="117"/>
      <c r="H54" s="114"/>
      <c r="I54" s="81"/>
      <c r="J54" s="81"/>
      <c r="K54" s="81"/>
    </row>
    <row r="55" spans="1:11" ht="15.75" customHeight="1" x14ac:dyDescent="0.25">
      <c r="A55" s="118"/>
      <c r="B55" s="116"/>
      <c r="C55" s="107"/>
      <c r="D55" s="101"/>
      <c r="E55" s="118"/>
      <c r="F55" s="112"/>
      <c r="G55" s="104"/>
      <c r="H55" s="114"/>
      <c r="I55" s="81"/>
      <c r="J55" s="81"/>
      <c r="K55" s="81"/>
    </row>
    <row r="56" spans="1:11" ht="15.75" customHeight="1" x14ac:dyDescent="0.25">
      <c r="A56" s="118"/>
      <c r="B56" s="119"/>
      <c r="C56" s="104"/>
      <c r="D56" s="120"/>
      <c r="E56" s="118"/>
      <c r="F56" s="112"/>
      <c r="G56" s="104"/>
      <c r="H56" s="114"/>
      <c r="I56" s="81"/>
      <c r="J56" s="81"/>
      <c r="K56" s="81"/>
    </row>
    <row r="57" spans="1:11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  <c r="K57" s="81"/>
    </row>
    <row r="58" spans="1:11" ht="15.75" customHeight="1" x14ac:dyDescent="0.25">
      <c r="A58" s="118"/>
      <c r="B58" s="119"/>
      <c r="C58" s="104"/>
      <c r="D58" s="120"/>
      <c r="E58" s="118"/>
      <c r="F58" s="112"/>
      <c r="G58" s="104"/>
      <c r="H58" s="114"/>
      <c r="I58" s="81"/>
      <c r="J58" s="81"/>
      <c r="K58" s="81"/>
    </row>
    <row r="59" spans="1:11" ht="15.75" customHeight="1" x14ac:dyDescent="0.25">
      <c r="A59" s="118"/>
      <c r="B59" s="119"/>
      <c r="C59" s="104"/>
      <c r="D59" s="120"/>
      <c r="E59" s="118"/>
      <c r="F59" s="112"/>
      <c r="G59" s="104"/>
      <c r="H59" s="114"/>
      <c r="I59" s="81"/>
      <c r="J59" s="81"/>
      <c r="K59" s="81"/>
    </row>
    <row r="60" spans="1:11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  <c r="K60" s="81"/>
    </row>
    <row r="61" spans="1:11" ht="15.75" customHeight="1" x14ac:dyDescent="0.25">
      <c r="A61" s="121"/>
      <c r="B61" s="122">
        <f>SUM(B48:B60)+C45</f>
        <v>1447730.69</v>
      </c>
      <c r="C61" s="123"/>
      <c r="D61" s="122">
        <f>SUM(D48:D60)</f>
        <v>215856</v>
      </c>
      <c r="E61" s="124"/>
      <c r="F61" s="124">
        <f>SUM(F48:F60)</f>
        <v>0</v>
      </c>
      <c r="G61" s="124"/>
      <c r="H61" s="124">
        <f>SUM(H48:H60)</f>
        <v>0</v>
      </c>
      <c r="I61" s="1"/>
      <c r="J61" s="1"/>
      <c r="K61" s="1"/>
    </row>
    <row r="62" spans="1:11" ht="15.75" customHeight="1" x14ac:dyDescent="0.25">
      <c r="A62" s="125" t="s">
        <v>22</v>
      </c>
      <c r="B62" s="126">
        <f>B61-D61</f>
        <v>1231874.69</v>
      </c>
      <c r="C62" s="51"/>
      <c r="D62" s="44"/>
      <c r="E62" s="94" t="s">
        <v>22</v>
      </c>
      <c r="F62" s="95">
        <f>G45+F61-H61</f>
        <v>3090.7</v>
      </c>
      <c r="G62" s="51"/>
      <c r="H62" s="44"/>
      <c r="I62" s="1"/>
      <c r="J62" s="1"/>
      <c r="K62" s="1"/>
    </row>
    <row r="63" spans="1:11" ht="15.75" customHeight="1" x14ac:dyDescent="0.25">
      <c r="A63" s="127" t="s">
        <v>37</v>
      </c>
      <c r="B63" s="44"/>
      <c r="C63" s="128">
        <f>B62+F62</f>
        <v>1234965.3899999999</v>
      </c>
      <c r="D63" s="51"/>
      <c r="E63" s="51"/>
      <c r="F63" s="51"/>
      <c r="G63" s="51"/>
      <c r="H63" s="44"/>
      <c r="I63" s="1"/>
      <c r="J63" s="1"/>
      <c r="K63" s="1"/>
    </row>
    <row r="64" spans="1:11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  <c r="K64" s="129"/>
    </row>
    <row r="65" spans="1:11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  <c r="K65" s="1"/>
    </row>
    <row r="66" spans="1:11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  <c r="K66" s="143"/>
    </row>
    <row r="67" spans="1:11" ht="15.75" customHeight="1" x14ac:dyDescent="0.25">
      <c r="A67" s="144"/>
      <c r="B67" s="145"/>
      <c r="C67" s="146"/>
      <c r="D67" s="147"/>
      <c r="E67" s="148"/>
      <c r="F67" s="149"/>
      <c r="G67" s="148"/>
      <c r="H67" s="150"/>
      <c r="I67" s="150"/>
      <c r="J67" s="151"/>
      <c r="K67" s="1"/>
    </row>
    <row r="68" spans="1:11" ht="15.75" customHeight="1" x14ac:dyDescent="0.25">
      <c r="A68" s="144"/>
      <c r="B68" s="145"/>
      <c r="C68" s="152"/>
      <c r="D68" s="147"/>
      <c r="E68" s="148"/>
      <c r="F68" s="149"/>
      <c r="G68" s="148"/>
      <c r="H68" s="150"/>
      <c r="I68" s="150"/>
      <c r="J68" s="153"/>
      <c r="K68" s="1"/>
    </row>
    <row r="69" spans="1:11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  <c r="K69" s="1"/>
    </row>
    <row r="70" spans="1:11" ht="15.75" customHeight="1" x14ac:dyDescent="0.25">
      <c r="A70" s="144"/>
      <c r="B70" s="145"/>
      <c r="C70" s="146"/>
      <c r="D70" s="147"/>
      <c r="E70" s="148"/>
      <c r="F70" s="149"/>
      <c r="G70" s="148"/>
      <c r="H70" s="150"/>
      <c r="I70" s="150"/>
      <c r="J70" s="153"/>
      <c r="K70" s="1"/>
    </row>
    <row r="71" spans="1:11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  <c r="K71" s="1"/>
    </row>
    <row r="72" spans="1:11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  <c r="K72" s="1"/>
    </row>
    <row r="73" spans="1:11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  <c r="K73" s="1"/>
    </row>
    <row r="74" spans="1:11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  <c r="K74" s="1"/>
    </row>
    <row r="75" spans="1:11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  <c r="K75" s="1"/>
    </row>
    <row r="76" spans="1:11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  <c r="K76" s="1"/>
    </row>
    <row r="77" spans="1:11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  <c r="K77" s="1"/>
    </row>
    <row r="78" spans="1:11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  <c r="K78" s="1"/>
    </row>
    <row r="79" spans="1:11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  <c r="K79" s="1"/>
    </row>
    <row r="80" spans="1:11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9">D80*F80</f>
        <v>0</v>
      </c>
      <c r="H80" s="180"/>
      <c r="I80" s="180">
        <f t="shared" ref="I80:I81" si="10">F80*H80*E80</f>
        <v>0</v>
      </c>
      <c r="J80" s="181"/>
      <c r="K80" s="1"/>
    </row>
    <row r="81" spans="1:11" ht="15.75" customHeight="1" x14ac:dyDescent="0.25">
      <c r="A81" s="176"/>
      <c r="B81" s="157"/>
      <c r="C81" s="182"/>
      <c r="D81" s="183"/>
      <c r="E81" s="184"/>
      <c r="F81" s="183"/>
      <c r="G81" s="179">
        <f t="shared" si="9"/>
        <v>0</v>
      </c>
      <c r="H81" s="185"/>
      <c r="I81" s="180">
        <f t="shared" si="10"/>
        <v>0</v>
      </c>
      <c r="J81" s="181"/>
      <c r="K81" s="1"/>
    </row>
    <row r="82" spans="1:11" ht="15.75" customHeight="1" x14ac:dyDescent="0.25">
      <c r="A82" s="186" t="s">
        <v>37</v>
      </c>
      <c r="B82" s="187"/>
      <c r="C82" s="188"/>
      <c r="D82" s="189"/>
      <c r="E82" s="190">
        <f>SUM(E67:E81)</f>
        <v>0</v>
      </c>
      <c r="F82" s="191">
        <f>SUM(F67:F79)</f>
        <v>0</v>
      </c>
      <c r="G82" s="192">
        <f>SUM(G67:G74)</f>
        <v>0</v>
      </c>
      <c r="H82" s="193"/>
      <c r="I82" s="193">
        <f>SUM(I67:I75)</f>
        <v>0</v>
      </c>
      <c r="J82" s="194"/>
      <c r="K82" s="1"/>
    </row>
    <row r="83" spans="1:11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  <c r="K83" s="1"/>
    </row>
    <row r="84" spans="1:11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  <c r="K84" s="1"/>
    </row>
    <row r="85" spans="1:11" ht="15.75" customHeight="1" x14ac:dyDescent="0.25">
      <c r="A85" s="198"/>
      <c r="B85" s="199">
        <f>E12+G82</f>
        <v>0</v>
      </c>
      <c r="C85" s="200">
        <f>I12+H82+I82</f>
        <v>0</v>
      </c>
      <c r="D85" s="38"/>
      <c r="E85" s="38"/>
      <c r="F85" s="38"/>
      <c r="G85" s="38"/>
      <c r="H85" s="1"/>
      <c r="I85" s="1"/>
      <c r="J85" s="1"/>
      <c r="K85" s="1"/>
    </row>
    <row r="86" spans="1:11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  <c r="K86" s="1"/>
    </row>
    <row r="87" spans="1:11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  <c r="K87" s="1"/>
    </row>
    <row r="88" spans="1:11" ht="15.75" customHeight="1" x14ac:dyDescent="0.25">
      <c r="A88" s="208"/>
      <c r="B88" s="55"/>
      <c r="C88" s="209"/>
      <c r="D88" s="55"/>
      <c r="E88" s="210"/>
      <c r="F88" s="57"/>
      <c r="G88" s="211">
        <f t="shared" ref="G88:G95" si="11">F88+F1206</f>
        <v>0</v>
      </c>
      <c r="H88" s="212"/>
      <c r="I88" s="201"/>
      <c r="J88" s="53"/>
      <c r="K88" s="1"/>
    </row>
    <row r="89" spans="1:11" ht="15.75" customHeight="1" x14ac:dyDescent="0.25">
      <c r="A89" s="213"/>
      <c r="B89" s="55"/>
      <c r="C89" s="214"/>
      <c r="D89" s="215"/>
      <c r="E89" s="210"/>
      <c r="F89" s="216"/>
      <c r="G89" s="211">
        <f t="shared" si="11"/>
        <v>0</v>
      </c>
      <c r="H89" s="212"/>
      <c r="I89" s="201"/>
      <c r="J89" s="53"/>
      <c r="K89" s="1"/>
    </row>
    <row r="90" spans="1:11" ht="15.75" customHeight="1" x14ac:dyDescent="0.25">
      <c r="A90" s="213"/>
      <c r="B90" s="55"/>
      <c r="C90" s="214"/>
      <c r="D90" s="215"/>
      <c r="E90" s="210"/>
      <c r="F90" s="216"/>
      <c r="G90" s="211">
        <f t="shared" si="11"/>
        <v>0</v>
      </c>
      <c r="H90" s="212"/>
      <c r="I90" s="1"/>
      <c r="J90" s="1"/>
      <c r="K90" s="1"/>
    </row>
    <row r="91" spans="1:11" ht="15.75" customHeight="1" x14ac:dyDescent="0.25">
      <c r="A91" s="213"/>
      <c r="B91" s="55"/>
      <c r="C91" s="217"/>
      <c r="D91" s="215"/>
      <c r="E91" s="218"/>
      <c r="F91" s="216"/>
      <c r="G91" s="211">
        <f t="shared" si="11"/>
        <v>0</v>
      </c>
      <c r="H91" s="212"/>
      <c r="I91" s="1"/>
      <c r="J91" s="1"/>
      <c r="K91" s="1"/>
    </row>
    <row r="92" spans="1:11" ht="15.75" customHeight="1" x14ac:dyDescent="0.25">
      <c r="A92" s="213"/>
      <c r="B92" s="55"/>
      <c r="C92" s="214"/>
      <c r="D92" s="219"/>
      <c r="E92" s="218"/>
      <c r="F92" s="216"/>
      <c r="G92" s="211">
        <f t="shared" si="11"/>
        <v>0</v>
      </c>
      <c r="H92" s="212"/>
      <c r="I92" s="1"/>
      <c r="J92" s="1"/>
      <c r="K92" s="1"/>
    </row>
    <row r="93" spans="1:11" ht="15.75" customHeight="1" x14ac:dyDescent="0.25">
      <c r="A93" s="213"/>
      <c r="B93" s="55"/>
      <c r="C93" s="214"/>
      <c r="D93" s="219"/>
      <c r="E93" s="220"/>
      <c r="F93" s="216"/>
      <c r="G93" s="211">
        <f t="shared" si="11"/>
        <v>0</v>
      </c>
      <c r="H93" s="212"/>
      <c r="I93" s="1"/>
      <c r="J93" s="1"/>
      <c r="K93" s="1"/>
    </row>
    <row r="94" spans="1:11" ht="15.75" customHeight="1" x14ac:dyDescent="0.25">
      <c r="A94" s="213"/>
      <c r="B94" s="55"/>
      <c r="C94" s="214"/>
      <c r="D94" s="219"/>
      <c r="E94" s="220"/>
      <c r="F94" s="216"/>
      <c r="G94" s="211">
        <f t="shared" si="11"/>
        <v>0</v>
      </c>
      <c r="H94" s="212"/>
      <c r="I94" s="1"/>
      <c r="J94" s="1"/>
      <c r="K94" s="1"/>
    </row>
    <row r="95" spans="1:11" ht="15.75" customHeight="1" x14ac:dyDescent="0.25">
      <c r="A95" s="213"/>
      <c r="B95" s="55"/>
      <c r="C95" s="214"/>
      <c r="D95" s="219"/>
      <c r="E95" s="220"/>
      <c r="F95" s="216"/>
      <c r="G95" s="211">
        <f t="shared" si="11"/>
        <v>0</v>
      </c>
      <c r="H95" s="221"/>
      <c r="I95" s="1"/>
      <c r="J95" s="1"/>
      <c r="K95" s="1"/>
    </row>
    <row r="96" spans="1:11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0</v>
      </c>
      <c r="H96" s="228"/>
      <c r="I96" s="1"/>
      <c r="J96" s="1"/>
      <c r="K96" s="1"/>
    </row>
    <row r="97" spans="1:11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  <c r="K97" s="1"/>
    </row>
    <row r="98" spans="1:11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  <c r="K98" s="1"/>
    </row>
    <row r="99" spans="1:11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  <c r="K99" s="1"/>
    </row>
    <row r="100" spans="1:11" ht="15.75" customHeight="1" x14ac:dyDescent="0.25">
      <c r="A100" s="233"/>
      <c r="B100" s="234"/>
      <c r="C100" s="235"/>
      <c r="D100" s="236"/>
      <c r="E100" s="237"/>
      <c r="F100" s="238"/>
      <c r="G100" s="239"/>
      <c r="H100" s="240"/>
      <c r="I100" s="1"/>
      <c r="J100" s="1"/>
      <c r="K100" s="1"/>
    </row>
    <row r="101" spans="1:11" ht="15.75" customHeight="1" x14ac:dyDescent="0.25">
      <c r="A101" s="241"/>
      <c r="B101" s="242"/>
      <c r="C101" s="243"/>
      <c r="D101" s="244"/>
      <c r="E101" s="245"/>
      <c r="F101" s="246">
        <f t="shared" ref="F101:F102" si="12">D101*E101</f>
        <v>0</v>
      </c>
      <c r="G101" s="247"/>
      <c r="H101" s="248"/>
      <c r="I101" s="1"/>
      <c r="J101" s="1"/>
      <c r="K101" s="1"/>
    </row>
    <row r="102" spans="1:11" ht="15.75" customHeight="1" x14ac:dyDescent="0.25">
      <c r="A102" s="249"/>
      <c r="B102" s="250"/>
      <c r="C102" s="249"/>
      <c r="D102" s="249"/>
      <c r="E102" s="249"/>
      <c r="F102" s="246">
        <f t="shared" si="12"/>
        <v>0</v>
      </c>
      <c r="G102" s="249"/>
      <c r="H102" s="249"/>
      <c r="I102" s="1"/>
      <c r="J102" s="1"/>
      <c r="K102" s="1"/>
    </row>
    <row r="103" spans="1:11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  <c r="K103" s="1"/>
    </row>
    <row r="104" spans="1:11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  <c r="K104" s="1"/>
    </row>
    <row r="105" spans="1:11" ht="15.75" customHeight="1" x14ac:dyDescent="0.25"/>
    <row r="106" spans="1:11" ht="15.75" customHeight="1" x14ac:dyDescent="0.25"/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73" workbookViewId="0">
      <selection activeCell="I100" sqref="I100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0.375" customWidth="1"/>
    <col min="5" max="5" width="17.375" customWidth="1"/>
    <col min="6" max="6" width="16.125" customWidth="1"/>
    <col min="7" max="7" width="14.625" customWidth="1"/>
    <col min="8" max="8" width="11.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/>
      <c r="C4" s="261" t="s">
        <v>54</v>
      </c>
      <c r="D4" s="262">
        <v>0.2</v>
      </c>
      <c r="E4" s="263">
        <v>4</v>
      </c>
      <c r="F4" s="14">
        <v>18</v>
      </c>
      <c r="G4" s="264">
        <v>0.8</v>
      </c>
      <c r="H4" s="16">
        <v>75</v>
      </c>
      <c r="I4" s="16">
        <f t="shared" ref="I4:I9" si="0">H4*E4</f>
        <v>300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4</v>
      </c>
      <c r="F5" s="14">
        <v>18</v>
      </c>
      <c r="G5" s="264">
        <v>0.8</v>
      </c>
      <c r="H5" s="16">
        <v>85</v>
      </c>
      <c r="I5" s="16">
        <f t="shared" si="0"/>
        <v>340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4</v>
      </c>
      <c r="F6" s="14">
        <v>10</v>
      </c>
      <c r="G6" s="263">
        <v>0.44</v>
      </c>
      <c r="H6" s="16">
        <v>35</v>
      </c>
      <c r="I6" s="16">
        <f t="shared" si="0"/>
        <v>140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4</v>
      </c>
      <c r="F7" s="14">
        <v>10</v>
      </c>
      <c r="G7" s="263">
        <v>0.44</v>
      </c>
      <c r="H7" s="16">
        <v>35</v>
      </c>
      <c r="I7" s="16">
        <f t="shared" si="0"/>
        <v>140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4</v>
      </c>
      <c r="F8" s="14">
        <v>10</v>
      </c>
      <c r="G8" s="263">
        <v>0.44</v>
      </c>
      <c r="H8" s="16">
        <v>35</v>
      </c>
      <c r="I8" s="16">
        <f t="shared" si="0"/>
        <v>140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4</v>
      </c>
      <c r="F9" s="14">
        <v>10</v>
      </c>
      <c r="G9" s="263">
        <v>0.44</v>
      </c>
      <c r="H9" s="16">
        <v>35</v>
      </c>
      <c r="I9" s="16">
        <f t="shared" si="0"/>
        <v>140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1">SUM(E4:E11)</f>
        <v>24</v>
      </c>
      <c r="F12" s="33">
        <f t="shared" si="1"/>
        <v>76</v>
      </c>
      <c r="G12" s="34">
        <f t="shared" si="1"/>
        <v>3.36</v>
      </c>
      <c r="H12" s="35"/>
      <c r="I12" s="36">
        <f>SUM(I4:I11)</f>
        <v>1200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65197.45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60</v>
      </c>
      <c r="B20" s="62"/>
      <c r="C20" s="63">
        <v>1200</v>
      </c>
      <c r="D20" s="63">
        <v>1200</v>
      </c>
      <c r="E20" s="64"/>
      <c r="F20" s="65"/>
      <c r="G20" s="66"/>
      <c r="H20" s="67">
        <f t="shared" ref="H20:H21" si="2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2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20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76" t="s">
        <v>61</v>
      </c>
      <c r="B28" s="62"/>
      <c r="C28" s="63">
        <v>30000</v>
      </c>
      <c r="D28" s="63">
        <v>30000</v>
      </c>
      <c r="E28" s="71"/>
      <c r="F28" s="73"/>
      <c r="G28" s="74"/>
      <c r="H28" s="67">
        <f t="shared" ref="H28:H40" si="3">F28*G28</f>
        <v>0</v>
      </c>
      <c r="I28" s="1"/>
      <c r="J28" s="1"/>
    </row>
    <row r="29" spans="1:10" ht="15.75" customHeight="1" x14ac:dyDescent="0.25">
      <c r="A29" s="76" t="s">
        <v>62</v>
      </c>
      <c r="B29" s="62"/>
      <c r="C29" s="63">
        <v>5273</v>
      </c>
      <c r="D29" s="63">
        <v>5273</v>
      </c>
      <c r="E29" s="71"/>
      <c r="F29" s="73"/>
      <c r="G29" s="74"/>
      <c r="H29" s="67">
        <f t="shared" si="3"/>
        <v>0</v>
      </c>
      <c r="I29" s="1"/>
      <c r="J29" s="1"/>
    </row>
    <row r="30" spans="1:10" ht="15.75" customHeight="1" x14ac:dyDescent="0.25">
      <c r="A30" s="64"/>
      <c r="B30" s="62"/>
      <c r="C30" s="63"/>
      <c r="D30" s="63"/>
      <c r="E30" s="71"/>
      <c r="F30" s="73"/>
      <c r="G30" s="74"/>
      <c r="H30" s="67">
        <f t="shared" si="3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3"/>
        <v>0</v>
      </c>
      <c r="I31" s="1"/>
      <c r="J31" s="1"/>
    </row>
    <row r="32" spans="1:10" ht="15.75" customHeight="1" x14ac:dyDescent="0.25">
      <c r="A32" s="76"/>
      <c r="B32" s="62"/>
      <c r="C32" s="63"/>
      <c r="D32" s="63"/>
      <c r="E32" s="71"/>
      <c r="F32" s="73"/>
      <c r="G32" s="74"/>
      <c r="H32" s="67">
        <f t="shared" si="3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3"/>
        <v>0</v>
      </c>
      <c r="I33" s="1"/>
      <c r="J33" s="1"/>
    </row>
    <row r="34" spans="1:10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3"/>
        <v>0</v>
      </c>
      <c r="I34" s="1"/>
      <c r="J34" s="1"/>
    </row>
    <row r="35" spans="1:10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3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3"/>
        <v>0</v>
      </c>
      <c r="I36" s="1"/>
      <c r="J36" s="1"/>
    </row>
    <row r="37" spans="1:10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3"/>
        <v>0</v>
      </c>
      <c r="I37" s="1"/>
      <c r="J37" s="1"/>
    </row>
    <row r="38" spans="1:10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3"/>
        <v>0</v>
      </c>
      <c r="I38" s="1"/>
      <c r="J38" s="1"/>
    </row>
    <row r="39" spans="1:10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3"/>
        <v>0</v>
      </c>
      <c r="I39" s="1"/>
      <c r="J39" s="1"/>
    </row>
    <row r="40" spans="1:10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3"/>
        <v>0</v>
      </c>
      <c r="I40" s="81"/>
      <c r="J40" s="81"/>
    </row>
    <row r="41" spans="1:10" ht="15.75" customHeight="1" x14ac:dyDescent="0.25">
      <c r="A41" s="82" t="s">
        <v>22</v>
      </c>
      <c r="B41" s="83"/>
      <c r="C41" s="84"/>
      <c r="D41" s="85">
        <f>SUM(D20,D21:D24,D19,)-SUM(D27:D40,)</f>
        <v>29124.449999999997</v>
      </c>
      <c r="E41" s="82" t="s">
        <v>22</v>
      </c>
      <c r="F41" s="86"/>
      <c r="G41" s="84"/>
      <c r="H41" s="87">
        <f>SUM(H19+H25-H40)</f>
        <v>0</v>
      </c>
      <c r="I41" s="1"/>
      <c r="J41" s="1"/>
    </row>
    <row r="42" spans="1:10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</row>
    <row r="43" spans="1:10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</row>
    <row r="44" spans="1:10" ht="15.75" customHeight="1" x14ac:dyDescent="0.25">
      <c r="A44" s="90" t="s">
        <v>24</v>
      </c>
      <c r="B44" s="51"/>
      <c r="C44" s="51"/>
      <c r="D44" s="44"/>
      <c r="E44" s="91" t="s">
        <v>25</v>
      </c>
      <c r="F44" s="51"/>
      <c r="G44" s="51"/>
      <c r="H44" s="44"/>
      <c r="I44" s="1"/>
      <c r="J44" s="1"/>
    </row>
    <row r="45" spans="1:10" ht="15.75" customHeight="1" x14ac:dyDescent="0.25">
      <c r="A45" s="92" t="s">
        <v>17</v>
      </c>
      <c r="B45" s="44"/>
      <c r="C45" s="93">
        <v>1231874.69</v>
      </c>
      <c r="D45" s="51"/>
      <c r="E45" s="94" t="s">
        <v>17</v>
      </c>
      <c r="F45" s="44"/>
      <c r="G45" s="95">
        <v>3090.7</v>
      </c>
      <c r="H45" s="44"/>
      <c r="I45" s="1"/>
      <c r="J45" s="1"/>
    </row>
    <row r="46" spans="1:10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</row>
    <row r="47" spans="1:10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</row>
    <row r="48" spans="1:10" ht="15.75" customHeight="1" x14ac:dyDescent="0.25">
      <c r="A48" s="98" t="s">
        <v>31</v>
      </c>
      <c r="B48" s="99">
        <v>640.79</v>
      </c>
      <c r="C48" s="100" t="s">
        <v>32</v>
      </c>
      <c r="D48" s="101">
        <v>100</v>
      </c>
      <c r="E48" s="102"/>
      <c r="F48" s="103"/>
      <c r="G48" s="104"/>
      <c r="H48" s="103"/>
      <c r="I48" s="81"/>
      <c r="J48" s="81"/>
    </row>
    <row r="49" spans="1:10" ht="15.75" customHeight="1" x14ac:dyDescent="0.25">
      <c r="A49" s="105" t="s">
        <v>63</v>
      </c>
      <c r="B49" s="106">
        <v>100000</v>
      </c>
      <c r="C49" s="106" t="s">
        <v>64</v>
      </c>
      <c r="D49" s="101">
        <v>20000</v>
      </c>
      <c r="E49" s="104"/>
      <c r="F49" s="103"/>
      <c r="G49" s="104"/>
      <c r="H49" s="103"/>
      <c r="I49" s="81"/>
      <c r="J49" s="81"/>
    </row>
    <row r="50" spans="1:10" ht="15.75" customHeight="1" x14ac:dyDescent="0.25">
      <c r="A50" s="105"/>
      <c r="B50" s="107"/>
      <c r="C50" s="107" t="s">
        <v>65</v>
      </c>
      <c r="D50" s="101">
        <v>93940</v>
      </c>
      <c r="E50" s="104"/>
      <c r="F50" s="103"/>
      <c r="G50" s="108"/>
      <c r="H50" s="103"/>
      <c r="I50" s="81"/>
      <c r="J50" s="81"/>
    </row>
    <row r="51" spans="1:10" ht="15.75" customHeight="1" x14ac:dyDescent="0.25">
      <c r="A51" s="109"/>
      <c r="B51" s="107"/>
      <c r="C51" s="107" t="s">
        <v>66</v>
      </c>
      <c r="D51" s="101">
        <v>0</v>
      </c>
      <c r="E51" s="102"/>
      <c r="F51" s="110"/>
      <c r="G51" s="108"/>
      <c r="H51" s="103"/>
      <c r="I51" s="81"/>
      <c r="J51" s="81"/>
    </row>
    <row r="52" spans="1:10" ht="15.75" customHeight="1" x14ac:dyDescent="0.25">
      <c r="A52" s="111"/>
      <c r="B52" s="107"/>
      <c r="C52" s="107"/>
      <c r="D52" s="101"/>
      <c r="E52" s="112"/>
      <c r="F52" s="113"/>
      <c r="G52" s="114"/>
      <c r="H52" s="114"/>
      <c r="I52" s="81"/>
      <c r="J52" s="81"/>
    </row>
    <row r="53" spans="1:10" ht="15.75" customHeight="1" x14ac:dyDescent="0.25">
      <c r="A53" s="111"/>
      <c r="B53" s="107"/>
      <c r="C53" s="107"/>
      <c r="D53" s="101"/>
      <c r="E53" s="112"/>
      <c r="F53" s="113"/>
      <c r="G53" s="115"/>
      <c r="H53" s="114"/>
      <c r="I53" s="81"/>
      <c r="J53" s="81"/>
    </row>
    <row r="54" spans="1:10" ht="15.75" customHeight="1" x14ac:dyDescent="0.25">
      <c r="A54" s="116"/>
      <c r="B54" s="107"/>
      <c r="C54" s="107"/>
      <c r="D54" s="101"/>
      <c r="E54" s="112"/>
      <c r="F54" s="112"/>
      <c r="G54" s="117"/>
      <c r="H54" s="114"/>
      <c r="I54" s="81"/>
      <c r="J54" s="81"/>
    </row>
    <row r="55" spans="1:10" ht="15.75" customHeight="1" x14ac:dyDescent="0.25">
      <c r="A55" s="118"/>
      <c r="B55" s="116"/>
      <c r="C55" s="107"/>
      <c r="D55" s="101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119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18"/>
      <c r="B58" s="119"/>
      <c r="C58" s="104"/>
      <c r="D58" s="120"/>
      <c r="E58" s="118"/>
      <c r="F58" s="112"/>
      <c r="G58" s="104"/>
      <c r="H58" s="114"/>
      <c r="I58" s="81"/>
      <c r="J58" s="81"/>
    </row>
    <row r="59" spans="1:10" ht="15.75" customHeight="1" x14ac:dyDescent="0.25">
      <c r="A59" s="118"/>
      <c r="B59" s="119"/>
      <c r="C59" s="104"/>
      <c r="D59" s="120"/>
      <c r="E59" s="118"/>
      <c r="F59" s="112"/>
      <c r="G59" s="104"/>
      <c r="H59" s="114"/>
      <c r="I59" s="81"/>
      <c r="J59" s="81"/>
    </row>
    <row r="60" spans="1:10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</row>
    <row r="61" spans="1:10" ht="15.75" customHeight="1" x14ac:dyDescent="0.25">
      <c r="A61" s="121"/>
      <c r="B61" s="122">
        <f>SUM(B48:B60)+C45</f>
        <v>1332515.48</v>
      </c>
      <c r="C61" s="123"/>
      <c r="D61" s="122">
        <f>SUM(D48:D60)</f>
        <v>114040</v>
      </c>
      <c r="E61" s="124"/>
      <c r="F61" s="124">
        <f>SUM(F48:F60)</f>
        <v>0</v>
      </c>
      <c r="G61" s="124"/>
      <c r="H61" s="124">
        <f>SUM(H48:H60)</f>
        <v>0</v>
      </c>
      <c r="I61" s="1"/>
      <c r="J61" s="1"/>
    </row>
    <row r="62" spans="1:10" ht="15.75" customHeight="1" x14ac:dyDescent="0.25">
      <c r="A62" s="125" t="s">
        <v>22</v>
      </c>
      <c r="B62" s="126">
        <f>B61-D61</f>
        <v>1218475.48</v>
      </c>
      <c r="C62" s="51"/>
      <c r="D62" s="44"/>
      <c r="E62" s="94" t="s">
        <v>22</v>
      </c>
      <c r="F62" s="95">
        <f>G45+F61-H61</f>
        <v>3090.7</v>
      </c>
      <c r="G62" s="51"/>
      <c r="H62" s="44"/>
      <c r="I62" s="1"/>
      <c r="J62" s="1"/>
    </row>
    <row r="63" spans="1:10" ht="15.75" customHeight="1" x14ac:dyDescent="0.25">
      <c r="A63" s="127" t="s">
        <v>37</v>
      </c>
      <c r="B63" s="44"/>
      <c r="C63" s="128">
        <f>B62+F62</f>
        <v>1221566.18</v>
      </c>
      <c r="D63" s="51"/>
      <c r="E63" s="51"/>
      <c r="F63" s="51"/>
      <c r="G63" s="51"/>
      <c r="H63" s="44"/>
      <c r="I63" s="1"/>
      <c r="J63" s="1"/>
    </row>
    <row r="64" spans="1:10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</row>
    <row r="65" spans="1:10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</row>
    <row r="66" spans="1:10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</row>
    <row r="67" spans="1:10" ht="15.75" customHeight="1" x14ac:dyDescent="0.25">
      <c r="A67" s="144" t="s">
        <v>67</v>
      </c>
      <c r="B67" s="145" t="s">
        <v>68</v>
      </c>
      <c r="C67" s="267" t="s">
        <v>69</v>
      </c>
      <c r="D67" s="147"/>
      <c r="E67" s="148">
        <v>20</v>
      </c>
      <c r="F67" s="149"/>
      <c r="G67" s="148">
        <v>20000</v>
      </c>
      <c r="H67" s="150">
        <v>14.5</v>
      </c>
      <c r="I67" s="150">
        <f>G67*H67</f>
        <v>290000</v>
      </c>
      <c r="J67" s="151"/>
    </row>
    <row r="68" spans="1:10" ht="15.75" customHeight="1" x14ac:dyDescent="0.25">
      <c r="A68" s="144" t="s">
        <v>70</v>
      </c>
      <c r="B68" s="145" t="s">
        <v>68</v>
      </c>
      <c r="C68" s="152" t="s">
        <v>71</v>
      </c>
      <c r="D68" s="147">
        <v>0.2</v>
      </c>
      <c r="E68" s="148">
        <v>160</v>
      </c>
      <c r="F68" s="149">
        <v>18</v>
      </c>
      <c r="G68" s="148">
        <f t="shared" ref="G68:G70" si="4">D68*E68*F68</f>
        <v>576</v>
      </c>
      <c r="H68" s="150">
        <v>94.1</v>
      </c>
      <c r="I68" s="150">
        <f t="shared" ref="I68:I70" si="5">E68*F68*H68</f>
        <v>271008</v>
      </c>
      <c r="J68" s="153" t="s">
        <v>72</v>
      </c>
    </row>
    <row r="69" spans="1:10" ht="15.75" customHeight="1" x14ac:dyDescent="0.25">
      <c r="A69" s="144" t="s">
        <v>70</v>
      </c>
      <c r="B69" s="145" t="s">
        <v>68</v>
      </c>
      <c r="C69" s="152" t="s">
        <v>71</v>
      </c>
      <c r="D69" s="147">
        <v>0.2</v>
      </c>
      <c r="E69" s="148">
        <v>320</v>
      </c>
      <c r="F69" s="149">
        <v>18</v>
      </c>
      <c r="G69" s="148">
        <f t="shared" si="4"/>
        <v>1152</v>
      </c>
      <c r="H69" s="150">
        <v>98</v>
      </c>
      <c r="I69" s="150">
        <f t="shared" si="5"/>
        <v>564480</v>
      </c>
      <c r="J69" s="153" t="s">
        <v>73</v>
      </c>
    </row>
    <row r="70" spans="1:10" ht="15.75" customHeight="1" x14ac:dyDescent="0.25">
      <c r="A70" s="144" t="s">
        <v>70</v>
      </c>
      <c r="B70" s="145" t="s">
        <v>68</v>
      </c>
      <c r="C70" s="152" t="s">
        <v>71</v>
      </c>
      <c r="D70" s="147">
        <v>0.2</v>
      </c>
      <c r="E70" s="148">
        <v>80</v>
      </c>
      <c r="F70" s="149">
        <v>18</v>
      </c>
      <c r="G70" s="148">
        <f t="shared" si="4"/>
        <v>288</v>
      </c>
      <c r="H70" s="150">
        <v>98</v>
      </c>
      <c r="I70" s="150">
        <f t="shared" si="5"/>
        <v>141120</v>
      </c>
      <c r="J70" s="153" t="s">
        <v>74</v>
      </c>
    </row>
    <row r="71" spans="1:10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</row>
    <row r="72" spans="1:10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</row>
    <row r="73" spans="1:10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</row>
    <row r="74" spans="1:10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</row>
    <row r="77" spans="1:10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</row>
    <row r="78" spans="1:10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</row>
    <row r="79" spans="1:10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</row>
    <row r="80" spans="1:10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6">D80*F80</f>
        <v>0</v>
      </c>
      <c r="H80" s="180"/>
      <c r="I80" s="180">
        <f t="shared" ref="I80:I81" si="7">F80*H80*E80</f>
        <v>0</v>
      </c>
      <c r="J80" s="181"/>
    </row>
    <row r="81" spans="1:10" ht="15.75" customHeight="1" x14ac:dyDescent="0.25">
      <c r="A81" s="176"/>
      <c r="B81" s="157"/>
      <c r="C81" s="182"/>
      <c r="D81" s="183"/>
      <c r="E81" s="184"/>
      <c r="F81" s="183"/>
      <c r="G81" s="179">
        <f t="shared" si="6"/>
        <v>0</v>
      </c>
      <c r="H81" s="185"/>
      <c r="I81" s="180">
        <f t="shared" si="7"/>
        <v>0</v>
      </c>
      <c r="J81" s="181"/>
    </row>
    <row r="82" spans="1:10" ht="15.75" customHeight="1" x14ac:dyDescent="0.25">
      <c r="A82" s="186" t="s">
        <v>37</v>
      </c>
      <c r="B82" s="187"/>
      <c r="C82" s="188"/>
      <c r="D82" s="189"/>
      <c r="E82" s="190">
        <f>SUM(E67:E81)</f>
        <v>580</v>
      </c>
      <c r="F82" s="191">
        <f>SUM(F67:F79)</f>
        <v>54</v>
      </c>
      <c r="G82" s="192">
        <f>SUM(G67:G74)</f>
        <v>22016</v>
      </c>
      <c r="H82" s="193"/>
      <c r="I82" s="193">
        <f>SUM(I67:I75)</f>
        <v>1266608</v>
      </c>
      <c r="J82" s="194"/>
    </row>
    <row r="83" spans="1:10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</row>
    <row r="84" spans="1:10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</row>
    <row r="85" spans="1:10" ht="15.75" customHeight="1" x14ac:dyDescent="0.25">
      <c r="A85" s="198"/>
      <c r="B85" s="199">
        <f>E12+G82</f>
        <v>22040</v>
      </c>
      <c r="C85" s="200">
        <f>I12+H82+I82</f>
        <v>1267808</v>
      </c>
      <c r="D85" s="38"/>
      <c r="E85" s="38"/>
      <c r="F85" s="38"/>
      <c r="G85" s="38"/>
      <c r="H85" s="1"/>
      <c r="I85" s="1"/>
      <c r="J85" s="1"/>
    </row>
    <row r="86" spans="1:10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</row>
    <row r="87" spans="1:10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</row>
    <row r="88" spans="1:10" ht="15.75" customHeight="1" x14ac:dyDescent="0.25">
      <c r="A88" s="213" t="s">
        <v>75</v>
      </c>
      <c r="B88" s="55" t="s">
        <v>76</v>
      </c>
      <c r="C88" s="214" t="s">
        <v>77</v>
      </c>
      <c r="D88" s="215"/>
      <c r="E88" s="210" t="s">
        <v>78</v>
      </c>
      <c r="F88" s="216">
        <v>14000</v>
      </c>
      <c r="G88" s="211">
        <v>14000</v>
      </c>
      <c r="H88" s="268" t="s">
        <v>79</v>
      </c>
      <c r="I88" s="201"/>
      <c r="J88" s="53"/>
    </row>
    <row r="89" spans="1:10" ht="15.75" customHeight="1" x14ac:dyDescent="0.25">
      <c r="A89" s="213" t="s">
        <v>75</v>
      </c>
      <c r="B89" s="55" t="s">
        <v>76</v>
      </c>
      <c r="C89" s="214" t="s">
        <v>80</v>
      </c>
      <c r="D89" s="215"/>
      <c r="E89" s="210" t="s">
        <v>81</v>
      </c>
      <c r="F89" s="216">
        <v>50000</v>
      </c>
      <c r="G89" s="211">
        <f t="shared" ref="G89:G90" si="8">F89</f>
        <v>50000</v>
      </c>
      <c r="H89" s="212"/>
      <c r="I89" s="201" t="s">
        <v>82</v>
      </c>
      <c r="J89" s="53"/>
    </row>
    <row r="90" spans="1:10" ht="15.75" customHeight="1" x14ac:dyDescent="0.25">
      <c r="A90" s="213" t="s">
        <v>77</v>
      </c>
      <c r="B90" s="55" t="s">
        <v>76</v>
      </c>
      <c r="C90" s="214" t="s">
        <v>83</v>
      </c>
      <c r="D90" s="215"/>
      <c r="E90" s="269" t="s">
        <v>72</v>
      </c>
      <c r="F90" s="216">
        <v>6120</v>
      </c>
      <c r="G90" s="211">
        <f t="shared" si="8"/>
        <v>6120</v>
      </c>
      <c r="H90" s="268" t="s">
        <v>79</v>
      </c>
      <c r="I90" s="1"/>
      <c r="J90" s="1"/>
    </row>
    <row r="91" spans="1:10" ht="15.75" customHeight="1" x14ac:dyDescent="0.25">
      <c r="A91" s="213" t="s">
        <v>77</v>
      </c>
      <c r="B91" s="55" t="s">
        <v>76</v>
      </c>
      <c r="C91" s="214" t="s">
        <v>83</v>
      </c>
      <c r="D91" s="215"/>
      <c r="E91" s="269" t="s">
        <v>73</v>
      </c>
      <c r="F91" s="216">
        <v>10596</v>
      </c>
      <c r="G91" s="211">
        <v>10596</v>
      </c>
      <c r="H91" s="268" t="s">
        <v>79</v>
      </c>
      <c r="I91" s="1"/>
      <c r="J91" s="1"/>
    </row>
    <row r="92" spans="1:10" ht="15.75" customHeight="1" x14ac:dyDescent="0.25">
      <c r="A92" s="213" t="s">
        <v>77</v>
      </c>
      <c r="B92" s="55" t="s">
        <v>76</v>
      </c>
      <c r="C92" s="214" t="s">
        <v>83</v>
      </c>
      <c r="D92" s="219"/>
      <c r="E92" s="269" t="s">
        <v>74</v>
      </c>
      <c r="F92" s="216">
        <v>11172</v>
      </c>
      <c r="G92" s="211">
        <v>11172</v>
      </c>
      <c r="H92" s="268" t="s">
        <v>79</v>
      </c>
      <c r="I92" s="1"/>
      <c r="J92" s="1"/>
    </row>
    <row r="93" spans="1:10" ht="15.75" customHeight="1" x14ac:dyDescent="0.25">
      <c r="A93" s="213"/>
      <c r="B93" s="55"/>
      <c r="C93" s="214"/>
      <c r="D93" s="219"/>
      <c r="E93" s="220"/>
      <c r="F93" s="216"/>
      <c r="G93" s="211">
        <f t="shared" ref="G93:G95" si="9">F93+F1211</f>
        <v>0</v>
      </c>
      <c r="H93" s="212"/>
      <c r="I93" s="1"/>
      <c r="J93" s="1"/>
    </row>
    <row r="94" spans="1:10" ht="15.75" customHeight="1" x14ac:dyDescent="0.25">
      <c r="A94" s="213"/>
      <c r="B94" s="55"/>
      <c r="C94" s="214"/>
      <c r="D94" s="219"/>
      <c r="E94" s="220"/>
      <c r="F94" s="216"/>
      <c r="G94" s="211">
        <f t="shared" si="9"/>
        <v>0</v>
      </c>
      <c r="H94" s="212"/>
      <c r="I94" s="1"/>
      <c r="J94" s="1"/>
    </row>
    <row r="95" spans="1:10" ht="15.75" customHeight="1" x14ac:dyDescent="0.25">
      <c r="A95" s="213"/>
      <c r="B95" s="55"/>
      <c r="C95" s="214"/>
      <c r="D95" s="219"/>
      <c r="E95" s="220"/>
      <c r="F95" s="216"/>
      <c r="G95" s="211">
        <f t="shared" si="9"/>
        <v>0</v>
      </c>
      <c r="H95" s="221"/>
      <c r="I95" s="1"/>
      <c r="J95" s="1"/>
    </row>
    <row r="96" spans="1:10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91888</v>
      </c>
      <c r="H96" s="228"/>
      <c r="I96" s="1"/>
      <c r="J96" s="1"/>
    </row>
    <row r="97" spans="1:10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</row>
    <row r="98" spans="1:10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</row>
    <row r="99" spans="1:10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</row>
    <row r="100" spans="1:10" ht="30" customHeight="1" x14ac:dyDescent="0.25">
      <c r="A100" s="270" t="s">
        <v>67</v>
      </c>
      <c r="B100" s="271" t="s">
        <v>69</v>
      </c>
      <c r="C100" s="235"/>
      <c r="D100" s="236">
        <v>20000</v>
      </c>
      <c r="E100" s="272">
        <v>14.5</v>
      </c>
      <c r="F100" s="273">
        <f t="shared" ref="F100:F102" si="10">D100*E100</f>
        <v>290000</v>
      </c>
      <c r="G100" s="239"/>
      <c r="H100" s="240"/>
      <c r="I100" s="1"/>
      <c r="J100" s="1"/>
    </row>
    <row r="101" spans="1:10" ht="15.75" customHeight="1" x14ac:dyDescent="0.25">
      <c r="A101" s="241"/>
      <c r="B101" s="242"/>
      <c r="C101" s="243"/>
      <c r="D101" s="244"/>
      <c r="E101" s="245"/>
      <c r="F101" s="246">
        <f t="shared" si="10"/>
        <v>0</v>
      </c>
      <c r="G101" s="247"/>
      <c r="H101" s="248"/>
      <c r="I101" s="1"/>
      <c r="J101" s="1"/>
    </row>
    <row r="102" spans="1:10" ht="15.75" customHeight="1" x14ac:dyDescent="0.25">
      <c r="A102" s="249"/>
      <c r="B102" s="250"/>
      <c r="C102" s="249"/>
      <c r="D102" s="249"/>
      <c r="E102" s="249"/>
      <c r="F102" s="246">
        <f t="shared" si="10"/>
        <v>0</v>
      </c>
      <c r="G102" s="249"/>
      <c r="H102" s="249"/>
      <c r="I102" s="1"/>
      <c r="J102" s="1"/>
    </row>
    <row r="103" spans="1:10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</row>
    <row r="104" spans="1:10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</row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opLeftCell="A33" workbookViewId="0">
      <selection activeCell="C63" sqref="C63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0.375" customWidth="1"/>
    <col min="5" max="5" width="17.375" customWidth="1"/>
    <col min="6" max="6" width="14.5" customWidth="1"/>
    <col min="7" max="7" width="9.625" customWidth="1"/>
    <col min="8" max="8" width="7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57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/>
      <c r="C4" s="261" t="s">
        <v>54</v>
      </c>
      <c r="D4" s="262">
        <v>0.2</v>
      </c>
      <c r="E4" s="263">
        <v>6</v>
      </c>
      <c r="F4" s="14">
        <v>18</v>
      </c>
      <c r="G4" s="264">
        <v>0.8</v>
      </c>
      <c r="H4" s="16">
        <v>75</v>
      </c>
      <c r="I4" s="16">
        <f t="shared" ref="I4:I9" si="0">H4*E4</f>
        <v>450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8</v>
      </c>
      <c r="F5" s="14">
        <v>18</v>
      </c>
      <c r="G5" s="264">
        <v>0.8</v>
      </c>
      <c r="H5" s="16">
        <v>85</v>
      </c>
      <c r="I5" s="16">
        <f t="shared" si="0"/>
        <v>680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0</v>
      </c>
      <c r="F6" s="14">
        <v>10</v>
      </c>
      <c r="G6" s="263">
        <v>0.44</v>
      </c>
      <c r="H6" s="16">
        <v>35</v>
      </c>
      <c r="I6" s="16">
        <f t="shared" si="0"/>
        <v>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0</v>
      </c>
      <c r="F7" s="14">
        <v>10</v>
      </c>
      <c r="G7" s="263">
        <v>0.44</v>
      </c>
      <c r="H7" s="16">
        <v>35</v>
      </c>
      <c r="I7" s="16">
        <f t="shared" si="0"/>
        <v>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0</v>
      </c>
      <c r="F8" s="14">
        <v>10</v>
      </c>
      <c r="G8" s="263">
        <v>0.44</v>
      </c>
      <c r="H8" s="16">
        <v>35</v>
      </c>
      <c r="I8" s="16">
        <f t="shared" si="0"/>
        <v>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0</v>
      </c>
      <c r="F9" s="14">
        <v>10</v>
      </c>
      <c r="G9" s="263">
        <v>0.44</v>
      </c>
      <c r="H9" s="16">
        <v>35</v>
      </c>
      <c r="I9" s="16">
        <f t="shared" si="0"/>
        <v>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1">SUM(E4:E11)</f>
        <v>14</v>
      </c>
      <c r="F12" s="33">
        <f t="shared" si="1"/>
        <v>76</v>
      </c>
      <c r="G12" s="34">
        <f t="shared" si="1"/>
        <v>3.36</v>
      </c>
      <c r="H12" s="35"/>
      <c r="I12" s="36">
        <f>SUM(I4:I11)</f>
        <v>1130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29124.45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84</v>
      </c>
      <c r="B20" s="62"/>
      <c r="C20" s="63">
        <v>1130</v>
      </c>
      <c r="D20" s="63">
        <v>1130</v>
      </c>
      <c r="E20" s="64"/>
      <c r="F20" s="65"/>
      <c r="G20" s="66"/>
      <c r="H20" s="67">
        <f t="shared" ref="H20:H21" si="2">F20*G20</f>
        <v>0</v>
      </c>
      <c r="I20" s="1"/>
      <c r="J20" s="1"/>
    </row>
    <row r="21" spans="1:10" ht="15.75" customHeight="1" x14ac:dyDescent="0.25">
      <c r="A21" s="61" t="s">
        <v>60</v>
      </c>
      <c r="B21" s="62"/>
      <c r="C21" s="63">
        <v>200000</v>
      </c>
      <c r="D21" s="63">
        <v>200000</v>
      </c>
      <c r="E21" s="64"/>
      <c r="F21" s="65"/>
      <c r="G21" s="66"/>
      <c r="H21" s="67">
        <f t="shared" si="2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20</v>
      </c>
      <c r="B27" s="62"/>
      <c r="C27" s="63">
        <v>10000</v>
      </c>
      <c r="D27" s="63">
        <v>10000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76" t="s">
        <v>85</v>
      </c>
      <c r="B28" s="62"/>
      <c r="C28" s="63">
        <v>16000</v>
      </c>
      <c r="D28" s="63">
        <v>16000</v>
      </c>
      <c r="E28" s="71"/>
      <c r="F28" s="73"/>
      <c r="G28" s="74"/>
      <c r="H28" s="67">
        <f t="shared" ref="H28:H40" si="3">F28*G28</f>
        <v>0</v>
      </c>
      <c r="I28" s="1"/>
      <c r="J28" s="1"/>
    </row>
    <row r="29" spans="1:10" ht="15.75" customHeight="1" x14ac:dyDescent="0.25">
      <c r="A29" s="76" t="s">
        <v>86</v>
      </c>
      <c r="B29" s="62"/>
      <c r="C29" s="63">
        <v>3600</v>
      </c>
      <c r="D29" s="63">
        <v>3600</v>
      </c>
      <c r="E29" s="71"/>
      <c r="F29" s="73"/>
      <c r="G29" s="74"/>
      <c r="H29" s="67">
        <f t="shared" si="3"/>
        <v>0</v>
      </c>
      <c r="I29" s="1"/>
      <c r="J29" s="1"/>
    </row>
    <row r="30" spans="1:10" ht="15.75" customHeight="1" x14ac:dyDescent="0.25">
      <c r="A30" s="64" t="s">
        <v>87</v>
      </c>
      <c r="B30" s="62"/>
      <c r="C30" s="63">
        <v>70000</v>
      </c>
      <c r="D30" s="63">
        <v>70000</v>
      </c>
      <c r="E30" s="71"/>
      <c r="F30" s="73"/>
      <c r="G30" s="74"/>
      <c r="H30" s="67">
        <f t="shared" si="3"/>
        <v>0</v>
      </c>
      <c r="I30" s="1"/>
      <c r="J30" s="1"/>
    </row>
    <row r="31" spans="1:10" ht="15.75" customHeight="1" x14ac:dyDescent="0.25">
      <c r="A31" s="64" t="s">
        <v>88</v>
      </c>
      <c r="B31" s="62"/>
      <c r="C31" s="63">
        <v>4000</v>
      </c>
      <c r="D31" s="69">
        <v>4000</v>
      </c>
      <c r="E31" s="71"/>
      <c r="F31" s="73"/>
      <c r="G31" s="74"/>
      <c r="H31" s="67">
        <f t="shared" si="3"/>
        <v>0</v>
      </c>
      <c r="I31" s="1"/>
      <c r="J31" s="1"/>
    </row>
    <row r="32" spans="1:10" ht="15.75" customHeight="1" x14ac:dyDescent="0.25">
      <c r="A32" s="76" t="s">
        <v>89</v>
      </c>
      <c r="B32" s="62"/>
      <c r="C32" s="63">
        <v>1300</v>
      </c>
      <c r="D32" s="63">
        <v>1300</v>
      </c>
      <c r="E32" s="71"/>
      <c r="F32" s="73"/>
      <c r="G32" s="74"/>
      <c r="H32" s="67">
        <f t="shared" si="3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3"/>
        <v>0</v>
      </c>
      <c r="I33" s="1"/>
      <c r="J33" s="1"/>
    </row>
    <row r="34" spans="1:10" ht="15.75" customHeight="1" x14ac:dyDescent="0.25">
      <c r="A34" s="64"/>
      <c r="B34" s="62"/>
      <c r="C34" s="63"/>
      <c r="D34" s="69"/>
      <c r="E34" s="71"/>
      <c r="F34" s="73"/>
      <c r="G34" s="74"/>
      <c r="H34" s="67">
        <f t="shared" si="3"/>
        <v>0</v>
      </c>
      <c r="I34" s="1"/>
      <c r="J34" s="1"/>
    </row>
    <row r="35" spans="1:10" ht="15.75" customHeight="1" x14ac:dyDescent="0.25">
      <c r="A35" s="64"/>
      <c r="B35" s="62"/>
      <c r="C35" s="63"/>
      <c r="D35" s="69"/>
      <c r="E35" s="71"/>
      <c r="F35" s="73"/>
      <c r="G35" s="74"/>
      <c r="H35" s="67">
        <f t="shared" si="3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3"/>
        <v>0</v>
      </c>
      <c r="I36" s="1"/>
      <c r="J36" s="1"/>
    </row>
    <row r="37" spans="1:10" ht="15.75" customHeight="1" x14ac:dyDescent="0.25">
      <c r="A37" s="64"/>
      <c r="B37" s="62"/>
      <c r="C37" s="63"/>
      <c r="D37" s="70"/>
      <c r="E37" s="71"/>
      <c r="F37" s="73"/>
      <c r="G37" s="74"/>
      <c r="H37" s="67">
        <f t="shared" si="3"/>
        <v>0</v>
      </c>
      <c r="I37" s="1"/>
      <c r="J37" s="1"/>
    </row>
    <row r="38" spans="1:10" ht="15.75" customHeight="1" x14ac:dyDescent="0.25">
      <c r="A38" s="64"/>
      <c r="B38" s="62"/>
      <c r="C38" s="63"/>
      <c r="D38" s="70"/>
      <c r="E38" s="71"/>
      <c r="F38" s="73"/>
      <c r="G38" s="74"/>
      <c r="H38" s="67">
        <f t="shared" si="3"/>
        <v>0</v>
      </c>
      <c r="I38" s="1"/>
      <c r="J38" s="1"/>
    </row>
    <row r="39" spans="1:10" ht="15.75" customHeight="1" x14ac:dyDescent="0.25">
      <c r="A39" s="64"/>
      <c r="B39" s="62"/>
      <c r="C39" s="63"/>
      <c r="D39" s="70"/>
      <c r="E39" s="71"/>
      <c r="F39" s="73"/>
      <c r="G39" s="74"/>
      <c r="H39" s="67">
        <f t="shared" si="3"/>
        <v>0</v>
      </c>
      <c r="I39" s="1"/>
      <c r="J39" s="1"/>
    </row>
    <row r="40" spans="1:10" ht="15.75" customHeight="1" x14ac:dyDescent="0.25">
      <c r="A40" s="78"/>
      <c r="B40" s="62"/>
      <c r="C40" s="63"/>
      <c r="D40" s="79"/>
      <c r="E40" s="80" t="s">
        <v>21</v>
      </c>
      <c r="F40" s="73"/>
      <c r="G40" s="74"/>
      <c r="H40" s="67">
        <f t="shared" si="3"/>
        <v>0</v>
      </c>
      <c r="I40" s="81"/>
      <c r="J40" s="81"/>
    </row>
    <row r="41" spans="1:10" ht="15.75" customHeight="1" x14ac:dyDescent="0.25">
      <c r="A41" s="82" t="s">
        <v>22</v>
      </c>
      <c r="B41" s="83"/>
      <c r="C41" s="84"/>
      <c r="D41" s="85">
        <f>SUM(D20,D21:D24,D19,)-SUM(D27:D40,)</f>
        <v>125354.45000000001</v>
      </c>
      <c r="E41" s="82" t="s">
        <v>22</v>
      </c>
      <c r="F41" s="86"/>
      <c r="G41" s="84"/>
      <c r="H41" s="87">
        <f>SUM(H19+H25-H40)</f>
        <v>0</v>
      </c>
      <c r="I41" s="1"/>
      <c r="J41" s="1"/>
    </row>
    <row r="42" spans="1:10" ht="15.75" customHeight="1" x14ac:dyDescent="0.25">
      <c r="A42" s="88"/>
      <c r="B42" s="89"/>
      <c r="C42" s="40"/>
      <c r="D42" s="38"/>
      <c r="E42" s="38"/>
      <c r="F42" s="38"/>
      <c r="G42" s="1"/>
      <c r="H42" s="1"/>
      <c r="I42" s="1"/>
      <c r="J42" s="1"/>
    </row>
    <row r="43" spans="1:10" ht="15.75" customHeight="1" x14ac:dyDescent="0.25">
      <c r="A43" s="377" t="s">
        <v>23</v>
      </c>
      <c r="B43" s="376"/>
      <c r="C43" s="376"/>
      <c r="D43" s="376"/>
      <c r="E43" s="376"/>
      <c r="F43" s="376"/>
      <c r="G43" s="376"/>
      <c r="H43" s="376"/>
      <c r="I43" s="1"/>
      <c r="J43" s="1"/>
    </row>
    <row r="44" spans="1:10" ht="15.75" customHeight="1" x14ac:dyDescent="0.25">
      <c r="A44" s="90" t="s">
        <v>24</v>
      </c>
      <c r="B44" s="274" t="s">
        <v>24</v>
      </c>
      <c r="C44" s="274"/>
      <c r="D44" s="44"/>
      <c r="E44" s="91" t="s">
        <v>25</v>
      </c>
      <c r="F44" s="51"/>
      <c r="G44" s="51"/>
      <c r="H44" s="44"/>
      <c r="I44" s="1"/>
      <c r="J44" s="1"/>
    </row>
    <row r="45" spans="1:10" ht="15.75" customHeight="1" x14ac:dyDescent="0.25">
      <c r="A45" s="92" t="s">
        <v>17</v>
      </c>
      <c r="B45" s="275"/>
      <c r="C45" s="93">
        <v>1218475.48</v>
      </c>
      <c r="D45" s="51"/>
      <c r="E45" s="94" t="s">
        <v>17</v>
      </c>
      <c r="F45" s="44"/>
      <c r="G45" s="95">
        <v>3090.7</v>
      </c>
      <c r="H45" s="44"/>
      <c r="I45" s="1"/>
      <c r="J45" s="1"/>
    </row>
    <row r="46" spans="1:10" ht="15.75" customHeight="1" x14ac:dyDescent="0.25">
      <c r="A46" s="96" t="s">
        <v>26</v>
      </c>
      <c r="B46" s="44"/>
      <c r="C46" s="96" t="s">
        <v>27</v>
      </c>
      <c r="D46" s="44"/>
      <c r="E46" s="96" t="s">
        <v>26</v>
      </c>
      <c r="F46" s="44"/>
      <c r="G46" s="96" t="s">
        <v>27</v>
      </c>
      <c r="H46" s="44"/>
      <c r="I46" s="81"/>
      <c r="J46" s="81"/>
    </row>
    <row r="47" spans="1:10" ht="15.75" customHeight="1" x14ac:dyDescent="0.25">
      <c r="A47" s="97" t="s">
        <v>28</v>
      </c>
      <c r="B47" s="97" t="s">
        <v>10</v>
      </c>
      <c r="C47" s="97" t="s">
        <v>29</v>
      </c>
      <c r="D47" s="97" t="s">
        <v>10</v>
      </c>
      <c r="E47" s="97" t="s">
        <v>28</v>
      </c>
      <c r="F47" s="97" t="s">
        <v>10</v>
      </c>
      <c r="G47" s="97" t="s">
        <v>30</v>
      </c>
      <c r="H47" s="97" t="s">
        <v>10</v>
      </c>
      <c r="I47" s="81"/>
      <c r="J47" s="81"/>
    </row>
    <row r="48" spans="1:10" ht="15.75" customHeight="1" x14ac:dyDescent="0.25">
      <c r="A48" s="98" t="s">
        <v>90</v>
      </c>
      <c r="B48" s="276">
        <v>634.02</v>
      </c>
      <c r="C48" s="100" t="s">
        <v>91</v>
      </c>
      <c r="D48" s="101">
        <v>200</v>
      </c>
      <c r="E48" s="102" t="s">
        <v>92</v>
      </c>
      <c r="F48" s="103">
        <v>858528</v>
      </c>
      <c r="G48" s="104" t="s">
        <v>93</v>
      </c>
      <c r="H48" s="103">
        <v>858500</v>
      </c>
      <c r="I48" s="81"/>
      <c r="J48" s="81"/>
    </row>
    <row r="49" spans="1:10" ht="15.75" customHeight="1" x14ac:dyDescent="0.25">
      <c r="A49" s="277" t="s">
        <v>94</v>
      </c>
      <c r="B49" s="276">
        <v>77165</v>
      </c>
      <c r="C49" s="106" t="s">
        <v>95</v>
      </c>
      <c r="D49" s="101">
        <v>6700</v>
      </c>
      <c r="E49" s="104"/>
      <c r="F49" s="103"/>
      <c r="G49" s="104"/>
      <c r="H49" s="103"/>
      <c r="I49" s="81"/>
      <c r="J49" s="81"/>
    </row>
    <row r="50" spans="1:10" ht="15.75" customHeight="1" x14ac:dyDescent="0.25">
      <c r="A50" s="105" t="s">
        <v>96</v>
      </c>
      <c r="B50" s="278">
        <v>483840</v>
      </c>
      <c r="C50" s="107" t="s">
        <v>97</v>
      </c>
      <c r="D50" s="101">
        <v>15300</v>
      </c>
      <c r="E50" s="104"/>
      <c r="F50" s="103"/>
      <c r="G50" s="108"/>
      <c r="H50" s="103"/>
      <c r="I50" s="81"/>
      <c r="J50" s="81"/>
    </row>
    <row r="51" spans="1:10" ht="15.75" customHeight="1" x14ac:dyDescent="0.25">
      <c r="A51" s="109" t="s">
        <v>98</v>
      </c>
      <c r="B51" s="278">
        <v>858500</v>
      </c>
      <c r="C51" s="107" t="s">
        <v>99</v>
      </c>
      <c r="D51" s="101">
        <v>200000</v>
      </c>
      <c r="E51" s="102"/>
      <c r="F51" s="110"/>
      <c r="G51" s="108"/>
      <c r="H51" s="103"/>
      <c r="I51" s="81"/>
      <c r="J51" s="81"/>
    </row>
    <row r="52" spans="1:10" ht="15.75" customHeight="1" x14ac:dyDescent="0.25">
      <c r="A52" s="111"/>
      <c r="B52" s="278"/>
      <c r="C52" s="107" t="s">
        <v>100</v>
      </c>
      <c r="D52" s="101">
        <v>232000</v>
      </c>
      <c r="E52" s="112"/>
      <c r="F52" s="113"/>
      <c r="G52" s="114"/>
      <c r="H52" s="114"/>
      <c r="I52" s="81"/>
      <c r="J52" s="81"/>
    </row>
    <row r="53" spans="1:10" ht="15.75" customHeight="1" x14ac:dyDescent="0.25">
      <c r="A53" s="111"/>
      <c r="B53" s="278"/>
      <c r="C53" s="107" t="s">
        <v>101</v>
      </c>
      <c r="D53" s="101">
        <v>624000</v>
      </c>
      <c r="E53" s="112"/>
      <c r="F53" s="113"/>
      <c r="G53" s="115"/>
      <c r="H53" s="114"/>
      <c r="I53" s="81"/>
      <c r="J53" s="81"/>
    </row>
    <row r="54" spans="1:10" ht="15.75" customHeight="1" x14ac:dyDescent="0.25">
      <c r="A54" s="116"/>
      <c r="B54" s="278"/>
      <c r="C54" s="107" t="s">
        <v>102</v>
      </c>
      <c r="D54" s="101">
        <v>0</v>
      </c>
      <c r="E54" s="112"/>
      <c r="F54" s="112"/>
      <c r="G54" s="117"/>
      <c r="H54" s="114"/>
      <c r="I54" s="81"/>
      <c r="J54" s="81"/>
    </row>
    <row r="55" spans="1:10" ht="15.75" customHeight="1" x14ac:dyDescent="0.25">
      <c r="A55" s="118"/>
      <c r="B55" s="279"/>
      <c r="C55" s="107" t="s">
        <v>103</v>
      </c>
      <c r="D55" s="101">
        <v>865000</v>
      </c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280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18"/>
      <c r="B58" s="280"/>
      <c r="C58" s="104"/>
      <c r="D58" s="120"/>
      <c r="E58" s="118"/>
      <c r="F58" s="112"/>
      <c r="G58" s="104"/>
      <c r="H58" s="114"/>
      <c r="I58" s="81"/>
      <c r="J58" s="81"/>
    </row>
    <row r="59" spans="1:10" ht="15.75" customHeight="1" x14ac:dyDescent="0.25">
      <c r="A59" s="118"/>
      <c r="B59" s="280"/>
      <c r="C59" s="104"/>
      <c r="D59" s="120"/>
      <c r="E59" s="118"/>
      <c r="F59" s="112"/>
      <c r="G59" s="104"/>
      <c r="H59" s="114"/>
      <c r="I59" s="81"/>
      <c r="J59" s="81"/>
    </row>
    <row r="60" spans="1:10" ht="15.75" customHeight="1" x14ac:dyDescent="0.25">
      <c r="A60" s="118"/>
      <c r="B60" s="119"/>
      <c r="C60" s="104"/>
      <c r="D60" s="120"/>
      <c r="E60" s="118"/>
      <c r="F60" s="112"/>
      <c r="G60" s="104"/>
      <c r="H60" s="114"/>
      <c r="I60" s="81"/>
      <c r="J60" s="81"/>
    </row>
    <row r="61" spans="1:10" ht="15.75" customHeight="1" x14ac:dyDescent="0.25">
      <c r="A61" s="121"/>
      <c r="B61" s="122">
        <f>SUM(B48:B60)+C45</f>
        <v>2638614.5</v>
      </c>
      <c r="C61" s="123"/>
      <c r="D61" s="122">
        <f>SUM(D48:D60)</f>
        <v>1943200</v>
      </c>
      <c r="E61" s="124"/>
      <c r="F61" s="124">
        <f>SUM(F48:F60)</f>
        <v>858528</v>
      </c>
      <c r="G61" s="124"/>
      <c r="H61" s="124">
        <f>SUM(H48:H60)</f>
        <v>858500</v>
      </c>
      <c r="I61" s="1"/>
      <c r="J61" s="1"/>
    </row>
    <row r="62" spans="1:10" ht="15.75" customHeight="1" x14ac:dyDescent="0.25">
      <c r="A62" s="125" t="s">
        <v>22</v>
      </c>
      <c r="B62" s="126">
        <f>B61-D61</f>
        <v>695414.5</v>
      </c>
      <c r="C62" s="51"/>
      <c r="D62" s="44"/>
      <c r="E62" s="94" t="s">
        <v>22</v>
      </c>
      <c r="F62" s="95">
        <f>G45+F61-H61</f>
        <v>3118.6999999999534</v>
      </c>
      <c r="G62" s="51"/>
      <c r="H62" s="44"/>
      <c r="I62" s="1"/>
      <c r="J62" s="1"/>
    </row>
    <row r="63" spans="1:10" ht="15.75" customHeight="1" x14ac:dyDescent="0.25">
      <c r="A63" s="127" t="s">
        <v>37</v>
      </c>
      <c r="B63" s="44"/>
      <c r="C63" s="128">
        <f>B62+F62</f>
        <v>698533.2</v>
      </c>
      <c r="D63" s="51"/>
      <c r="E63" s="51"/>
      <c r="F63" s="51"/>
      <c r="G63" s="51"/>
      <c r="H63" s="44"/>
      <c r="I63" s="1"/>
      <c r="J63" s="1"/>
    </row>
    <row r="64" spans="1:10" ht="15.75" customHeight="1" x14ac:dyDescent="0.25">
      <c r="A64" s="38"/>
      <c r="B64" s="89"/>
      <c r="C64" s="40"/>
      <c r="D64" s="38"/>
      <c r="E64" s="38"/>
      <c r="F64" s="38"/>
      <c r="G64" s="38"/>
      <c r="H64" s="88"/>
      <c r="I64" s="129"/>
      <c r="J64" s="129"/>
    </row>
    <row r="65" spans="1:10" ht="15.75" customHeight="1" x14ac:dyDescent="0.25">
      <c r="A65" s="130"/>
      <c r="B65" s="131" t="s">
        <v>38</v>
      </c>
      <c r="D65" s="1"/>
      <c r="E65" s="38"/>
      <c r="F65" s="38"/>
      <c r="G65" s="38"/>
      <c r="H65" s="132"/>
      <c r="I65" s="1"/>
      <c r="J65" s="1"/>
    </row>
    <row r="66" spans="1:10" ht="15.75" customHeight="1" x14ac:dyDescent="0.25">
      <c r="A66" s="133" t="s">
        <v>2</v>
      </c>
      <c r="B66" s="134" t="s">
        <v>39</v>
      </c>
      <c r="C66" s="135" t="s">
        <v>4</v>
      </c>
      <c r="D66" s="136" t="s">
        <v>5</v>
      </c>
      <c r="E66" s="137" t="s">
        <v>6</v>
      </c>
      <c r="F66" s="138" t="s">
        <v>7</v>
      </c>
      <c r="G66" s="139" t="s">
        <v>8</v>
      </c>
      <c r="H66" s="140" t="s">
        <v>9</v>
      </c>
      <c r="I66" s="141" t="s">
        <v>10</v>
      </c>
      <c r="J66" s="142" t="s">
        <v>40</v>
      </c>
    </row>
    <row r="67" spans="1:10" ht="15.75" customHeight="1" x14ac:dyDescent="0.25">
      <c r="A67" s="144"/>
      <c r="B67" s="145"/>
      <c r="C67" s="267"/>
      <c r="D67" s="147"/>
      <c r="E67" s="148"/>
      <c r="F67" s="149"/>
      <c r="G67" s="148"/>
      <c r="H67" s="150"/>
      <c r="I67" s="150"/>
      <c r="J67" s="151"/>
    </row>
    <row r="68" spans="1:10" ht="15.75" customHeight="1" x14ac:dyDescent="0.25">
      <c r="A68" s="144"/>
      <c r="B68" s="145"/>
      <c r="C68" s="152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52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5"/>
      <c r="C70" s="152"/>
      <c r="D70" s="147"/>
      <c r="E70" s="148"/>
      <c r="F70" s="149"/>
      <c r="G70" s="148"/>
      <c r="H70" s="150"/>
      <c r="I70" s="150"/>
      <c r="J70" s="153"/>
    </row>
    <row r="71" spans="1:10" ht="15.75" customHeight="1" x14ac:dyDescent="0.25">
      <c r="A71" s="144"/>
      <c r="B71" s="145"/>
      <c r="C71" s="146"/>
      <c r="D71" s="147"/>
      <c r="E71" s="148"/>
      <c r="F71" s="149"/>
      <c r="G71" s="148"/>
      <c r="H71" s="150"/>
      <c r="I71" s="150"/>
      <c r="J71" s="153"/>
    </row>
    <row r="72" spans="1:10" ht="15.75" customHeight="1" x14ac:dyDescent="0.25">
      <c r="A72" s="144"/>
      <c r="B72" s="145"/>
      <c r="C72" s="146"/>
      <c r="D72" s="147"/>
      <c r="E72" s="148"/>
      <c r="F72" s="149"/>
      <c r="G72" s="148"/>
      <c r="H72" s="150"/>
      <c r="I72" s="150"/>
      <c r="J72" s="153"/>
    </row>
    <row r="73" spans="1:10" ht="15.75" customHeight="1" x14ac:dyDescent="0.25">
      <c r="A73" s="144"/>
      <c r="B73" s="144"/>
      <c r="C73" s="154"/>
      <c r="D73" s="147"/>
      <c r="E73" s="148"/>
      <c r="F73" s="149"/>
      <c r="G73" s="148"/>
      <c r="H73" s="150"/>
      <c r="I73" s="150"/>
      <c r="J73" s="155"/>
    </row>
    <row r="74" spans="1:10" ht="15.75" customHeight="1" x14ac:dyDescent="0.25">
      <c r="A74" s="156"/>
      <c r="B74" s="157"/>
      <c r="C74" s="158"/>
      <c r="D74" s="159"/>
      <c r="E74" s="160"/>
      <c r="F74" s="161"/>
      <c r="G74" s="162"/>
      <c r="H74" s="163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56"/>
      <c r="B76" s="157"/>
      <c r="C76" s="165"/>
      <c r="D76" s="147"/>
      <c r="E76" s="166"/>
      <c r="F76" s="149"/>
      <c r="G76" s="162"/>
      <c r="H76" s="150"/>
      <c r="I76" s="164"/>
      <c r="J76" s="155"/>
    </row>
    <row r="77" spans="1:10" ht="15.75" customHeight="1" x14ac:dyDescent="0.25">
      <c r="A77" s="156"/>
      <c r="B77" s="157"/>
      <c r="C77" s="165"/>
      <c r="D77" s="147"/>
      <c r="E77" s="166"/>
      <c r="F77" s="149"/>
      <c r="G77" s="162"/>
      <c r="H77" s="150"/>
      <c r="I77" s="164"/>
      <c r="J77" s="155"/>
    </row>
    <row r="78" spans="1:10" ht="15.75" customHeight="1" x14ac:dyDescent="0.25">
      <c r="A78" s="156"/>
      <c r="B78" s="157"/>
      <c r="C78" s="165"/>
      <c r="D78" s="147"/>
      <c r="E78" s="166"/>
      <c r="F78" s="149"/>
      <c r="G78" s="162"/>
      <c r="H78" s="150"/>
      <c r="I78" s="164"/>
      <c r="J78" s="155"/>
    </row>
    <row r="79" spans="1:10" ht="15.75" customHeight="1" x14ac:dyDescent="0.25">
      <c r="A79" s="167"/>
      <c r="B79" s="168"/>
      <c r="C79" s="169"/>
      <c r="D79" s="170"/>
      <c r="E79" s="171"/>
      <c r="F79" s="172"/>
      <c r="G79" s="173"/>
      <c r="H79" s="174"/>
      <c r="I79" s="175"/>
      <c r="J79" s="155"/>
    </row>
    <row r="80" spans="1:10" ht="15.75" customHeight="1" x14ac:dyDescent="0.25">
      <c r="A80" s="176"/>
      <c r="B80" s="157"/>
      <c r="C80" s="177"/>
      <c r="D80" s="178"/>
      <c r="E80" s="160"/>
      <c r="F80" s="161"/>
      <c r="G80" s="179">
        <f t="shared" ref="G80:G81" si="4">D80*F80</f>
        <v>0</v>
      </c>
      <c r="H80" s="180"/>
      <c r="I80" s="180">
        <f t="shared" ref="I80:I81" si="5">F80*H80*E80</f>
        <v>0</v>
      </c>
      <c r="J80" s="181"/>
    </row>
    <row r="81" spans="1:10" ht="15.75" customHeight="1" x14ac:dyDescent="0.25">
      <c r="A81" s="176"/>
      <c r="B81" s="157"/>
      <c r="C81" s="182"/>
      <c r="D81" s="183"/>
      <c r="E81" s="184"/>
      <c r="F81" s="183"/>
      <c r="G81" s="179">
        <f t="shared" si="4"/>
        <v>0</v>
      </c>
      <c r="H81" s="185"/>
      <c r="I81" s="180">
        <f t="shared" si="5"/>
        <v>0</v>
      </c>
      <c r="J81" s="181"/>
    </row>
    <row r="82" spans="1:10" ht="15.75" customHeight="1" x14ac:dyDescent="0.25">
      <c r="A82" s="186" t="s">
        <v>37</v>
      </c>
      <c r="B82" s="187"/>
      <c r="C82" s="188"/>
      <c r="D82" s="189"/>
      <c r="E82" s="190">
        <f>SUM(E67:E81)</f>
        <v>0</v>
      </c>
      <c r="F82" s="191">
        <f>SUM(F67:F79)</f>
        <v>0</v>
      </c>
      <c r="G82" s="192">
        <f>SUM(G67:G74)</f>
        <v>0</v>
      </c>
      <c r="H82" s="193"/>
      <c r="I82" s="193">
        <f>SUM(I67:I75)</f>
        <v>0</v>
      </c>
      <c r="J82" s="194"/>
    </row>
    <row r="83" spans="1:10" ht="15.75" customHeight="1" x14ac:dyDescent="0.25">
      <c r="A83" s="1"/>
      <c r="B83" s="89"/>
      <c r="C83" s="40"/>
      <c r="D83" s="38"/>
      <c r="E83" s="38"/>
      <c r="F83" s="38"/>
      <c r="G83" s="38"/>
      <c r="H83" s="1"/>
      <c r="I83" s="1"/>
      <c r="J83" s="1"/>
    </row>
    <row r="84" spans="1:10" ht="15.75" customHeight="1" x14ac:dyDescent="0.25">
      <c r="A84" s="195" t="s">
        <v>41</v>
      </c>
      <c r="B84" s="196" t="s">
        <v>42</v>
      </c>
      <c r="C84" s="197" t="s">
        <v>43</v>
      </c>
      <c r="D84" s="38"/>
      <c r="E84" s="38"/>
      <c r="F84" s="38"/>
      <c r="G84" s="38"/>
      <c r="H84" s="1"/>
      <c r="I84" s="1"/>
      <c r="J84" s="1"/>
    </row>
    <row r="85" spans="1:10" ht="15.75" customHeight="1" x14ac:dyDescent="0.25">
      <c r="A85" s="198"/>
      <c r="B85" s="199">
        <f>E12+G82</f>
        <v>14</v>
      </c>
      <c r="C85" s="200">
        <f>I12+H82+I82</f>
        <v>1130</v>
      </c>
      <c r="D85" s="38"/>
      <c r="E85" s="38"/>
      <c r="F85" s="38"/>
      <c r="G85" s="38"/>
      <c r="H85" s="1"/>
      <c r="I85" s="1"/>
      <c r="J85" s="1"/>
    </row>
    <row r="86" spans="1:10" ht="15.75" customHeight="1" x14ac:dyDescent="0.25">
      <c r="A86" s="378" t="s">
        <v>44</v>
      </c>
      <c r="B86" s="376"/>
      <c r="C86" s="376"/>
      <c r="D86" s="376"/>
      <c r="E86" s="376"/>
      <c r="F86" s="376"/>
      <c r="G86" s="376"/>
      <c r="H86" s="376"/>
      <c r="I86" s="201"/>
      <c r="J86" s="53"/>
    </row>
    <row r="87" spans="1:10" ht="15.75" customHeight="1" x14ac:dyDescent="0.25">
      <c r="A87" s="202" t="s">
        <v>2</v>
      </c>
      <c r="B87" s="203" t="s">
        <v>45</v>
      </c>
      <c r="C87" s="204" t="s">
        <v>46</v>
      </c>
      <c r="D87" s="205" t="s">
        <v>4</v>
      </c>
      <c r="E87" s="206" t="s">
        <v>47</v>
      </c>
      <c r="F87" s="207" t="s">
        <v>48</v>
      </c>
      <c r="G87" s="206" t="s">
        <v>10</v>
      </c>
      <c r="H87" s="205" t="s">
        <v>49</v>
      </c>
      <c r="I87" s="201"/>
      <c r="J87" s="53"/>
    </row>
    <row r="88" spans="1:10" ht="15.75" customHeight="1" x14ac:dyDescent="0.25">
      <c r="A88" s="213"/>
      <c r="B88" s="55"/>
      <c r="C88" s="214"/>
      <c r="D88" s="215"/>
      <c r="E88" s="210"/>
      <c r="F88" s="216"/>
      <c r="G88" s="211"/>
      <c r="H88" s="212"/>
      <c r="I88" s="201"/>
      <c r="J88" s="53"/>
    </row>
    <row r="89" spans="1:10" ht="15.75" customHeight="1" x14ac:dyDescent="0.25">
      <c r="A89" s="213"/>
      <c r="B89" s="55"/>
      <c r="C89" s="214"/>
      <c r="D89" s="215"/>
      <c r="E89" s="210"/>
      <c r="F89" s="216"/>
      <c r="G89" s="211"/>
      <c r="H89" s="212"/>
      <c r="I89" s="201" t="s">
        <v>82</v>
      </c>
      <c r="J89" s="53"/>
    </row>
    <row r="90" spans="1:10" ht="15.75" customHeight="1" x14ac:dyDescent="0.25">
      <c r="A90" s="213"/>
      <c r="B90" s="55"/>
      <c r="C90" s="214"/>
      <c r="D90" s="215"/>
      <c r="E90" s="269"/>
      <c r="F90" s="216"/>
      <c r="G90" s="211"/>
      <c r="H90" s="212"/>
      <c r="I90" s="1"/>
      <c r="J90" s="1"/>
    </row>
    <row r="91" spans="1:10" ht="15.75" customHeight="1" x14ac:dyDescent="0.25">
      <c r="A91" s="213"/>
      <c r="B91" s="55"/>
      <c r="C91" s="214"/>
      <c r="D91" s="215"/>
      <c r="E91" s="269"/>
      <c r="F91" s="216"/>
      <c r="G91" s="211"/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69"/>
      <c r="F92" s="216"/>
      <c r="G92" s="211"/>
      <c r="H92" s="212"/>
      <c r="I92" s="1"/>
      <c r="J92" s="1"/>
    </row>
    <row r="93" spans="1:10" ht="15.75" customHeight="1" x14ac:dyDescent="0.25">
      <c r="A93" s="213"/>
      <c r="B93" s="55"/>
      <c r="C93" s="214"/>
      <c r="D93" s="219"/>
      <c r="E93" s="220"/>
      <c r="F93" s="216"/>
      <c r="G93" s="211">
        <f t="shared" ref="G93:G95" si="6">F93+F1211</f>
        <v>0</v>
      </c>
      <c r="H93" s="212"/>
      <c r="I93" s="1"/>
      <c r="J93" s="1"/>
    </row>
    <row r="94" spans="1:10" ht="15.75" customHeight="1" x14ac:dyDescent="0.25">
      <c r="A94" s="213"/>
      <c r="B94" s="55"/>
      <c r="C94" s="214"/>
      <c r="D94" s="219"/>
      <c r="E94" s="220"/>
      <c r="F94" s="216"/>
      <c r="G94" s="211">
        <f t="shared" si="6"/>
        <v>0</v>
      </c>
      <c r="H94" s="212"/>
      <c r="I94" s="1"/>
      <c r="J94" s="1"/>
    </row>
    <row r="95" spans="1:10" ht="15.75" customHeight="1" x14ac:dyDescent="0.25">
      <c r="A95" s="213"/>
      <c r="B95" s="55"/>
      <c r="C95" s="214"/>
      <c r="D95" s="219"/>
      <c r="E95" s="220"/>
      <c r="F95" s="216"/>
      <c r="G95" s="211">
        <f t="shared" si="6"/>
        <v>0</v>
      </c>
      <c r="H95" s="221"/>
      <c r="I95" s="1"/>
      <c r="J95" s="1"/>
    </row>
    <row r="96" spans="1:10" ht="15.75" customHeight="1" x14ac:dyDescent="0.25">
      <c r="A96" s="222" t="s">
        <v>37</v>
      </c>
      <c r="B96" s="223"/>
      <c r="C96" s="224"/>
      <c r="D96" s="225"/>
      <c r="E96" s="226">
        <f>SUM(E88:E95)</f>
        <v>0</v>
      </c>
      <c r="F96" s="227"/>
      <c r="G96" s="228">
        <f>SUM(G88:G95)</f>
        <v>0</v>
      </c>
      <c r="H96" s="228"/>
      <c r="I96" s="1"/>
      <c r="J96" s="1"/>
    </row>
    <row r="97" spans="1:10" ht="15.75" customHeight="1" x14ac:dyDescent="0.25">
      <c r="A97" s="38"/>
      <c r="B97" s="89"/>
      <c r="C97" s="40"/>
      <c r="D97" s="38"/>
      <c r="E97" s="38"/>
      <c r="F97" s="38"/>
      <c r="G97" s="38"/>
      <c r="H97" s="38"/>
      <c r="I97" s="1"/>
      <c r="J97" s="1"/>
    </row>
    <row r="98" spans="1:10" ht="15.75" customHeight="1" x14ac:dyDescent="0.25">
      <c r="A98" s="369" t="s">
        <v>50</v>
      </c>
      <c r="B98" s="370"/>
      <c r="C98" s="370"/>
      <c r="D98" s="370"/>
      <c r="E98" s="370"/>
      <c r="F98" s="370"/>
      <c r="G98" s="370"/>
      <c r="H98" s="370"/>
      <c r="I98" s="229"/>
      <c r="J98" s="1"/>
    </row>
    <row r="99" spans="1:10" ht="15.75" customHeight="1" x14ac:dyDescent="0.25">
      <c r="A99" s="202" t="s">
        <v>2</v>
      </c>
      <c r="B99" s="230" t="s">
        <v>45</v>
      </c>
      <c r="C99" s="231" t="s">
        <v>4</v>
      </c>
      <c r="D99" s="232" t="s">
        <v>51</v>
      </c>
      <c r="E99" s="232" t="s">
        <v>48</v>
      </c>
      <c r="F99" s="232" t="s">
        <v>10</v>
      </c>
      <c r="G99" s="206" t="s">
        <v>52</v>
      </c>
      <c r="H99" s="206"/>
      <c r="I99" s="1"/>
      <c r="J99" s="1"/>
    </row>
    <row r="100" spans="1:10" ht="15.75" customHeight="1" x14ac:dyDescent="0.25">
      <c r="A100" s="270"/>
      <c r="B100" s="271"/>
      <c r="C100" s="235"/>
      <c r="D100" s="236"/>
      <c r="E100" s="272"/>
      <c r="F100" s="273"/>
      <c r="G100" s="239"/>
      <c r="H100" s="240"/>
      <c r="I100" s="1"/>
      <c r="J100" s="1"/>
    </row>
    <row r="101" spans="1:10" ht="15.75" customHeight="1" x14ac:dyDescent="0.25">
      <c r="A101" s="241"/>
      <c r="B101" s="242"/>
      <c r="C101" s="243"/>
      <c r="D101" s="244"/>
      <c r="E101" s="245"/>
      <c r="F101" s="246">
        <f t="shared" ref="F101:F102" si="7">D101*E101</f>
        <v>0</v>
      </c>
      <c r="G101" s="247"/>
      <c r="H101" s="248"/>
      <c r="I101" s="1"/>
      <c r="J101" s="1"/>
    </row>
    <row r="102" spans="1:10" ht="15.75" customHeight="1" x14ac:dyDescent="0.25">
      <c r="A102" s="249"/>
      <c r="B102" s="250"/>
      <c r="C102" s="249"/>
      <c r="D102" s="249"/>
      <c r="E102" s="249"/>
      <c r="F102" s="246">
        <f t="shared" si="7"/>
        <v>0</v>
      </c>
      <c r="G102" s="249"/>
      <c r="H102" s="249"/>
      <c r="I102" s="1"/>
      <c r="J102" s="1"/>
    </row>
    <row r="103" spans="1:10" ht="15.75" customHeight="1" x14ac:dyDescent="0.25">
      <c r="A103" s="241"/>
      <c r="B103" s="250"/>
      <c r="C103" s="249"/>
      <c r="D103" s="251"/>
      <c r="E103" s="249"/>
      <c r="F103" s="252"/>
      <c r="G103" s="249"/>
      <c r="H103" s="249"/>
      <c r="I103" s="1"/>
      <c r="J103" s="1"/>
    </row>
    <row r="104" spans="1:10" ht="15.75" customHeight="1" x14ac:dyDescent="0.25">
      <c r="A104" s="1"/>
      <c r="B104" s="253"/>
      <c r="C104" s="1"/>
      <c r="D104" s="1"/>
      <c r="E104" s="1"/>
      <c r="F104" s="254"/>
      <c r="G104" s="1"/>
      <c r="H104" s="1"/>
      <c r="I104" s="255"/>
      <c r="J104" s="256"/>
    </row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8:H98"/>
    <mergeCell ref="A1:J1"/>
    <mergeCell ref="A2:J2"/>
    <mergeCell ref="A17:H17"/>
    <mergeCell ref="A43:H43"/>
    <mergeCell ref="A86:H8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000"/>
  <sheetViews>
    <sheetView topLeftCell="A30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4.875" customWidth="1"/>
    <col min="7" max="7" width="13.875" customWidth="1"/>
    <col min="8" max="8" width="14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104</v>
      </c>
      <c r="B4" s="260"/>
      <c r="C4" s="261" t="s">
        <v>54</v>
      </c>
      <c r="D4" s="262">
        <v>0.2</v>
      </c>
      <c r="E4" s="263">
        <v>18</v>
      </c>
      <c r="F4" s="14">
        <v>18</v>
      </c>
      <c r="G4" s="264">
        <f t="shared" ref="G4:G7" si="0">F4*D4</f>
        <v>3.6</v>
      </c>
      <c r="H4" s="16">
        <v>85</v>
      </c>
      <c r="I4" s="16">
        <f t="shared" ref="I4:I7" si="1">H4*E4</f>
        <v>1530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18</v>
      </c>
      <c r="F5" s="14">
        <v>18</v>
      </c>
      <c r="G5" s="264">
        <f t="shared" si="0"/>
        <v>3.6</v>
      </c>
      <c r="H5" s="16">
        <v>95</v>
      </c>
      <c r="I5" s="16">
        <f t="shared" si="1"/>
        <v>1710</v>
      </c>
      <c r="J5" s="17"/>
    </row>
    <row r="6" spans="1:10" ht="15.75" x14ac:dyDescent="0.25">
      <c r="A6" s="10" t="s">
        <v>105</v>
      </c>
      <c r="B6" s="236"/>
      <c r="C6" s="261" t="s">
        <v>54</v>
      </c>
      <c r="D6" s="262">
        <v>0.2</v>
      </c>
      <c r="E6" s="263">
        <v>54</v>
      </c>
      <c r="F6" s="14">
        <v>18</v>
      </c>
      <c r="G6" s="264">
        <f t="shared" si="0"/>
        <v>3.6</v>
      </c>
      <c r="H6" s="16">
        <v>85</v>
      </c>
      <c r="I6" s="16">
        <f t="shared" si="1"/>
        <v>4590</v>
      </c>
      <c r="J6" s="17"/>
    </row>
    <row r="7" spans="1:10" ht="15.75" x14ac:dyDescent="0.25">
      <c r="A7" s="10"/>
      <c r="B7" s="236"/>
      <c r="C7" s="261" t="s">
        <v>55</v>
      </c>
      <c r="D7" s="262">
        <v>0.2</v>
      </c>
      <c r="E7" s="263">
        <v>90</v>
      </c>
      <c r="F7" s="14">
        <v>18</v>
      </c>
      <c r="G7" s="264">
        <f t="shared" si="0"/>
        <v>3.6</v>
      </c>
      <c r="H7" s="16">
        <v>95</v>
      </c>
      <c r="I7" s="16">
        <f t="shared" si="1"/>
        <v>8550</v>
      </c>
      <c r="J7" s="17"/>
    </row>
    <row r="8" spans="1:10" ht="15.75" x14ac:dyDescent="0.25">
      <c r="A8" s="10"/>
      <c r="B8" s="236"/>
      <c r="C8" s="261"/>
      <c r="D8" s="262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180</v>
      </c>
      <c r="F12" s="33">
        <f t="shared" si="2"/>
        <v>72</v>
      </c>
      <c r="G12" s="34">
        <f t="shared" si="2"/>
        <v>14.4</v>
      </c>
      <c r="H12" s="35"/>
      <c r="I12" s="36">
        <f>SUM(I4:I11)</f>
        <v>16380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125354.45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106</v>
      </c>
      <c r="B20" s="62"/>
      <c r="C20" s="63">
        <v>16380</v>
      </c>
      <c r="D20" s="63">
        <v>16380</v>
      </c>
      <c r="E20" s="64"/>
      <c r="F20" s="65"/>
      <c r="G20" s="66"/>
      <c r="H20" s="67">
        <f t="shared" ref="H20:H21" si="3">F20*G20</f>
        <v>0</v>
      </c>
      <c r="I20" s="1"/>
      <c r="J20" s="1"/>
    </row>
    <row r="21" spans="1:10" ht="15.75" customHeight="1" x14ac:dyDescent="0.25">
      <c r="A21" s="281" t="s">
        <v>107</v>
      </c>
      <c r="B21" s="62"/>
      <c r="C21" s="282">
        <v>25700</v>
      </c>
      <c r="D21" s="63">
        <v>25700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109</v>
      </c>
      <c r="B28" s="62"/>
      <c r="C28" s="63">
        <v>896</v>
      </c>
      <c r="D28" s="63">
        <v>896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110</v>
      </c>
      <c r="B29" s="62"/>
      <c r="C29" s="63">
        <v>360</v>
      </c>
      <c r="D29" s="69">
        <v>360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76" t="s">
        <v>111</v>
      </c>
      <c r="B30" s="62"/>
      <c r="C30" s="63">
        <v>4874</v>
      </c>
      <c r="D30" s="63">
        <v>4874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112</v>
      </c>
      <c r="B31" s="62"/>
      <c r="C31" s="63">
        <v>94463</v>
      </c>
      <c r="D31" s="69">
        <v>94463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 t="s">
        <v>113</v>
      </c>
      <c r="B32" s="62"/>
      <c r="C32" s="63">
        <v>4500</v>
      </c>
      <c r="D32" s="69">
        <v>4500</v>
      </c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 t="s">
        <v>114</v>
      </c>
      <c r="B33" s="62"/>
      <c r="C33" s="63">
        <v>1000</v>
      </c>
      <c r="D33" s="69">
        <v>1000</v>
      </c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 t="s">
        <v>115</v>
      </c>
      <c r="B34" s="62"/>
      <c r="C34" s="63">
        <v>25700</v>
      </c>
      <c r="D34" s="283">
        <v>25700</v>
      </c>
      <c r="E34" s="71"/>
      <c r="F34" s="73"/>
      <c r="G34" s="74"/>
      <c r="H34" s="67">
        <f t="shared" si="4"/>
        <v>0</v>
      </c>
      <c r="I34" s="284" t="s">
        <v>116</v>
      </c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33641.450000000012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695414.5</v>
      </c>
      <c r="D42" s="51"/>
      <c r="E42" s="94" t="s">
        <v>17</v>
      </c>
      <c r="F42" s="44"/>
      <c r="G42" s="95">
        <v>3118.7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90</v>
      </c>
      <c r="B45" s="276">
        <v>1808.9</v>
      </c>
      <c r="C45" s="100" t="s">
        <v>117</v>
      </c>
      <c r="D45" s="101">
        <v>1202.52</v>
      </c>
      <c r="E45" s="102"/>
      <c r="F45" s="103"/>
      <c r="G45" s="104" t="s">
        <v>118</v>
      </c>
      <c r="H45" s="103">
        <v>1612.5</v>
      </c>
      <c r="I45" s="81"/>
      <c r="J45" s="81"/>
    </row>
    <row r="46" spans="1:10" ht="15.75" customHeight="1" x14ac:dyDescent="0.25">
      <c r="A46" s="277" t="s">
        <v>119</v>
      </c>
      <c r="B46" s="276">
        <v>300000</v>
      </c>
      <c r="C46" s="106" t="s">
        <v>120</v>
      </c>
      <c r="D46" s="101">
        <v>1480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 t="s">
        <v>121</v>
      </c>
      <c r="B47" s="278">
        <v>908928</v>
      </c>
      <c r="C47" s="107" t="s">
        <v>122</v>
      </c>
      <c r="D47" s="101">
        <v>5338.36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123</v>
      </c>
      <c r="D48" s="101">
        <v>11745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124</v>
      </c>
      <c r="D49" s="101">
        <v>13050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 t="s">
        <v>125</v>
      </c>
      <c r="D50" s="101">
        <v>13841</v>
      </c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 t="s">
        <v>126</v>
      </c>
      <c r="D51" s="101">
        <v>92241.68</v>
      </c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 t="s">
        <v>127</v>
      </c>
      <c r="D52" s="101">
        <v>0</v>
      </c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1906151.4</v>
      </c>
      <c r="C58" s="123"/>
      <c r="D58" s="122">
        <f>SUM(D45:D57)</f>
        <v>138898.56</v>
      </c>
      <c r="E58" s="124"/>
      <c r="F58" s="124">
        <f>SUM(F45:F57)</f>
        <v>0</v>
      </c>
      <c r="G58" s="124"/>
      <c r="H58" s="124">
        <f>SUM(H45:H57)</f>
        <v>1612.5</v>
      </c>
      <c r="I58" s="1"/>
      <c r="J58" s="1"/>
    </row>
    <row r="59" spans="1:10" ht="15.75" customHeight="1" x14ac:dyDescent="0.25">
      <c r="A59" s="125" t="s">
        <v>22</v>
      </c>
      <c r="B59" s="126">
        <f>B58-D58</f>
        <v>1767252.8399999999</v>
      </c>
      <c r="C59" s="51"/>
      <c r="D59" s="44"/>
      <c r="E59" s="94" t="s">
        <v>22</v>
      </c>
      <c r="F59" s="95">
        <f>G42+F58-H58</f>
        <v>1506.1999999999998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1768759.0399999998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128</v>
      </c>
      <c r="B64" s="145" t="s">
        <v>68</v>
      </c>
      <c r="C64" s="267" t="s">
        <v>129</v>
      </c>
      <c r="D64" s="147">
        <v>0.2</v>
      </c>
      <c r="E64" s="148">
        <v>2880</v>
      </c>
      <c r="F64" s="149">
        <v>18</v>
      </c>
      <c r="G64" s="148">
        <f>E64*D64</f>
        <v>576</v>
      </c>
      <c r="H64" s="150">
        <v>98</v>
      </c>
      <c r="I64" s="150">
        <f>H64*E64</f>
        <v>282240</v>
      </c>
      <c r="J64" s="151" t="s">
        <v>74</v>
      </c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2880</v>
      </c>
      <c r="F79" s="191">
        <f>SUM(F64:F76)</f>
        <v>18</v>
      </c>
      <c r="G79" s="192">
        <f>SUM(G64:G71)</f>
        <v>576</v>
      </c>
      <c r="H79" s="193"/>
      <c r="I79" s="193">
        <f>SUM(I64:I72)</f>
        <v>282240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2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2" ht="15.75" customHeight="1" x14ac:dyDescent="0.25">
      <c r="A82" s="198"/>
      <c r="B82" s="199">
        <f>E12+G79</f>
        <v>756</v>
      </c>
      <c r="C82" s="200">
        <f>I12+H79+I79</f>
        <v>298620</v>
      </c>
      <c r="D82" s="38"/>
      <c r="E82" s="38"/>
      <c r="F82" s="38"/>
      <c r="G82" s="38"/>
      <c r="H82" s="1"/>
      <c r="I82" s="1"/>
      <c r="J82" s="1"/>
    </row>
    <row r="83" spans="1:12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2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2" ht="15.75" customHeight="1" x14ac:dyDescent="0.25">
      <c r="A85" s="288" t="s">
        <v>131</v>
      </c>
      <c r="B85" s="289" t="s">
        <v>76</v>
      </c>
      <c r="C85" s="290" t="s">
        <v>77</v>
      </c>
      <c r="D85" s="289" t="s">
        <v>132</v>
      </c>
      <c r="E85" s="291" t="s">
        <v>133</v>
      </c>
      <c r="F85" s="292">
        <v>9000</v>
      </c>
      <c r="G85" s="293">
        <f>F85+F1203</f>
        <v>9000</v>
      </c>
      <c r="H85" s="294"/>
      <c r="I85" s="295" t="s">
        <v>134</v>
      </c>
      <c r="J85" s="53"/>
    </row>
    <row r="86" spans="1:12" ht="15.75" customHeight="1" x14ac:dyDescent="0.25">
      <c r="A86" s="290" t="s">
        <v>77</v>
      </c>
      <c r="B86" s="289" t="s">
        <v>76</v>
      </c>
      <c r="C86" s="290" t="s">
        <v>135</v>
      </c>
      <c r="D86" s="296" t="s">
        <v>136</v>
      </c>
      <c r="E86" s="297" t="s">
        <v>74</v>
      </c>
      <c r="F86" s="298">
        <v>18620</v>
      </c>
      <c r="G86" s="293">
        <v>18620</v>
      </c>
      <c r="H86" s="294"/>
      <c r="I86" s="295" t="s">
        <v>137</v>
      </c>
      <c r="J86" s="299"/>
      <c r="K86" s="300"/>
      <c r="L86" s="300"/>
    </row>
    <row r="87" spans="1:12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2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2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2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2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2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2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27620</v>
      </c>
      <c r="H93" s="228"/>
      <c r="I93" s="1"/>
      <c r="J93" s="1"/>
    </row>
    <row r="94" spans="1:12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2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2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topLeftCell="A28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68</v>
      </c>
      <c r="C4" s="261" t="s">
        <v>54</v>
      </c>
      <c r="D4" s="262">
        <v>0.2</v>
      </c>
      <c r="E4" s="263">
        <v>7</v>
      </c>
      <c r="F4" s="14">
        <v>18</v>
      </c>
      <c r="G4" s="264">
        <f t="shared" ref="G4:G6" si="0">E4*D4</f>
        <v>1.4000000000000001</v>
      </c>
      <c r="H4" s="16">
        <v>75</v>
      </c>
      <c r="I4" s="16">
        <f t="shared" ref="I4:I7" si="1">H4*E4</f>
        <v>525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7</v>
      </c>
      <c r="F5" s="14">
        <v>18</v>
      </c>
      <c r="G5" s="264">
        <f t="shared" si="0"/>
        <v>1.4000000000000001</v>
      </c>
      <c r="H5" s="16">
        <v>85</v>
      </c>
      <c r="I5" s="16">
        <f t="shared" si="1"/>
        <v>595</v>
      </c>
      <c r="J5" s="17"/>
    </row>
    <row r="6" spans="1:10" ht="15.75" x14ac:dyDescent="0.25">
      <c r="A6" s="10"/>
      <c r="B6" s="236"/>
      <c r="C6" s="261" t="s">
        <v>138</v>
      </c>
      <c r="D6" s="262">
        <v>0.2</v>
      </c>
      <c r="E6" s="263">
        <v>6</v>
      </c>
      <c r="F6" s="14">
        <v>18</v>
      </c>
      <c r="G6" s="264">
        <f t="shared" si="0"/>
        <v>1.2000000000000002</v>
      </c>
      <c r="H6" s="16">
        <v>75</v>
      </c>
      <c r="I6" s="16">
        <f t="shared" si="1"/>
        <v>450</v>
      </c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>
        <f t="shared" si="1"/>
        <v>0</v>
      </c>
      <c r="J7" s="17"/>
    </row>
    <row r="8" spans="1:10" ht="15.75" x14ac:dyDescent="0.25">
      <c r="A8" s="10"/>
      <c r="B8" s="236"/>
      <c r="C8" s="261"/>
      <c r="D8" s="262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20</v>
      </c>
      <c r="F12" s="33">
        <f t="shared" si="2"/>
        <v>54</v>
      </c>
      <c r="G12" s="34">
        <f t="shared" si="2"/>
        <v>4</v>
      </c>
      <c r="H12" s="35"/>
      <c r="I12" s="36">
        <f>SUM(I4:I11)</f>
        <v>1570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33641.449999999997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107</v>
      </c>
      <c r="B20" s="62"/>
      <c r="C20" s="63">
        <v>200000</v>
      </c>
      <c r="D20" s="63">
        <v>200000</v>
      </c>
      <c r="E20" s="64"/>
      <c r="F20" s="65"/>
      <c r="G20" s="66"/>
      <c r="H20" s="67">
        <f t="shared" ref="H20:H21" si="3">F20*G20</f>
        <v>0</v>
      </c>
      <c r="I20" s="1"/>
      <c r="J20" s="1"/>
    </row>
    <row r="21" spans="1:10" ht="15.75" customHeight="1" x14ac:dyDescent="0.25">
      <c r="A21" s="61" t="s">
        <v>139</v>
      </c>
      <c r="B21" s="62"/>
      <c r="C21" s="63">
        <v>12000</v>
      </c>
      <c r="D21" s="63">
        <v>12000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281" t="s">
        <v>140</v>
      </c>
      <c r="B22" s="289"/>
      <c r="C22" s="282">
        <v>18000</v>
      </c>
      <c r="D22" s="282">
        <v>18000</v>
      </c>
      <c r="E22" s="302"/>
      <c r="F22" s="303"/>
      <c r="G22" s="304"/>
      <c r="H22" s="305"/>
      <c r="I22" s="284" t="s">
        <v>141</v>
      </c>
      <c r="J22" s="1"/>
    </row>
    <row r="23" spans="1:10" ht="15.75" customHeight="1" x14ac:dyDescent="0.25">
      <c r="A23" s="61" t="s">
        <v>84</v>
      </c>
      <c r="B23" s="62"/>
      <c r="C23" s="63">
        <v>1570</v>
      </c>
      <c r="D23" s="63">
        <v>1570</v>
      </c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112</v>
      </c>
      <c r="B28" s="62"/>
      <c r="C28" s="63">
        <v>225481</v>
      </c>
      <c r="D28" s="63">
        <v>225482.02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142</v>
      </c>
      <c r="B29" s="62"/>
      <c r="C29" s="63">
        <v>28000</v>
      </c>
      <c r="D29" s="69">
        <v>28000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306" t="s">
        <v>143</v>
      </c>
      <c r="B30" s="289"/>
      <c r="C30" s="282">
        <v>2945</v>
      </c>
      <c r="D30" s="282">
        <v>2945</v>
      </c>
      <c r="E30" s="307"/>
      <c r="F30" s="290"/>
      <c r="G30" s="308"/>
      <c r="H30" s="305">
        <f t="shared" si="4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309"/>
      <c r="J34" s="309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6784.4300000000221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1767252.84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144</v>
      </c>
      <c r="B45" s="276">
        <v>919.81</v>
      </c>
      <c r="C45" s="100" t="s">
        <v>145</v>
      </c>
      <c r="D45" s="101">
        <v>2392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146</v>
      </c>
      <c r="D46" s="101">
        <v>3400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147</v>
      </c>
      <c r="D47" s="101">
        <v>26807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148</v>
      </c>
      <c r="D48" s="101">
        <v>36000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149</v>
      </c>
      <c r="D49" s="101">
        <v>252315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 t="s">
        <v>150</v>
      </c>
      <c r="D50" s="101">
        <v>397250</v>
      </c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 t="s">
        <v>151</v>
      </c>
      <c r="D51" s="101">
        <v>0</v>
      </c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1768172.6500000001</v>
      </c>
      <c r="C58" s="123"/>
      <c r="D58" s="122">
        <f>SUM(D45:D57)</f>
        <v>718164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1050008.6500000001</v>
      </c>
      <c r="C59" s="51"/>
      <c r="D59" s="44"/>
      <c r="E59" s="94" t="s">
        <v>22</v>
      </c>
      <c r="F59" s="95">
        <f>G42+F58-H58</f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1051514.8500000001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20</v>
      </c>
      <c r="C82" s="200">
        <f>I12+H79+I79</f>
        <v>1570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88" t="s">
        <v>131</v>
      </c>
      <c r="B85" s="289" t="s">
        <v>76</v>
      </c>
      <c r="C85" s="290" t="s">
        <v>152</v>
      </c>
      <c r="D85" s="296" t="s">
        <v>153</v>
      </c>
      <c r="E85" s="291" t="s">
        <v>154</v>
      </c>
      <c r="F85" s="298">
        <v>9000</v>
      </c>
      <c r="G85" s="293">
        <f>F85+F1203</f>
        <v>9000</v>
      </c>
      <c r="H85" s="294"/>
      <c r="I85" s="310" t="s">
        <v>155</v>
      </c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9000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00"/>
  <sheetViews>
    <sheetView topLeftCell="A25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68</v>
      </c>
      <c r="C4" s="261" t="s">
        <v>156</v>
      </c>
      <c r="D4" s="48">
        <v>1</v>
      </c>
      <c r="E4" s="263">
        <v>2</v>
      </c>
      <c r="F4" s="14">
        <v>1</v>
      </c>
      <c r="G4" s="264">
        <v>1</v>
      </c>
      <c r="H4" s="16">
        <v>190</v>
      </c>
      <c r="I4" s="16">
        <f t="shared" ref="I4:I9" si="0">H4*E4</f>
        <v>380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2</v>
      </c>
      <c r="F5" s="14">
        <v>18</v>
      </c>
      <c r="G5" s="264">
        <f t="shared" ref="G5:G6" si="1">E5*D5</f>
        <v>0.4</v>
      </c>
      <c r="H5" s="16">
        <v>85</v>
      </c>
      <c r="I5" s="16">
        <f t="shared" si="0"/>
        <v>170</v>
      </c>
      <c r="J5" s="17"/>
    </row>
    <row r="6" spans="1:10" ht="15.75" x14ac:dyDescent="0.25">
      <c r="A6" s="10"/>
      <c r="B6" s="236"/>
      <c r="C6" s="261" t="s">
        <v>138</v>
      </c>
      <c r="D6" s="262">
        <v>0.2</v>
      </c>
      <c r="E6" s="263">
        <v>9</v>
      </c>
      <c r="F6" s="14">
        <v>18</v>
      </c>
      <c r="G6" s="264">
        <f t="shared" si="1"/>
        <v>1.8</v>
      </c>
      <c r="H6" s="16">
        <v>75</v>
      </c>
      <c r="I6" s="16">
        <f t="shared" si="0"/>
        <v>675</v>
      </c>
      <c r="J6" s="17"/>
    </row>
    <row r="7" spans="1:10" ht="15.75" x14ac:dyDescent="0.25">
      <c r="A7" s="10" t="s">
        <v>157</v>
      </c>
      <c r="B7" s="236"/>
      <c r="C7" s="261" t="s">
        <v>156</v>
      </c>
      <c r="D7" s="48">
        <v>1</v>
      </c>
      <c r="E7" s="263">
        <v>2</v>
      </c>
      <c r="F7" s="14">
        <v>190</v>
      </c>
      <c r="G7" s="264">
        <v>4</v>
      </c>
      <c r="H7" s="16">
        <v>190</v>
      </c>
      <c r="I7" s="16">
        <f t="shared" si="0"/>
        <v>380</v>
      </c>
      <c r="J7" s="17"/>
    </row>
    <row r="8" spans="1:10" ht="15.75" x14ac:dyDescent="0.25">
      <c r="A8" s="10" t="s">
        <v>158</v>
      </c>
      <c r="B8" s="236"/>
      <c r="C8" s="261" t="s">
        <v>159</v>
      </c>
      <c r="D8" s="48">
        <v>1</v>
      </c>
      <c r="E8" s="263">
        <v>1</v>
      </c>
      <c r="F8" s="14">
        <v>190</v>
      </c>
      <c r="G8" s="263">
        <v>1</v>
      </c>
      <c r="H8" s="16">
        <v>190</v>
      </c>
      <c r="I8" s="16">
        <f t="shared" si="0"/>
        <v>190</v>
      </c>
      <c r="J8" s="17"/>
    </row>
    <row r="9" spans="1:10" ht="15.75" x14ac:dyDescent="0.25">
      <c r="A9" s="10"/>
      <c r="B9" s="236"/>
      <c r="C9" s="261" t="s">
        <v>160</v>
      </c>
      <c r="D9" s="48">
        <v>1</v>
      </c>
      <c r="E9" s="263">
        <v>1</v>
      </c>
      <c r="F9" s="14">
        <v>190</v>
      </c>
      <c r="G9" s="263">
        <v>1</v>
      </c>
      <c r="H9" s="16">
        <v>190</v>
      </c>
      <c r="I9" s="16">
        <f t="shared" si="0"/>
        <v>190</v>
      </c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2">SUM(E4:E11)</f>
        <v>17</v>
      </c>
      <c r="F12" s="33">
        <f t="shared" si="2"/>
        <v>607</v>
      </c>
      <c r="G12" s="34">
        <f t="shared" si="2"/>
        <v>9.1999999999999993</v>
      </c>
      <c r="H12" s="35"/>
      <c r="I12" s="36">
        <f>SUM(I4:I11)</f>
        <v>1985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6784.45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281" t="s">
        <v>161</v>
      </c>
      <c r="B20" s="289"/>
      <c r="C20" s="282">
        <v>367250.06</v>
      </c>
      <c r="D20" s="282">
        <v>367250.06</v>
      </c>
      <c r="E20" s="302"/>
      <c r="F20" s="303"/>
      <c r="G20" s="304"/>
      <c r="H20" s="305">
        <f t="shared" ref="H20:H21" si="3">F20*G20</f>
        <v>0</v>
      </c>
      <c r="I20" s="284" t="s">
        <v>162</v>
      </c>
      <c r="J20" s="284"/>
    </row>
    <row r="21" spans="1:10" ht="15.75" customHeight="1" x14ac:dyDescent="0.25">
      <c r="A21" s="61" t="s">
        <v>60</v>
      </c>
      <c r="B21" s="62"/>
      <c r="C21" s="63">
        <v>380</v>
      </c>
      <c r="D21" s="63">
        <v>380</v>
      </c>
      <c r="E21" s="64"/>
      <c r="F21" s="65"/>
      <c r="G21" s="66"/>
      <c r="H21" s="67">
        <f t="shared" si="3"/>
        <v>0</v>
      </c>
      <c r="I21" s="1"/>
      <c r="J21" s="1"/>
    </row>
    <row r="22" spans="1:10" ht="15.75" customHeight="1" x14ac:dyDescent="0.25">
      <c r="A22" s="61" t="s">
        <v>163</v>
      </c>
      <c r="B22" s="62"/>
      <c r="C22" s="63">
        <v>380</v>
      </c>
      <c r="D22" s="63">
        <v>380</v>
      </c>
      <c r="E22" s="64"/>
      <c r="F22" s="65"/>
      <c r="G22" s="66"/>
      <c r="H22" s="67"/>
      <c r="I22" s="1"/>
      <c r="J22" s="1"/>
    </row>
    <row r="23" spans="1:10" ht="15.75" customHeight="1" x14ac:dyDescent="0.25">
      <c r="A23" s="61" t="s">
        <v>84</v>
      </c>
      <c r="B23" s="62"/>
      <c r="C23" s="63">
        <v>1225</v>
      </c>
      <c r="D23" s="63">
        <v>1225</v>
      </c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306" t="s">
        <v>164</v>
      </c>
      <c r="B27" s="289"/>
      <c r="C27" s="282">
        <v>45471.06</v>
      </c>
      <c r="D27" s="282">
        <v>45471.06</v>
      </c>
      <c r="E27" s="307"/>
      <c r="F27" s="290"/>
      <c r="G27" s="308"/>
      <c r="H27" s="312"/>
      <c r="I27" s="284"/>
      <c r="J27" s="284"/>
    </row>
    <row r="28" spans="1:10" ht="15.75" customHeight="1" x14ac:dyDescent="0.25">
      <c r="A28" s="64" t="s">
        <v>112</v>
      </c>
      <c r="B28" s="62"/>
      <c r="C28" s="63">
        <v>131095</v>
      </c>
      <c r="D28" s="63">
        <v>131095</v>
      </c>
      <c r="E28" s="71"/>
      <c r="F28" s="73"/>
      <c r="G28" s="74"/>
      <c r="H28" s="67">
        <f t="shared" ref="H28:H37" si="4">F28*G28</f>
        <v>0</v>
      </c>
      <c r="I28" s="1"/>
      <c r="J28" s="1"/>
    </row>
    <row r="29" spans="1:10" ht="15.75" customHeight="1" x14ac:dyDescent="0.25">
      <c r="A29" s="64" t="s">
        <v>165</v>
      </c>
      <c r="B29" s="62"/>
      <c r="C29" s="63">
        <v>2360</v>
      </c>
      <c r="D29" s="69">
        <v>2360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4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284" t="s">
        <v>116</v>
      </c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4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4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4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197093.45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1050008.6499999999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144</v>
      </c>
      <c r="B45" s="276">
        <v>546.58000000000004</v>
      </c>
      <c r="C45" s="100" t="s">
        <v>166</v>
      </c>
      <c r="D45" s="101">
        <v>44000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167</v>
      </c>
      <c r="D46" s="101">
        <v>48926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168</v>
      </c>
      <c r="D47" s="101">
        <v>259560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169</v>
      </c>
      <c r="D48" s="101">
        <v>400000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1050555.23</v>
      </c>
      <c r="C58" s="123"/>
      <c r="D58" s="122">
        <f>SUM(D45:D57)</f>
        <v>752486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298069.23</v>
      </c>
      <c r="C59" s="51"/>
      <c r="D59" s="44"/>
      <c r="E59" s="94" t="s">
        <v>22</v>
      </c>
      <c r="F59" s="95">
        <f>G42+F58-H58</f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299575.43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17</v>
      </c>
      <c r="C82" s="200">
        <f>I12+H79+I79</f>
        <v>1985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topLeftCell="A33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197093.39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281" t="s">
        <v>161</v>
      </c>
      <c r="B20" s="289"/>
      <c r="C20" s="282">
        <v>0</v>
      </c>
      <c r="D20" s="282">
        <v>0</v>
      </c>
      <c r="E20" s="302"/>
      <c r="F20" s="303"/>
      <c r="G20" s="304"/>
      <c r="H20" s="305">
        <f t="shared" ref="H20:H21" si="1">F20*G20</f>
        <v>0</v>
      </c>
      <c r="I20" s="284" t="s">
        <v>141</v>
      </c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112</v>
      </c>
      <c r="B28" s="62"/>
      <c r="C28" s="63">
        <v>173900</v>
      </c>
      <c r="D28" s="63">
        <v>173900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170</v>
      </c>
      <c r="B29" s="62"/>
      <c r="C29" s="63">
        <v>6000</v>
      </c>
      <c r="D29" s="69">
        <v>6000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15193.390000000014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v>0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v>298069.23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314" t="s">
        <v>37</v>
      </c>
      <c r="B60" s="315"/>
      <c r="C60" s="316">
        <f>B59+F59</f>
        <v>299575.43</v>
      </c>
      <c r="D60" s="317"/>
      <c r="E60" s="317"/>
      <c r="F60" s="317"/>
      <c r="G60" s="317"/>
      <c r="H60" s="315"/>
      <c r="I60" s="284" t="s">
        <v>171</v>
      </c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1000"/>
  <sheetViews>
    <sheetView topLeftCell="A33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 t="s">
        <v>172</v>
      </c>
      <c r="C4" s="261" t="s">
        <v>173</v>
      </c>
      <c r="D4" s="48"/>
      <c r="E4" s="263"/>
      <c r="F4" s="14">
        <v>3</v>
      </c>
      <c r="G4" s="264"/>
      <c r="H4" s="16">
        <v>800</v>
      </c>
      <c r="I4" s="16">
        <f>F4*H4</f>
        <v>2400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3</v>
      </c>
      <c r="G12" s="34">
        <f t="shared" si="0"/>
        <v>0</v>
      </c>
      <c r="H12" s="35"/>
      <c r="I12" s="36">
        <f>SUM(I4:I11)</f>
        <v>2400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15193.450000000012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174</v>
      </c>
      <c r="B20" s="62"/>
      <c r="C20" s="63">
        <v>400000</v>
      </c>
      <c r="D20" s="63">
        <v>400000</v>
      </c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 t="s">
        <v>175</v>
      </c>
      <c r="B21" s="62"/>
      <c r="C21" s="63">
        <v>2400</v>
      </c>
      <c r="D21" s="63">
        <v>2400</v>
      </c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4000</v>
      </c>
      <c r="D27" s="63">
        <v>4000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176</v>
      </c>
      <c r="B28" s="62"/>
      <c r="C28" s="63">
        <v>2416</v>
      </c>
      <c r="D28" s="63">
        <v>2416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85</v>
      </c>
      <c r="B29" s="62"/>
      <c r="C29" s="63">
        <v>32000</v>
      </c>
      <c r="D29" s="69">
        <v>32000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379177.45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298069.23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298069.23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299575.43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2400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 t="s">
        <v>75</v>
      </c>
      <c r="B85" s="55" t="s">
        <v>177</v>
      </c>
      <c r="C85" s="58" t="s">
        <v>178</v>
      </c>
      <c r="D85" s="219" t="s">
        <v>179</v>
      </c>
      <c r="E85" s="313" t="s">
        <v>180</v>
      </c>
      <c r="F85" s="57">
        <v>19000</v>
      </c>
      <c r="G85" s="211">
        <f>F85+F1203</f>
        <v>19000</v>
      </c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19000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1000"/>
  <sheetViews>
    <sheetView topLeftCell="A33" workbookViewId="0">
      <selection activeCell="F59" sqref="F5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379177.45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181</v>
      </c>
      <c r="B27" s="62"/>
      <c r="C27" s="63">
        <v>1330</v>
      </c>
      <c r="D27" s="63">
        <v>1330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182</v>
      </c>
      <c r="B28" s="62"/>
      <c r="C28" s="63">
        <v>10000</v>
      </c>
      <c r="D28" s="63">
        <v>10000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183</v>
      </c>
      <c r="B29" s="62"/>
      <c r="C29" s="63">
        <v>10000</v>
      </c>
      <c r="D29" s="69">
        <v>10000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 t="s">
        <v>184</v>
      </c>
      <c r="B30" s="62"/>
      <c r="C30" s="63">
        <v>121000</v>
      </c>
      <c r="D30" s="63">
        <v>121000</v>
      </c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 t="s">
        <v>185</v>
      </c>
      <c r="B31" s="62"/>
      <c r="C31" s="63">
        <v>5000</v>
      </c>
      <c r="D31" s="69">
        <v>5000</v>
      </c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231847.45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298069.23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186</v>
      </c>
      <c r="B45" s="276">
        <v>115340</v>
      </c>
      <c r="C45" s="100" t="s">
        <v>187</v>
      </c>
      <c r="D45" s="101">
        <v>3802.1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 t="s">
        <v>188</v>
      </c>
      <c r="D46" s="101">
        <v>25969.200000000001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189</v>
      </c>
      <c r="D47" s="101">
        <v>35845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190</v>
      </c>
      <c r="D48" s="101">
        <v>70682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191</v>
      </c>
      <c r="D49" s="101">
        <v>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413409.23</v>
      </c>
      <c r="C58" s="123"/>
      <c r="D58" s="122">
        <f>SUM(D45:D57)</f>
        <v>136298.29999999999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277110.93</v>
      </c>
      <c r="C59" s="51"/>
      <c r="D59" s="44"/>
      <c r="E59" s="94" t="s">
        <v>22</v>
      </c>
      <c r="F59" s="95">
        <v>1506.2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278617.13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/>
      <c r="B64" s="145"/>
      <c r="C64" s="267"/>
      <c r="D64" s="147"/>
      <c r="E64" s="148"/>
      <c r="F64" s="149"/>
      <c r="G64" s="148"/>
      <c r="H64" s="150"/>
      <c r="I64" s="150"/>
      <c r="J64" s="151"/>
    </row>
    <row r="65" spans="1:10" ht="15.75" customHeight="1" x14ac:dyDescent="0.25">
      <c r="A65" s="144"/>
      <c r="B65" s="145"/>
      <c r="C65" s="152"/>
      <c r="D65" s="147"/>
      <c r="E65" s="148"/>
      <c r="F65" s="149"/>
      <c r="G65" s="148"/>
      <c r="H65" s="150"/>
      <c r="I65" s="150"/>
      <c r="J65" s="153"/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3">D77*F77</f>
        <v>0</v>
      </c>
      <c r="H77" s="180"/>
      <c r="I77" s="180">
        <f t="shared" ref="I77:I78" si="4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3"/>
        <v>0</v>
      </c>
      <c r="H78" s="185"/>
      <c r="I78" s="180">
        <f t="shared" si="4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0</v>
      </c>
      <c r="F79" s="191">
        <f>SUM(F64:F76)</f>
        <v>0</v>
      </c>
      <c r="G79" s="192">
        <f>SUM(G64:G71)</f>
        <v>0</v>
      </c>
      <c r="H79" s="193"/>
      <c r="I79" s="193">
        <f>SUM(I64:I72)</f>
        <v>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0</v>
      </c>
      <c r="C82" s="200">
        <f>I12+H79+I79</f>
        <v>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>
        <f>F85+F1203</f>
        <v>0</v>
      </c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214"/>
      <c r="D87" s="215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5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5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5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6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6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1000"/>
  <sheetViews>
    <sheetView topLeftCell="A33" workbookViewId="0">
      <selection activeCell="F51" sqref="F5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20.875" bestFit="1" customWidth="1"/>
    <col min="5" max="5" width="18.375" customWidth="1"/>
    <col min="6" max="6" width="29.75" bestFit="1" customWidth="1"/>
    <col min="7" max="7" width="9.625" customWidth="1"/>
    <col min="8" max="8" width="18.75" bestFit="1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28.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231847.45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192</v>
      </c>
      <c r="B28" s="62"/>
      <c r="C28" s="63">
        <v>5000</v>
      </c>
      <c r="D28" s="63">
        <v>5000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/>
      <c r="B29" s="62"/>
      <c r="C29" s="63"/>
      <c r="D29" s="69"/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224847.45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277110.53000000003</v>
      </c>
      <c r="D42" s="51"/>
      <c r="E42" s="94" t="s">
        <v>17</v>
      </c>
      <c r="F42" s="44"/>
      <c r="G42" s="95">
        <v>1506.2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193</v>
      </c>
      <c r="B45" s="276">
        <v>61576.2</v>
      </c>
      <c r="C45" s="100" t="s">
        <v>194</v>
      </c>
      <c r="D45" s="101">
        <v>5525</v>
      </c>
      <c r="E45" s="102" t="s">
        <v>92</v>
      </c>
      <c r="F45" s="103">
        <v>1596384</v>
      </c>
      <c r="G45" s="104" t="s">
        <v>195</v>
      </c>
      <c r="H45" s="103">
        <v>1596000</v>
      </c>
      <c r="I45" s="81"/>
      <c r="J45" s="81"/>
    </row>
    <row r="46" spans="1:10" ht="15.75" customHeight="1" x14ac:dyDescent="0.25">
      <c r="A46" s="277" t="s">
        <v>196</v>
      </c>
      <c r="B46" s="276">
        <v>100000</v>
      </c>
      <c r="C46" s="106" t="s">
        <v>197</v>
      </c>
      <c r="D46" s="101">
        <v>21750.42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 t="s">
        <v>90</v>
      </c>
      <c r="B47" s="278">
        <v>142.29</v>
      </c>
      <c r="C47" s="107" t="s">
        <v>198</v>
      </c>
      <c r="D47" s="101">
        <v>325000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 t="s">
        <v>199</v>
      </c>
      <c r="B48" s="278">
        <v>1596000</v>
      </c>
      <c r="C48" s="107" t="s">
        <v>200</v>
      </c>
      <c r="D48" s="101">
        <v>1430000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201</v>
      </c>
      <c r="D49" s="101">
        <v>0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2034829.02</v>
      </c>
      <c r="C58" s="123"/>
      <c r="D58" s="122">
        <f>SUM(D45:D57)</f>
        <v>1782275.42</v>
      </c>
      <c r="E58" s="124"/>
      <c r="F58" s="124">
        <f>SUM(F45:F57)</f>
        <v>1596384</v>
      </c>
      <c r="G58" s="124"/>
      <c r="H58" s="124">
        <f>SUM(H45:H57)</f>
        <v>1596000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252553.60000000009</v>
      </c>
      <c r="C59" s="51"/>
      <c r="D59" s="44"/>
      <c r="E59" s="94" t="s">
        <v>22</v>
      </c>
      <c r="F59" s="95">
        <f>G42+F58-H58</f>
        <v>1890.1999999999534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f>B59+F59</f>
        <v>254443.80000000005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202</v>
      </c>
      <c r="B64" s="145" t="s">
        <v>172</v>
      </c>
      <c r="C64" s="267" t="s">
        <v>203</v>
      </c>
      <c r="D64" s="147">
        <v>0.2</v>
      </c>
      <c r="E64" s="148">
        <v>4320</v>
      </c>
      <c r="F64" s="149">
        <v>18</v>
      </c>
      <c r="G64" s="148">
        <f t="shared" ref="G64:G65" si="3">D64*E64</f>
        <v>864</v>
      </c>
      <c r="H64" s="150">
        <v>68</v>
      </c>
      <c r="I64" s="150">
        <f t="shared" ref="I64:I65" si="4">H64*E64</f>
        <v>293760</v>
      </c>
      <c r="J64" s="151" t="s">
        <v>204</v>
      </c>
    </row>
    <row r="65" spans="1:10" ht="15.75" customHeight="1" x14ac:dyDescent="0.25">
      <c r="A65" s="144" t="s">
        <v>202</v>
      </c>
      <c r="B65" s="145" t="s">
        <v>172</v>
      </c>
      <c r="C65" s="152" t="s">
        <v>203</v>
      </c>
      <c r="D65" s="147">
        <v>0.2</v>
      </c>
      <c r="E65" s="148">
        <v>7200</v>
      </c>
      <c r="F65" s="149">
        <v>18</v>
      </c>
      <c r="G65" s="148">
        <f t="shared" si="3"/>
        <v>1440</v>
      </c>
      <c r="H65" s="150">
        <v>72</v>
      </c>
      <c r="I65" s="150">
        <f t="shared" si="4"/>
        <v>518400</v>
      </c>
      <c r="J65" s="318" t="s">
        <v>74</v>
      </c>
    </row>
    <row r="66" spans="1:10" ht="15.75" customHeight="1" x14ac:dyDescent="0.25">
      <c r="A66" s="144"/>
      <c r="B66" s="145"/>
      <c r="C66" s="152"/>
      <c r="D66" s="147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11520</v>
      </c>
      <c r="F79" s="191">
        <f>SUM(F64:F76)</f>
        <v>36</v>
      </c>
      <c r="G79" s="192">
        <f>SUM(G64:G71)</f>
        <v>2304</v>
      </c>
      <c r="H79" s="193"/>
      <c r="I79" s="193">
        <f>SUM(I64:I72)</f>
        <v>812160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2304</v>
      </c>
      <c r="C82" s="200">
        <f>I12+H79+I79</f>
        <v>812160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 t="s">
        <v>75</v>
      </c>
      <c r="B85" s="55" t="s">
        <v>177</v>
      </c>
      <c r="C85" s="58" t="s">
        <v>205</v>
      </c>
      <c r="D85" s="219" t="s">
        <v>132</v>
      </c>
      <c r="E85" s="313" t="s">
        <v>206</v>
      </c>
      <c r="F85" s="57">
        <v>14000</v>
      </c>
      <c r="G85" s="211">
        <f t="shared" ref="G85:G87" si="7">F85+F1203</f>
        <v>14000</v>
      </c>
      <c r="H85" s="301"/>
      <c r="I85" s="286"/>
      <c r="J85" s="53"/>
    </row>
    <row r="86" spans="1:10" ht="15.75" customHeight="1" x14ac:dyDescent="0.25">
      <c r="A86" s="208" t="s">
        <v>77</v>
      </c>
      <c r="B86" s="55" t="s">
        <v>177</v>
      </c>
      <c r="C86" s="58" t="s">
        <v>207</v>
      </c>
      <c r="D86" s="219" t="s">
        <v>132</v>
      </c>
      <c r="E86" s="210" t="s">
        <v>204</v>
      </c>
      <c r="F86" s="298">
        <v>19080</v>
      </c>
      <c r="G86" s="211">
        <f t="shared" si="7"/>
        <v>19080</v>
      </c>
      <c r="H86" s="301"/>
      <c r="I86" s="311" t="s">
        <v>208</v>
      </c>
      <c r="J86" s="53"/>
    </row>
    <row r="87" spans="1:10" ht="15.75" customHeight="1" x14ac:dyDescent="0.25">
      <c r="A87" s="213" t="s">
        <v>77</v>
      </c>
      <c r="B87" s="55" t="s">
        <v>177</v>
      </c>
      <c r="C87" s="58" t="s">
        <v>207</v>
      </c>
      <c r="D87" s="219" t="s">
        <v>132</v>
      </c>
      <c r="E87" s="269" t="s">
        <v>74</v>
      </c>
      <c r="F87" s="292">
        <v>66600</v>
      </c>
      <c r="G87" s="211">
        <f t="shared" si="7"/>
        <v>66600</v>
      </c>
      <c r="H87" s="301"/>
      <c r="I87" s="311" t="s">
        <v>208</v>
      </c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8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8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8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99680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9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9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000"/>
  <sheetViews>
    <sheetView topLeftCell="A30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23.375" bestFit="1" customWidth="1"/>
    <col min="6" max="6" width="8.875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224847.45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 t="s">
        <v>209</v>
      </c>
      <c r="B20" s="62"/>
      <c r="C20" s="63">
        <v>325000</v>
      </c>
      <c r="D20" s="63">
        <v>325000</v>
      </c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108</v>
      </c>
      <c r="B27" s="62"/>
      <c r="C27" s="63">
        <v>2000</v>
      </c>
      <c r="D27" s="63">
        <v>2000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 t="s">
        <v>85</v>
      </c>
      <c r="B28" s="62"/>
      <c r="C28" s="63">
        <v>21027</v>
      </c>
      <c r="D28" s="63">
        <v>21027</v>
      </c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 t="s">
        <v>183</v>
      </c>
      <c r="B29" s="62"/>
      <c r="C29" s="63">
        <v>90000</v>
      </c>
      <c r="D29" s="63">
        <v>90000</v>
      </c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 t="s">
        <v>182</v>
      </c>
      <c r="B30" s="62"/>
      <c r="C30" s="63">
        <v>90000</v>
      </c>
      <c r="D30" s="63">
        <v>90000</v>
      </c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 t="s">
        <v>210</v>
      </c>
      <c r="B31" s="62"/>
      <c r="C31" s="63">
        <v>20000</v>
      </c>
      <c r="D31" s="69">
        <v>20000</v>
      </c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 t="s">
        <v>211</v>
      </c>
      <c r="B32" s="62"/>
      <c r="C32" s="63">
        <v>1000</v>
      </c>
      <c r="D32" s="69">
        <v>1000</v>
      </c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325820.44999999995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252553.60000000001</v>
      </c>
      <c r="D42" s="51"/>
      <c r="E42" s="94" t="s">
        <v>17</v>
      </c>
      <c r="F42" s="44"/>
      <c r="G42" s="95">
        <v>1890.2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 t="s">
        <v>212</v>
      </c>
      <c r="B45" s="276">
        <v>129.44999999999999</v>
      </c>
      <c r="C45" s="100" t="s">
        <v>213</v>
      </c>
      <c r="D45" s="101">
        <v>6455</v>
      </c>
      <c r="E45" s="102"/>
      <c r="F45" s="103"/>
      <c r="G45" s="104"/>
      <c r="H45" s="103"/>
      <c r="I45" s="81"/>
      <c r="J45" s="81"/>
    </row>
    <row r="46" spans="1:10" ht="15.75" customHeight="1" x14ac:dyDescent="0.25">
      <c r="A46" s="277" t="s">
        <v>214</v>
      </c>
      <c r="B46" s="276">
        <v>290000</v>
      </c>
      <c r="C46" s="106" t="s">
        <v>215</v>
      </c>
      <c r="D46" s="101">
        <v>15448.8</v>
      </c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 t="s">
        <v>216</v>
      </c>
      <c r="D47" s="101">
        <v>17883</v>
      </c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 t="s">
        <v>217</v>
      </c>
      <c r="D48" s="101">
        <v>140800</v>
      </c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 t="s">
        <v>218</v>
      </c>
      <c r="D49" s="101">
        <v>329448</v>
      </c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542683.05000000005</v>
      </c>
      <c r="C58" s="123"/>
      <c r="D58" s="122">
        <f>SUM(D45:D57)</f>
        <v>510034.8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32648.250000000058</v>
      </c>
      <c r="C59" s="51"/>
      <c r="D59" s="44"/>
      <c r="E59" s="94" t="s">
        <v>22</v>
      </c>
      <c r="F59" s="95">
        <v>1890.2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34538.449999999997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15.7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144" t="s">
        <v>219</v>
      </c>
      <c r="B64" s="145" t="s">
        <v>172</v>
      </c>
      <c r="C64" s="267" t="s">
        <v>220</v>
      </c>
      <c r="D64" s="149">
        <v>1</v>
      </c>
      <c r="E64" s="148">
        <v>1000</v>
      </c>
      <c r="F64" s="149">
        <v>10</v>
      </c>
      <c r="G64" s="148">
        <f t="shared" ref="G64:G66" si="3">D64*E64</f>
        <v>1000</v>
      </c>
      <c r="H64" s="150">
        <v>190</v>
      </c>
      <c r="I64" s="150">
        <f t="shared" ref="I64:I66" si="4">H64*E64</f>
        <v>190000</v>
      </c>
      <c r="J64" s="151"/>
    </row>
    <row r="65" spans="1:10" ht="15.75" customHeight="1" x14ac:dyDescent="0.25">
      <c r="A65" s="144" t="s">
        <v>219</v>
      </c>
      <c r="B65" s="145" t="s">
        <v>172</v>
      </c>
      <c r="C65" s="152" t="s">
        <v>221</v>
      </c>
      <c r="D65" s="149">
        <v>1</v>
      </c>
      <c r="E65" s="148">
        <v>1000</v>
      </c>
      <c r="F65" s="149">
        <v>10</v>
      </c>
      <c r="G65" s="148">
        <f t="shared" si="3"/>
        <v>1000</v>
      </c>
      <c r="H65" s="150">
        <v>190</v>
      </c>
      <c r="I65" s="150">
        <f t="shared" si="4"/>
        <v>190000</v>
      </c>
      <c r="J65" s="318"/>
    </row>
    <row r="66" spans="1:10" ht="15.75" customHeight="1" x14ac:dyDescent="0.25">
      <c r="A66" s="144" t="s">
        <v>219</v>
      </c>
      <c r="B66" s="145" t="s">
        <v>172</v>
      </c>
      <c r="C66" s="152" t="s">
        <v>222</v>
      </c>
      <c r="D66" s="149">
        <v>1</v>
      </c>
      <c r="E66" s="148">
        <v>500</v>
      </c>
      <c r="F66" s="149">
        <v>10</v>
      </c>
      <c r="G66" s="148">
        <f t="shared" si="3"/>
        <v>500</v>
      </c>
      <c r="H66" s="150">
        <v>190</v>
      </c>
      <c r="I66" s="150">
        <f t="shared" si="4"/>
        <v>95000</v>
      </c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2500</v>
      </c>
      <c r="F79" s="191">
        <f>SUM(F64:F76)</f>
        <v>30</v>
      </c>
      <c r="G79" s="192">
        <f>SUM(G64:G71)</f>
        <v>2500</v>
      </c>
      <c r="H79" s="193"/>
      <c r="I79" s="193">
        <f>SUM(I64:I72)</f>
        <v>475000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2500</v>
      </c>
      <c r="C82" s="200">
        <f>I12+H79+I79</f>
        <v>475000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58"/>
      <c r="D87" s="219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1000"/>
  <sheetViews>
    <sheetView topLeftCell="A33" workbookViewId="0">
      <selection activeCell="C65" sqref="C65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48"/>
      <c r="E4" s="263"/>
      <c r="F4" s="14"/>
      <c r="G4" s="264"/>
      <c r="H4" s="16">
        <v>800</v>
      </c>
      <c r="I4" s="16">
        <f>F4*H4</f>
        <v>0</v>
      </c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48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48"/>
      <c r="E8" s="263"/>
      <c r="F8" s="14"/>
      <c r="G8" s="263"/>
      <c r="H8" s="16"/>
      <c r="I8" s="16"/>
      <c r="J8" s="17"/>
    </row>
    <row r="9" spans="1:10" ht="15.75" x14ac:dyDescent="0.25">
      <c r="A9" s="10"/>
      <c r="B9" s="236"/>
      <c r="C9" s="261"/>
      <c r="D9" s="48"/>
      <c r="E9" s="263"/>
      <c r="F9" s="14"/>
      <c r="G9" s="263"/>
      <c r="H9" s="16"/>
      <c r="I9" s="16"/>
      <c r="J9" s="17"/>
    </row>
    <row r="10" spans="1:10" ht="15.75" x14ac:dyDescent="0.25">
      <c r="A10" s="10"/>
      <c r="B10" s="27"/>
      <c r="C10" s="260"/>
      <c r="D10" s="265"/>
      <c r="E10" s="13"/>
      <c r="F10" s="14"/>
      <c r="G10" s="14"/>
      <c r="H10" s="24"/>
      <c r="I10" s="25"/>
      <c r="J10" s="17"/>
    </row>
    <row r="11" spans="1:10" ht="15.75" x14ac:dyDescent="0.25">
      <c r="A11" s="26"/>
      <c r="B11" s="27"/>
      <c r="C11" s="18"/>
      <c r="D11" s="266"/>
      <c r="E11" s="13"/>
      <c r="F11" s="14"/>
      <c r="G11" s="14"/>
      <c r="H11" s="28"/>
      <c r="I11" s="25"/>
      <c r="J11" s="29"/>
    </row>
    <row r="12" spans="1:10" ht="15.75" x14ac:dyDescent="0.25">
      <c r="A12" s="30"/>
      <c r="B12" s="31"/>
      <c r="C12" s="32"/>
      <c r="D12" s="30"/>
      <c r="E12" s="33">
        <f t="shared" ref="E12:G12" si="0">SUM(E4:E11)</f>
        <v>0</v>
      </c>
      <c r="F12" s="33">
        <f t="shared" si="0"/>
        <v>0</v>
      </c>
      <c r="G12" s="34">
        <f t="shared" si="0"/>
        <v>0</v>
      </c>
      <c r="H12" s="35"/>
      <c r="I12" s="36">
        <f>SUM(I4:I11)</f>
        <v>0</v>
      </c>
      <c r="J12" s="37"/>
    </row>
    <row r="13" spans="1:10" ht="15.75" x14ac:dyDescent="0.25">
      <c r="A13" s="38"/>
      <c r="B13" s="39"/>
      <c r="C13" s="40"/>
      <c r="D13" s="38"/>
      <c r="E13" s="38"/>
      <c r="F13" s="38"/>
      <c r="G13" s="38"/>
      <c r="H13" s="38"/>
      <c r="I13" s="1"/>
      <c r="J13" s="1"/>
    </row>
    <row r="14" spans="1:10" ht="15.75" x14ac:dyDescent="0.25">
      <c r="A14" s="41" t="s">
        <v>12</v>
      </c>
      <c r="B14" s="42" t="s">
        <v>10</v>
      </c>
      <c r="C14" s="43" t="s">
        <v>13</v>
      </c>
      <c r="D14" s="44"/>
      <c r="E14" s="38"/>
      <c r="F14" s="38"/>
      <c r="G14" s="38"/>
      <c r="H14" s="38"/>
      <c r="I14" s="1"/>
      <c r="J14" s="1"/>
    </row>
    <row r="15" spans="1:10" ht="15.75" x14ac:dyDescent="0.25">
      <c r="A15" s="45"/>
      <c r="B15" s="46"/>
      <c r="C15" s="47"/>
      <c r="D15" s="44"/>
      <c r="E15" s="38"/>
      <c r="F15" s="38"/>
      <c r="G15" s="38"/>
      <c r="H15" s="38"/>
      <c r="I15" s="1"/>
      <c r="J15" s="1"/>
    </row>
    <row r="16" spans="1:10" ht="15.75" x14ac:dyDescent="0.25">
      <c r="A16" s="26"/>
      <c r="B16" s="48"/>
      <c r="C16" s="49"/>
      <c r="D16" s="44"/>
      <c r="E16" s="38"/>
      <c r="F16" s="38"/>
      <c r="G16" s="38"/>
      <c r="H16" s="38"/>
      <c r="I16" s="1"/>
      <c r="J16" s="1"/>
    </row>
    <row r="17" spans="1:10" ht="22.5" x14ac:dyDescent="0.3">
      <c r="A17" s="375" t="s">
        <v>14</v>
      </c>
      <c r="B17" s="376"/>
      <c r="C17" s="376"/>
      <c r="D17" s="376"/>
      <c r="E17" s="376"/>
      <c r="F17" s="376"/>
      <c r="G17" s="376"/>
      <c r="H17" s="376"/>
      <c r="I17" s="1"/>
      <c r="J17" s="1"/>
    </row>
    <row r="18" spans="1:10" ht="15.75" x14ac:dyDescent="0.25">
      <c r="A18" s="50" t="s">
        <v>15</v>
      </c>
      <c r="B18" s="51"/>
      <c r="C18" s="51"/>
      <c r="D18" s="44"/>
      <c r="E18" s="50" t="s">
        <v>16</v>
      </c>
      <c r="F18" s="51"/>
      <c r="G18" s="51"/>
      <c r="H18" s="44"/>
      <c r="I18" s="52"/>
      <c r="J18" s="53"/>
    </row>
    <row r="19" spans="1:10" ht="15.75" x14ac:dyDescent="0.25">
      <c r="A19" s="54" t="s">
        <v>17</v>
      </c>
      <c r="B19" s="55"/>
      <c r="C19" s="56"/>
      <c r="D19" s="57">
        <v>325820.44999999995</v>
      </c>
      <c r="E19" s="54" t="s">
        <v>17</v>
      </c>
      <c r="F19" s="58"/>
      <c r="G19" s="56"/>
      <c r="H19" s="59">
        <v>0</v>
      </c>
      <c r="I19" s="60"/>
      <c r="J19" s="1"/>
    </row>
    <row r="20" spans="1:10" ht="15.75" x14ac:dyDescent="0.25">
      <c r="A20" s="61"/>
      <c r="B20" s="62"/>
      <c r="C20" s="63"/>
      <c r="D20" s="63"/>
      <c r="E20" s="64"/>
      <c r="F20" s="65"/>
      <c r="G20" s="66"/>
      <c r="H20" s="67">
        <f t="shared" ref="H20:H21" si="1">F20*G20</f>
        <v>0</v>
      </c>
      <c r="I20" s="1"/>
      <c r="J20" s="1"/>
    </row>
    <row r="21" spans="1:10" ht="15.75" customHeight="1" x14ac:dyDescent="0.25">
      <c r="A21" s="61"/>
      <c r="B21" s="62"/>
      <c r="C21" s="63"/>
      <c r="D21" s="63"/>
      <c r="E21" s="64"/>
      <c r="F21" s="65"/>
      <c r="G21" s="66"/>
      <c r="H21" s="67">
        <f t="shared" si="1"/>
        <v>0</v>
      </c>
      <c r="I21" s="1"/>
      <c r="J21" s="1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1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/>
      <c r="I23" s="1"/>
      <c r="J23" s="1"/>
    </row>
    <row r="24" spans="1:10" ht="15.75" customHeight="1" x14ac:dyDescent="0.25">
      <c r="A24" s="61"/>
      <c r="B24" s="68"/>
      <c r="C24" s="69"/>
      <c r="D24" s="70"/>
      <c r="E24" s="64"/>
      <c r="F24" s="65"/>
      <c r="G24" s="66"/>
      <c r="H24" s="67"/>
      <c r="I24" s="1"/>
      <c r="J24" s="1"/>
    </row>
    <row r="25" spans="1:10" ht="15.75" customHeight="1" x14ac:dyDescent="0.25">
      <c r="A25" s="71"/>
      <c r="B25" s="62"/>
      <c r="C25" s="63"/>
      <c r="D25" s="70"/>
      <c r="E25" s="72" t="s">
        <v>18</v>
      </c>
      <c r="F25" s="73"/>
      <c r="G25" s="74"/>
      <c r="H25" s="75">
        <f>SUM(H20:H21)</f>
        <v>0</v>
      </c>
      <c r="I25" s="1"/>
      <c r="J25" s="1"/>
    </row>
    <row r="26" spans="1:10" ht="15.75" customHeight="1" x14ac:dyDescent="0.25">
      <c r="A26" s="71" t="s">
        <v>19</v>
      </c>
      <c r="B26" s="62"/>
      <c r="C26" s="74"/>
      <c r="D26" s="75"/>
      <c r="E26" s="71" t="s">
        <v>19</v>
      </c>
      <c r="F26" s="73"/>
      <c r="G26" s="74"/>
      <c r="H26" s="75"/>
      <c r="I26" s="1"/>
      <c r="J26" s="1"/>
    </row>
    <row r="27" spans="1:10" ht="15.75" customHeight="1" x14ac:dyDescent="0.25">
      <c r="A27" s="76" t="s">
        <v>223</v>
      </c>
      <c r="B27" s="62"/>
      <c r="C27" s="63">
        <v>300</v>
      </c>
      <c r="D27" s="63">
        <v>300</v>
      </c>
      <c r="E27" s="71"/>
      <c r="F27" s="73"/>
      <c r="G27" s="74"/>
      <c r="H27" s="75"/>
      <c r="I27" s="1"/>
      <c r="J27" s="1"/>
    </row>
    <row r="28" spans="1:10" ht="15.75" customHeight="1" x14ac:dyDescent="0.25">
      <c r="A28" s="64"/>
      <c r="B28" s="62"/>
      <c r="C28" s="63"/>
      <c r="D28" s="63"/>
      <c r="E28" s="71"/>
      <c r="F28" s="73"/>
      <c r="G28" s="74"/>
      <c r="H28" s="67">
        <f t="shared" ref="H28:H37" si="2">F28*G28</f>
        <v>0</v>
      </c>
      <c r="I28" s="1"/>
      <c r="J28" s="1"/>
    </row>
    <row r="29" spans="1:10" ht="15.75" customHeight="1" x14ac:dyDescent="0.25">
      <c r="A29" s="64"/>
      <c r="B29" s="62"/>
      <c r="C29" s="63"/>
      <c r="D29" s="63"/>
      <c r="E29" s="71"/>
      <c r="F29" s="73"/>
      <c r="G29" s="74"/>
      <c r="H29" s="67">
        <f t="shared" si="2"/>
        <v>0</v>
      </c>
      <c r="I29" s="1"/>
      <c r="J29" s="1"/>
    </row>
    <row r="30" spans="1:10" ht="15.75" customHeight="1" x14ac:dyDescent="0.25">
      <c r="A30" s="76"/>
      <c r="B30" s="62"/>
      <c r="C30" s="63"/>
      <c r="D30" s="63"/>
      <c r="E30" s="71"/>
      <c r="F30" s="73"/>
      <c r="G30" s="74"/>
      <c r="H30" s="67">
        <f t="shared" si="2"/>
        <v>0</v>
      </c>
      <c r="I30" s="1"/>
      <c r="J30" s="1"/>
    </row>
    <row r="31" spans="1:10" ht="15.75" customHeight="1" x14ac:dyDescent="0.25">
      <c r="A31" s="64"/>
      <c r="B31" s="62"/>
      <c r="C31" s="63"/>
      <c r="D31" s="69"/>
      <c r="E31" s="71"/>
      <c r="F31" s="73"/>
      <c r="G31" s="74"/>
      <c r="H31" s="67">
        <f t="shared" si="2"/>
        <v>0</v>
      </c>
      <c r="I31" s="1"/>
      <c r="J31" s="1"/>
    </row>
    <row r="32" spans="1:10" ht="15.75" customHeight="1" x14ac:dyDescent="0.25">
      <c r="A32" s="64"/>
      <c r="B32" s="62"/>
      <c r="C32" s="63"/>
      <c r="D32" s="69"/>
      <c r="E32" s="71"/>
      <c r="F32" s="73"/>
      <c r="G32" s="74"/>
      <c r="H32" s="67">
        <f t="shared" si="2"/>
        <v>0</v>
      </c>
      <c r="I32" s="1"/>
      <c r="J32" s="1"/>
    </row>
    <row r="33" spans="1:10" ht="15.75" customHeight="1" x14ac:dyDescent="0.25">
      <c r="A33" s="64"/>
      <c r="B33" s="62"/>
      <c r="C33" s="63"/>
      <c r="D33" s="69"/>
      <c r="E33" s="71"/>
      <c r="F33" s="73"/>
      <c r="G33" s="74"/>
      <c r="H33" s="67">
        <f t="shared" si="2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2"/>
        <v>0</v>
      </c>
      <c r="I34" s="309"/>
      <c r="J34" s="1"/>
    </row>
    <row r="35" spans="1:10" ht="15.75" customHeight="1" x14ac:dyDescent="0.25">
      <c r="A35" s="64"/>
      <c r="B35" s="62"/>
      <c r="C35" s="63"/>
      <c r="D35" s="70"/>
      <c r="E35" s="71"/>
      <c r="F35" s="73"/>
      <c r="G35" s="74"/>
      <c r="H35" s="67">
        <f t="shared" si="2"/>
        <v>0</v>
      </c>
      <c r="I35" s="1"/>
      <c r="J35" s="1"/>
    </row>
    <row r="36" spans="1:10" ht="15.75" customHeight="1" x14ac:dyDescent="0.25">
      <c r="A36" s="64"/>
      <c r="B36" s="62"/>
      <c r="C36" s="63"/>
      <c r="D36" s="70"/>
      <c r="E36" s="71"/>
      <c r="F36" s="73"/>
      <c r="G36" s="74"/>
      <c r="H36" s="67">
        <f t="shared" si="2"/>
        <v>0</v>
      </c>
      <c r="I36" s="1"/>
      <c r="J36" s="1"/>
    </row>
    <row r="37" spans="1:10" ht="15.75" customHeight="1" x14ac:dyDescent="0.25">
      <c r="A37" s="78"/>
      <c r="B37" s="62"/>
      <c r="C37" s="63"/>
      <c r="D37" s="79"/>
      <c r="E37" s="80" t="s">
        <v>21</v>
      </c>
      <c r="F37" s="73"/>
      <c r="G37" s="74"/>
      <c r="H37" s="67">
        <f t="shared" si="2"/>
        <v>0</v>
      </c>
      <c r="I37" s="81"/>
      <c r="J37" s="81"/>
    </row>
    <row r="38" spans="1:10" ht="15.75" customHeight="1" x14ac:dyDescent="0.25">
      <c r="A38" s="82" t="s">
        <v>22</v>
      </c>
      <c r="B38" s="83"/>
      <c r="C38" s="84"/>
      <c r="D38" s="85">
        <f>SUM(D20,D21:D24,D19,)-SUM(D27:D37,)</f>
        <v>325520.44999999995</v>
      </c>
      <c r="E38" s="82" t="s">
        <v>22</v>
      </c>
      <c r="F38" s="86"/>
      <c r="G38" s="84"/>
      <c r="H38" s="87">
        <f>SUM(H19+H25-H37)</f>
        <v>0</v>
      </c>
      <c r="I38" s="1"/>
      <c r="J38" s="1"/>
    </row>
    <row r="39" spans="1:10" ht="15.75" customHeight="1" x14ac:dyDescent="0.25">
      <c r="A39" s="88"/>
      <c r="B39" s="89"/>
      <c r="C39" s="40"/>
      <c r="D39" s="38"/>
      <c r="E39" s="38"/>
      <c r="F39" s="38"/>
      <c r="G39" s="1"/>
      <c r="H39" s="1"/>
      <c r="I39" s="1"/>
      <c r="J39" s="1"/>
    </row>
    <row r="40" spans="1:10" ht="15.75" customHeight="1" x14ac:dyDescent="0.25">
      <c r="A40" s="377" t="s">
        <v>23</v>
      </c>
      <c r="B40" s="376"/>
      <c r="C40" s="376"/>
      <c r="D40" s="376"/>
      <c r="E40" s="376"/>
      <c r="F40" s="376"/>
      <c r="G40" s="376"/>
      <c r="H40" s="376"/>
      <c r="I40" s="1"/>
      <c r="J40" s="1"/>
    </row>
    <row r="41" spans="1:10" ht="15.75" customHeight="1" x14ac:dyDescent="0.25">
      <c r="A41" s="90" t="s">
        <v>24</v>
      </c>
      <c r="B41" s="274" t="s">
        <v>24</v>
      </c>
      <c r="C41" s="274"/>
      <c r="D41" s="44"/>
      <c r="E41" s="91" t="s">
        <v>25</v>
      </c>
      <c r="F41" s="51"/>
      <c r="G41" s="51"/>
      <c r="H41" s="44"/>
      <c r="I41" s="1"/>
      <c r="J41" s="1"/>
    </row>
    <row r="42" spans="1:10" ht="15.75" customHeight="1" x14ac:dyDescent="0.25">
      <c r="A42" s="92" t="s">
        <v>17</v>
      </c>
      <c r="B42" s="275"/>
      <c r="C42" s="285">
        <v>32648.25</v>
      </c>
      <c r="D42" s="51"/>
      <c r="E42" s="94" t="s">
        <v>17</v>
      </c>
      <c r="F42" s="44"/>
      <c r="G42" s="95">
        <v>1890.2</v>
      </c>
      <c r="H42" s="44"/>
      <c r="I42" s="1"/>
      <c r="J42" s="1"/>
    </row>
    <row r="43" spans="1:10" ht="15.75" customHeight="1" x14ac:dyDescent="0.25">
      <c r="A43" s="96" t="s">
        <v>26</v>
      </c>
      <c r="B43" s="44"/>
      <c r="C43" s="96" t="s">
        <v>27</v>
      </c>
      <c r="D43" s="44"/>
      <c r="E43" s="96" t="s">
        <v>26</v>
      </c>
      <c r="F43" s="44"/>
      <c r="G43" s="96" t="s">
        <v>27</v>
      </c>
      <c r="H43" s="44"/>
      <c r="I43" s="81"/>
      <c r="J43" s="81"/>
    </row>
    <row r="44" spans="1:10" ht="15.75" customHeight="1" x14ac:dyDescent="0.25">
      <c r="A44" s="97" t="s">
        <v>28</v>
      </c>
      <c r="B44" s="97" t="s">
        <v>10</v>
      </c>
      <c r="C44" s="97" t="s">
        <v>29</v>
      </c>
      <c r="D44" s="97" t="s">
        <v>10</v>
      </c>
      <c r="E44" s="97" t="s">
        <v>28</v>
      </c>
      <c r="F44" s="97" t="s">
        <v>10</v>
      </c>
      <c r="G44" s="97" t="s">
        <v>30</v>
      </c>
      <c r="H44" s="97" t="s">
        <v>10</v>
      </c>
      <c r="I44" s="81"/>
      <c r="J44" s="81"/>
    </row>
    <row r="45" spans="1:10" ht="15.75" customHeight="1" x14ac:dyDescent="0.25">
      <c r="A45" s="98"/>
      <c r="B45" s="276"/>
      <c r="C45" s="100"/>
      <c r="D45" s="101"/>
      <c r="E45" s="102"/>
      <c r="F45" s="103"/>
      <c r="G45" s="104"/>
      <c r="H45" s="103"/>
      <c r="I45" s="81"/>
      <c r="J45" s="81"/>
    </row>
    <row r="46" spans="1:10" ht="15.75" customHeight="1" x14ac:dyDescent="0.25">
      <c r="A46" s="277"/>
      <c r="B46" s="276"/>
      <c r="C46" s="106"/>
      <c r="D46" s="101"/>
      <c r="E46" s="104"/>
      <c r="F46" s="103"/>
      <c r="G46" s="104"/>
      <c r="H46" s="103"/>
      <c r="I46" s="81"/>
      <c r="J46" s="81"/>
    </row>
    <row r="47" spans="1:10" ht="15.75" customHeight="1" x14ac:dyDescent="0.25">
      <c r="A47" s="105"/>
      <c r="B47" s="278"/>
      <c r="C47" s="107"/>
      <c r="D47" s="101"/>
      <c r="E47" s="104"/>
      <c r="F47" s="103"/>
      <c r="G47" s="108"/>
      <c r="H47" s="103"/>
      <c r="I47" s="81"/>
      <c r="J47" s="81"/>
    </row>
    <row r="48" spans="1:10" ht="15.75" customHeight="1" x14ac:dyDescent="0.25">
      <c r="A48" s="109"/>
      <c r="B48" s="278"/>
      <c r="C48" s="107"/>
      <c r="D48" s="101"/>
      <c r="E48" s="102"/>
      <c r="F48" s="110"/>
      <c r="G48" s="108"/>
      <c r="H48" s="103"/>
      <c r="I48" s="81"/>
      <c r="J48" s="81"/>
    </row>
    <row r="49" spans="1:10" ht="15.75" customHeight="1" x14ac:dyDescent="0.25">
      <c r="A49" s="111"/>
      <c r="B49" s="278"/>
      <c r="C49" s="107"/>
      <c r="D49" s="101"/>
      <c r="E49" s="112"/>
      <c r="F49" s="113"/>
      <c r="G49" s="114"/>
      <c r="H49" s="114"/>
      <c r="I49" s="81"/>
      <c r="J49" s="81"/>
    </row>
    <row r="50" spans="1:10" ht="15.75" customHeight="1" x14ac:dyDescent="0.25">
      <c r="A50" s="111"/>
      <c r="B50" s="278"/>
      <c r="C50" s="107"/>
      <c r="D50" s="101"/>
      <c r="E50" s="112"/>
      <c r="F50" s="113"/>
      <c r="G50" s="115"/>
      <c r="H50" s="114"/>
      <c r="I50" s="81"/>
      <c r="J50" s="81"/>
    </row>
    <row r="51" spans="1:10" ht="15.75" customHeight="1" x14ac:dyDescent="0.25">
      <c r="A51" s="116"/>
      <c r="B51" s="278"/>
      <c r="C51" s="107"/>
      <c r="D51" s="101"/>
      <c r="E51" s="112"/>
      <c r="F51" s="112"/>
      <c r="G51" s="117"/>
      <c r="H51" s="114"/>
      <c r="I51" s="81"/>
      <c r="J51" s="81"/>
    </row>
    <row r="52" spans="1:10" ht="15.75" customHeight="1" x14ac:dyDescent="0.25">
      <c r="A52" s="118"/>
      <c r="B52" s="279"/>
      <c r="C52" s="107"/>
      <c r="D52" s="101"/>
      <c r="E52" s="118"/>
      <c r="F52" s="112"/>
      <c r="G52" s="104"/>
      <c r="H52" s="114"/>
      <c r="I52" s="81"/>
      <c r="J52" s="81"/>
    </row>
    <row r="53" spans="1:10" ht="15.75" customHeight="1" x14ac:dyDescent="0.25">
      <c r="A53" s="118"/>
      <c r="B53" s="280"/>
      <c r="C53" s="104"/>
      <c r="D53" s="120"/>
      <c r="E53" s="118"/>
      <c r="F53" s="112"/>
      <c r="G53" s="104"/>
      <c r="H53" s="114"/>
      <c r="I53" s="81"/>
      <c r="J53" s="81"/>
    </row>
    <row r="54" spans="1:10" ht="15.75" customHeight="1" x14ac:dyDescent="0.25">
      <c r="A54" s="118"/>
      <c r="B54" s="280"/>
      <c r="C54" s="104"/>
      <c r="D54" s="120"/>
      <c r="E54" s="118"/>
      <c r="F54" s="112"/>
      <c r="G54" s="104"/>
      <c r="H54" s="114"/>
      <c r="I54" s="81"/>
      <c r="J54" s="81"/>
    </row>
    <row r="55" spans="1:10" ht="15.75" customHeight="1" x14ac:dyDescent="0.25">
      <c r="A55" s="118"/>
      <c r="B55" s="280"/>
      <c r="C55" s="104"/>
      <c r="D55" s="120"/>
      <c r="E55" s="118"/>
      <c r="F55" s="112"/>
      <c r="G55" s="104"/>
      <c r="H55" s="114"/>
      <c r="I55" s="81"/>
      <c r="J55" s="81"/>
    </row>
    <row r="56" spans="1:10" ht="15.75" customHeight="1" x14ac:dyDescent="0.25">
      <c r="A56" s="118"/>
      <c r="B56" s="280"/>
      <c r="C56" s="104"/>
      <c r="D56" s="120"/>
      <c r="E56" s="118"/>
      <c r="F56" s="112"/>
      <c r="G56" s="104"/>
      <c r="H56" s="114"/>
      <c r="I56" s="81"/>
      <c r="J56" s="81"/>
    </row>
    <row r="57" spans="1:10" ht="15.75" customHeight="1" x14ac:dyDescent="0.25">
      <c r="A57" s="118"/>
      <c r="B57" s="119"/>
      <c r="C57" s="104"/>
      <c r="D57" s="120"/>
      <c r="E57" s="118"/>
      <c r="F57" s="112"/>
      <c r="G57" s="104"/>
      <c r="H57" s="114"/>
      <c r="I57" s="81"/>
      <c r="J57" s="81"/>
    </row>
    <row r="58" spans="1:10" ht="15.75" customHeight="1" x14ac:dyDescent="0.25">
      <c r="A58" s="121"/>
      <c r="B58" s="122">
        <f>SUM(B45:B57)+C42</f>
        <v>32648.25</v>
      </c>
      <c r="C58" s="123"/>
      <c r="D58" s="122">
        <f>SUM(D45:D57)</f>
        <v>0</v>
      </c>
      <c r="E58" s="124"/>
      <c r="F58" s="124">
        <f>SUM(F45:F57)</f>
        <v>0</v>
      </c>
      <c r="G58" s="124"/>
      <c r="H58" s="124">
        <f>SUM(H45:H57)</f>
        <v>0</v>
      </c>
      <c r="I58" s="1"/>
      <c r="J58" s="1"/>
    </row>
    <row r="59" spans="1:10" ht="15.75" customHeight="1" x14ac:dyDescent="0.25">
      <c r="A59" s="125" t="s">
        <v>22</v>
      </c>
      <c r="B59" s="126">
        <f>B58-D58</f>
        <v>32648.25</v>
      </c>
      <c r="C59" s="51"/>
      <c r="D59" s="44"/>
      <c r="E59" s="94" t="s">
        <v>22</v>
      </c>
      <c r="F59" s="95">
        <v>1890.2</v>
      </c>
      <c r="G59" s="51"/>
      <c r="H59" s="44"/>
      <c r="I59" s="1"/>
      <c r="J59" s="1"/>
    </row>
    <row r="60" spans="1:10" ht="15.75" customHeight="1" x14ac:dyDescent="0.25">
      <c r="A60" s="127" t="s">
        <v>37</v>
      </c>
      <c r="B60" s="44"/>
      <c r="C60" s="128">
        <v>34538.449999999997</v>
      </c>
      <c r="D60" s="51"/>
      <c r="E60" s="51"/>
      <c r="F60" s="51"/>
      <c r="G60" s="51"/>
      <c r="H60" s="44"/>
      <c r="I60" s="1"/>
      <c r="J60" s="1"/>
    </row>
    <row r="61" spans="1:10" ht="15.75" customHeight="1" x14ac:dyDescent="0.25">
      <c r="A61" s="38"/>
      <c r="B61" s="89"/>
      <c r="C61" s="40"/>
      <c r="D61" s="38"/>
      <c r="E61" s="38"/>
      <c r="F61" s="38"/>
      <c r="G61" s="38"/>
      <c r="H61" s="88"/>
      <c r="I61" s="129"/>
      <c r="J61" s="129"/>
    </row>
    <row r="62" spans="1:10" ht="15.75" customHeight="1" x14ac:dyDescent="0.25">
      <c r="A62" s="130"/>
      <c r="B62" s="131" t="s">
        <v>38</v>
      </c>
      <c r="D62" s="1"/>
      <c r="E62" s="38"/>
      <c r="F62" s="38"/>
      <c r="G62" s="38"/>
      <c r="H62" s="132"/>
      <c r="I62" s="1"/>
      <c r="J62" s="1"/>
    </row>
    <row r="63" spans="1:10" ht="25.5" customHeight="1" x14ac:dyDescent="0.25">
      <c r="A63" s="133" t="s">
        <v>2</v>
      </c>
      <c r="B63" s="134" t="s">
        <v>39</v>
      </c>
      <c r="C63" s="135" t="s">
        <v>4</v>
      </c>
      <c r="D63" s="136" t="s">
        <v>5</v>
      </c>
      <c r="E63" s="137" t="s">
        <v>6</v>
      </c>
      <c r="F63" s="138" t="s">
        <v>7</v>
      </c>
      <c r="G63" s="139" t="s">
        <v>8</v>
      </c>
      <c r="H63" s="140" t="s">
        <v>9</v>
      </c>
      <c r="I63" s="141" t="s">
        <v>10</v>
      </c>
      <c r="J63" s="142" t="s">
        <v>40</v>
      </c>
    </row>
    <row r="64" spans="1:10" ht="15.75" customHeight="1" x14ac:dyDescent="0.25">
      <c r="A64" s="319" t="s">
        <v>224</v>
      </c>
      <c r="B64" s="320" t="s">
        <v>172</v>
      </c>
      <c r="C64" s="321" t="s">
        <v>129</v>
      </c>
      <c r="D64" s="322">
        <v>0.2</v>
      </c>
      <c r="E64" s="323">
        <v>21</v>
      </c>
      <c r="F64" s="322">
        <v>18</v>
      </c>
      <c r="G64" s="323">
        <f t="shared" ref="G64:G65" si="3">F64*E64*D64</f>
        <v>75.600000000000009</v>
      </c>
      <c r="H64" s="324">
        <v>87.9</v>
      </c>
      <c r="I64" s="324">
        <f t="shared" ref="I64:I65" si="4">H64*F64*E64</f>
        <v>33226.200000000004</v>
      </c>
      <c r="J64" s="151"/>
    </row>
    <row r="65" spans="1:10" ht="15.75" customHeight="1" x14ac:dyDescent="0.25">
      <c r="A65" s="319"/>
      <c r="B65" s="320"/>
      <c r="C65" s="325" t="s">
        <v>203</v>
      </c>
      <c r="D65" s="322">
        <v>0.2</v>
      </c>
      <c r="E65" s="323">
        <v>21</v>
      </c>
      <c r="F65" s="322">
        <v>18</v>
      </c>
      <c r="G65" s="323">
        <f t="shared" si="3"/>
        <v>75.600000000000009</v>
      </c>
      <c r="H65" s="324">
        <v>75</v>
      </c>
      <c r="I65" s="324">
        <f t="shared" si="4"/>
        <v>28350</v>
      </c>
      <c r="J65" s="318"/>
    </row>
    <row r="66" spans="1:10" ht="15.75" customHeight="1" x14ac:dyDescent="0.25">
      <c r="A66" s="144"/>
      <c r="B66" s="145"/>
      <c r="C66" s="152"/>
      <c r="D66" s="149"/>
      <c r="E66" s="148"/>
      <c r="F66" s="149"/>
      <c r="G66" s="148"/>
      <c r="H66" s="150"/>
      <c r="I66" s="150"/>
      <c r="J66" s="153"/>
    </row>
    <row r="67" spans="1:10" ht="15.75" customHeight="1" x14ac:dyDescent="0.25">
      <c r="A67" s="144"/>
      <c r="B67" s="145"/>
      <c r="C67" s="152"/>
      <c r="D67" s="147"/>
      <c r="E67" s="148"/>
      <c r="F67" s="149"/>
      <c r="G67" s="148"/>
      <c r="H67" s="150"/>
      <c r="I67" s="150"/>
      <c r="J67" s="153"/>
    </row>
    <row r="68" spans="1:10" ht="15.75" customHeight="1" x14ac:dyDescent="0.25">
      <c r="A68" s="144"/>
      <c r="B68" s="145"/>
      <c r="C68" s="146"/>
      <c r="D68" s="147"/>
      <c r="E68" s="148"/>
      <c r="F68" s="149"/>
      <c r="G68" s="148"/>
      <c r="H68" s="150"/>
      <c r="I68" s="150"/>
      <c r="J68" s="153"/>
    </row>
    <row r="69" spans="1:10" ht="15.75" customHeight="1" x14ac:dyDescent="0.25">
      <c r="A69" s="144"/>
      <c r="B69" s="145"/>
      <c r="C69" s="146"/>
      <c r="D69" s="147"/>
      <c r="E69" s="148"/>
      <c r="F69" s="149"/>
      <c r="G69" s="148"/>
      <c r="H69" s="150"/>
      <c r="I69" s="150"/>
      <c r="J69" s="153"/>
    </row>
    <row r="70" spans="1:10" ht="15.75" customHeight="1" x14ac:dyDescent="0.25">
      <c r="A70" s="144"/>
      <c r="B70" s="144"/>
      <c r="C70" s="154"/>
      <c r="D70" s="147"/>
      <c r="E70" s="148"/>
      <c r="F70" s="149"/>
      <c r="G70" s="148"/>
      <c r="H70" s="150"/>
      <c r="I70" s="150"/>
      <c r="J70" s="155"/>
    </row>
    <row r="71" spans="1:10" ht="15.75" customHeight="1" x14ac:dyDescent="0.25">
      <c r="A71" s="156"/>
      <c r="B71" s="157"/>
      <c r="C71" s="158"/>
      <c r="D71" s="159"/>
      <c r="E71" s="160"/>
      <c r="F71" s="161"/>
      <c r="G71" s="162"/>
      <c r="H71" s="163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56"/>
      <c r="B74" s="157"/>
      <c r="C74" s="165"/>
      <c r="D74" s="147"/>
      <c r="E74" s="166"/>
      <c r="F74" s="149"/>
      <c r="G74" s="162"/>
      <c r="H74" s="150"/>
      <c r="I74" s="164"/>
      <c r="J74" s="155"/>
    </row>
    <row r="75" spans="1:10" ht="15.75" customHeight="1" x14ac:dyDescent="0.25">
      <c r="A75" s="156"/>
      <c r="B75" s="157"/>
      <c r="C75" s="165"/>
      <c r="D75" s="147"/>
      <c r="E75" s="166"/>
      <c r="F75" s="149"/>
      <c r="G75" s="162"/>
      <c r="H75" s="150"/>
      <c r="I75" s="164"/>
      <c r="J75" s="155"/>
    </row>
    <row r="76" spans="1:10" ht="15.75" customHeight="1" x14ac:dyDescent="0.25">
      <c r="A76" s="167"/>
      <c r="B76" s="168"/>
      <c r="C76" s="169"/>
      <c r="D76" s="170"/>
      <c r="E76" s="171"/>
      <c r="F76" s="172"/>
      <c r="G76" s="173"/>
      <c r="H76" s="174"/>
      <c r="I76" s="175"/>
      <c r="J76" s="155"/>
    </row>
    <row r="77" spans="1:10" ht="15.75" customHeight="1" x14ac:dyDescent="0.25">
      <c r="A77" s="176"/>
      <c r="B77" s="157"/>
      <c r="C77" s="177"/>
      <c r="D77" s="178"/>
      <c r="E77" s="160"/>
      <c r="F77" s="161"/>
      <c r="G77" s="179">
        <f t="shared" ref="G77:G78" si="5">D77*F77</f>
        <v>0</v>
      </c>
      <c r="H77" s="180"/>
      <c r="I77" s="180">
        <f t="shared" ref="I77:I78" si="6">F77*H77*E77</f>
        <v>0</v>
      </c>
      <c r="J77" s="181"/>
    </row>
    <row r="78" spans="1:10" ht="15.75" customHeight="1" x14ac:dyDescent="0.25">
      <c r="A78" s="176"/>
      <c r="B78" s="157"/>
      <c r="C78" s="182"/>
      <c r="D78" s="183"/>
      <c r="E78" s="184"/>
      <c r="F78" s="183"/>
      <c r="G78" s="179">
        <f t="shared" si="5"/>
        <v>0</v>
      </c>
      <c r="H78" s="185"/>
      <c r="I78" s="180">
        <f t="shared" si="6"/>
        <v>0</v>
      </c>
      <c r="J78" s="181"/>
    </row>
    <row r="79" spans="1:10" ht="15.75" customHeight="1" x14ac:dyDescent="0.25">
      <c r="A79" s="186" t="s">
        <v>37</v>
      </c>
      <c r="B79" s="187"/>
      <c r="C79" s="188"/>
      <c r="D79" s="189"/>
      <c r="E79" s="190">
        <f>SUM(E64:E78)</f>
        <v>42</v>
      </c>
      <c r="F79" s="191">
        <f>SUM(F64:F76)</f>
        <v>36</v>
      </c>
      <c r="G79" s="192">
        <f>SUM(G64:G71)</f>
        <v>151.20000000000002</v>
      </c>
      <c r="H79" s="193"/>
      <c r="I79" s="193">
        <f>SUM(I64:I72)</f>
        <v>61576.200000000004</v>
      </c>
      <c r="J79" s="194"/>
    </row>
    <row r="80" spans="1:10" ht="15.75" customHeight="1" x14ac:dyDescent="0.25">
      <c r="A80" s="1"/>
      <c r="B80" s="89"/>
      <c r="C80" s="40"/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195" t="s">
        <v>41</v>
      </c>
      <c r="B81" s="196" t="s">
        <v>42</v>
      </c>
      <c r="C81" s="197" t="s">
        <v>43</v>
      </c>
      <c r="D81" s="38"/>
      <c r="E81" s="38"/>
      <c r="F81" s="38"/>
      <c r="G81" s="38"/>
      <c r="H81" s="1"/>
      <c r="I81" s="1"/>
      <c r="J81" s="1"/>
    </row>
    <row r="82" spans="1:10" ht="15.75" customHeight="1" x14ac:dyDescent="0.25">
      <c r="A82" s="198"/>
      <c r="B82" s="199">
        <f>E12+G79</f>
        <v>151.20000000000002</v>
      </c>
      <c r="C82" s="200">
        <f>I12+H79+I79</f>
        <v>61576.200000000004</v>
      </c>
      <c r="D82" s="38"/>
      <c r="E82" s="38"/>
      <c r="F82" s="38"/>
      <c r="G82" s="38"/>
      <c r="H82" s="1"/>
      <c r="I82" s="1"/>
      <c r="J82" s="1"/>
    </row>
    <row r="83" spans="1:10" ht="15.75" customHeight="1" x14ac:dyDescent="0.25">
      <c r="A83" s="378" t="s">
        <v>44</v>
      </c>
      <c r="B83" s="376"/>
      <c r="C83" s="376"/>
      <c r="D83" s="376"/>
      <c r="E83" s="376"/>
      <c r="F83" s="376"/>
      <c r="G83" s="376"/>
      <c r="H83" s="376"/>
      <c r="I83" s="286"/>
      <c r="J83" s="53"/>
    </row>
    <row r="84" spans="1:10" ht="15.75" customHeight="1" x14ac:dyDescent="0.25">
      <c r="A84" s="202" t="s">
        <v>2</v>
      </c>
      <c r="B84" s="203" t="s">
        <v>45</v>
      </c>
      <c r="C84" s="204" t="s">
        <v>130</v>
      </c>
      <c r="D84" s="205" t="s">
        <v>4</v>
      </c>
      <c r="E84" s="206" t="s">
        <v>47</v>
      </c>
      <c r="F84" s="207" t="s">
        <v>48</v>
      </c>
      <c r="G84" s="206" t="s">
        <v>10</v>
      </c>
      <c r="H84" s="287" t="s">
        <v>49</v>
      </c>
      <c r="I84" s="286"/>
      <c r="J84" s="53"/>
    </row>
    <row r="85" spans="1:10" ht="15.75" customHeight="1" x14ac:dyDescent="0.25">
      <c r="A85" s="208"/>
      <c r="B85" s="55"/>
      <c r="C85" s="58"/>
      <c r="D85" s="219"/>
      <c r="E85" s="313"/>
      <c r="F85" s="57"/>
      <c r="G85" s="211"/>
      <c r="H85" s="301"/>
      <c r="I85" s="286"/>
      <c r="J85" s="53"/>
    </row>
    <row r="86" spans="1:10" ht="15.75" customHeight="1" x14ac:dyDescent="0.25">
      <c r="A86" s="208"/>
      <c r="B86" s="55"/>
      <c r="C86" s="58"/>
      <c r="D86" s="219"/>
      <c r="E86" s="210"/>
      <c r="F86" s="57"/>
      <c r="G86" s="211"/>
      <c r="H86" s="301"/>
      <c r="I86" s="311"/>
      <c r="J86" s="53"/>
    </row>
    <row r="87" spans="1:10" ht="15.75" customHeight="1" x14ac:dyDescent="0.25">
      <c r="A87" s="213"/>
      <c r="B87" s="55"/>
      <c r="C87" s="58"/>
      <c r="D87" s="219"/>
      <c r="E87" s="269"/>
      <c r="F87" s="216"/>
      <c r="G87" s="211"/>
      <c r="H87" s="301"/>
      <c r="I87" s="1"/>
      <c r="J87" s="1"/>
    </row>
    <row r="88" spans="1:10" ht="15.75" customHeight="1" x14ac:dyDescent="0.25">
      <c r="A88" s="213"/>
      <c r="B88" s="55"/>
      <c r="C88" s="214"/>
      <c r="D88" s="215"/>
      <c r="E88" s="269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69"/>
      <c r="F89" s="216"/>
      <c r="G89" s="211"/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ref="G90:G92" si="7">F90+F1208</f>
        <v>0</v>
      </c>
      <c r="H90" s="212"/>
      <c r="I90" s="1"/>
      <c r="J90" s="1"/>
    </row>
    <row r="91" spans="1:10" ht="15.75" customHeight="1" x14ac:dyDescent="0.25">
      <c r="A91" s="213"/>
      <c r="B91" s="55"/>
      <c r="C91" s="214"/>
      <c r="D91" s="219"/>
      <c r="E91" s="220"/>
      <c r="F91" s="216"/>
      <c r="G91" s="211">
        <f t="shared" si="7"/>
        <v>0</v>
      </c>
      <c r="H91" s="212"/>
      <c r="I91" s="1"/>
      <c r="J91" s="1"/>
    </row>
    <row r="92" spans="1:10" ht="15.75" customHeight="1" x14ac:dyDescent="0.25">
      <c r="A92" s="213"/>
      <c r="B92" s="55"/>
      <c r="C92" s="214"/>
      <c r="D92" s="219"/>
      <c r="E92" s="220"/>
      <c r="F92" s="216"/>
      <c r="G92" s="211">
        <f t="shared" si="7"/>
        <v>0</v>
      </c>
      <c r="H92" s="221"/>
      <c r="I92" s="1"/>
      <c r="J92" s="1"/>
    </row>
    <row r="93" spans="1:10" ht="15.75" customHeight="1" x14ac:dyDescent="0.25">
      <c r="A93" s="222" t="s">
        <v>37</v>
      </c>
      <c r="B93" s="223"/>
      <c r="C93" s="224"/>
      <c r="D93" s="225"/>
      <c r="E93" s="226">
        <f>SUM(E85:E92)</f>
        <v>0</v>
      </c>
      <c r="F93" s="227"/>
      <c r="G93" s="228">
        <f>SUM(G85:G92)</f>
        <v>0</v>
      </c>
      <c r="H93" s="228"/>
      <c r="I93" s="1"/>
      <c r="J93" s="1"/>
    </row>
    <row r="94" spans="1:10" ht="15.75" customHeight="1" x14ac:dyDescent="0.25">
      <c r="A94" s="38"/>
      <c r="B94" s="89"/>
      <c r="C94" s="40"/>
      <c r="D94" s="38"/>
      <c r="E94" s="38"/>
      <c r="F94" s="38"/>
      <c r="G94" s="38"/>
      <c r="H94" s="38"/>
      <c r="I94" s="1"/>
      <c r="J94" s="1"/>
    </row>
    <row r="95" spans="1:10" ht="15.75" customHeight="1" x14ac:dyDescent="0.25">
      <c r="A95" s="369" t="s">
        <v>50</v>
      </c>
      <c r="B95" s="370"/>
      <c r="C95" s="370"/>
      <c r="D95" s="370"/>
      <c r="E95" s="370"/>
      <c r="F95" s="370"/>
      <c r="G95" s="370"/>
      <c r="H95" s="370"/>
      <c r="I95" s="229"/>
      <c r="J95" s="1"/>
    </row>
    <row r="96" spans="1:10" ht="15.75" customHeight="1" x14ac:dyDescent="0.25">
      <c r="A96" s="202" t="s">
        <v>2</v>
      </c>
      <c r="B96" s="230" t="s">
        <v>45</v>
      </c>
      <c r="C96" s="231" t="s">
        <v>4</v>
      </c>
      <c r="D96" s="232" t="s">
        <v>51</v>
      </c>
      <c r="E96" s="232" t="s">
        <v>48</v>
      </c>
      <c r="F96" s="232" t="s">
        <v>10</v>
      </c>
      <c r="G96" s="206" t="s">
        <v>52</v>
      </c>
      <c r="H96" s="206"/>
      <c r="I96" s="1"/>
      <c r="J96" s="1"/>
    </row>
    <row r="97" spans="1:10" ht="15.75" customHeight="1" x14ac:dyDescent="0.25">
      <c r="A97" s="270"/>
      <c r="B97" s="271"/>
      <c r="C97" s="235"/>
      <c r="D97" s="236"/>
      <c r="E97" s="272"/>
      <c r="F97" s="273"/>
      <c r="G97" s="239"/>
      <c r="H97" s="240"/>
      <c r="I97" s="1"/>
      <c r="J97" s="1"/>
    </row>
    <row r="98" spans="1:10" ht="15.75" customHeight="1" x14ac:dyDescent="0.25">
      <c r="A98" s="241"/>
      <c r="B98" s="242"/>
      <c r="C98" s="243"/>
      <c r="D98" s="244"/>
      <c r="E98" s="245"/>
      <c r="F98" s="246">
        <f t="shared" ref="F98:F99" si="8">D98*E98</f>
        <v>0</v>
      </c>
      <c r="G98" s="247"/>
      <c r="H98" s="248"/>
      <c r="I98" s="1"/>
      <c r="J98" s="1"/>
    </row>
    <row r="99" spans="1:10" ht="15.75" customHeight="1" x14ac:dyDescent="0.25">
      <c r="A99" s="249"/>
      <c r="B99" s="250"/>
      <c r="C99" s="249"/>
      <c r="D99" s="249"/>
      <c r="E99" s="249"/>
      <c r="F99" s="246">
        <f t="shared" si="8"/>
        <v>0</v>
      </c>
      <c r="G99" s="249"/>
      <c r="H99" s="249"/>
      <c r="I99" s="1"/>
      <c r="J99" s="1"/>
    </row>
    <row r="100" spans="1:10" ht="15.75" customHeight="1" x14ac:dyDescent="0.25">
      <c r="A100" s="241"/>
      <c r="B100" s="250"/>
      <c r="C100" s="249"/>
      <c r="D100" s="251"/>
      <c r="E100" s="249"/>
      <c r="F100" s="252"/>
      <c r="G100" s="249"/>
      <c r="H100" s="249"/>
      <c r="I100" s="1"/>
      <c r="J100" s="1"/>
    </row>
    <row r="101" spans="1:10" ht="15.75" customHeight="1" x14ac:dyDescent="0.25">
      <c r="A101" s="1"/>
      <c r="B101" s="253"/>
      <c r="C101" s="1"/>
      <c r="D101" s="1"/>
      <c r="E101" s="1"/>
      <c r="F101" s="254"/>
      <c r="G101" s="1"/>
      <c r="H101" s="1"/>
      <c r="I101" s="255"/>
      <c r="J101" s="256"/>
    </row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95:H95"/>
    <mergeCell ref="A1:J1"/>
    <mergeCell ref="A2:J2"/>
    <mergeCell ref="A17:H17"/>
    <mergeCell ref="A40:H40"/>
    <mergeCell ref="A83:H8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1000"/>
  <sheetViews>
    <sheetView topLeftCell="A42" workbookViewId="0">
      <selection activeCell="F67" sqref="F67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 t="s">
        <v>172</v>
      </c>
      <c r="C4" s="261" t="s">
        <v>54</v>
      </c>
      <c r="D4" s="262">
        <v>0.2</v>
      </c>
      <c r="E4" s="263">
        <v>2</v>
      </c>
      <c r="F4" s="14"/>
      <c r="G4" s="264">
        <f t="shared" ref="G4:G23" si="0">E4*D4</f>
        <v>0.4</v>
      </c>
      <c r="H4" s="16">
        <v>75</v>
      </c>
      <c r="I4" s="16">
        <f t="shared" ref="I4:I23" si="1">H4*E4</f>
        <v>150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2</v>
      </c>
      <c r="F5" s="14"/>
      <c r="G5" s="264">
        <f t="shared" si="0"/>
        <v>0.4</v>
      </c>
      <c r="H5" s="16">
        <v>85</v>
      </c>
      <c r="I5" s="16">
        <f t="shared" si="1"/>
        <v>170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2</v>
      </c>
      <c r="F6" s="14"/>
      <c r="G6" s="264">
        <f t="shared" si="0"/>
        <v>0.22</v>
      </c>
      <c r="H6" s="16">
        <v>35</v>
      </c>
      <c r="I6" s="16">
        <f t="shared" si="1"/>
        <v>70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2</v>
      </c>
      <c r="F7" s="14"/>
      <c r="G7" s="264">
        <f t="shared" si="0"/>
        <v>0.22</v>
      </c>
      <c r="H7" s="16">
        <v>35</v>
      </c>
      <c r="I7" s="16">
        <f t="shared" si="1"/>
        <v>70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2</v>
      </c>
      <c r="F8" s="14"/>
      <c r="G8" s="264">
        <f t="shared" si="0"/>
        <v>0.22</v>
      </c>
      <c r="H8" s="16">
        <v>35</v>
      </c>
      <c r="I8" s="16">
        <f t="shared" si="1"/>
        <v>70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2</v>
      </c>
      <c r="F9" s="14"/>
      <c r="G9" s="264">
        <f t="shared" si="0"/>
        <v>0.22</v>
      </c>
      <c r="H9" s="16">
        <v>35</v>
      </c>
      <c r="I9" s="16">
        <f t="shared" si="1"/>
        <v>70</v>
      </c>
      <c r="J9" s="17"/>
    </row>
    <row r="10" spans="1:10" ht="15.75" x14ac:dyDescent="0.25">
      <c r="A10" s="10" t="s">
        <v>53</v>
      </c>
      <c r="B10" s="260" t="s">
        <v>172</v>
      </c>
      <c r="C10" s="260" t="s">
        <v>225</v>
      </c>
      <c r="D10" s="262">
        <v>0.2</v>
      </c>
      <c r="E10" s="263">
        <v>2</v>
      </c>
      <c r="F10" s="14"/>
      <c r="G10" s="264">
        <f t="shared" si="0"/>
        <v>0.4</v>
      </c>
      <c r="H10" s="16">
        <v>75</v>
      </c>
      <c r="I10" s="16">
        <f t="shared" si="1"/>
        <v>150</v>
      </c>
      <c r="J10" s="17"/>
    </row>
    <row r="11" spans="1:10" ht="15.75" x14ac:dyDescent="0.25">
      <c r="A11" s="10"/>
      <c r="B11" s="27"/>
      <c r="C11" s="260" t="s">
        <v>225</v>
      </c>
      <c r="D11" s="262">
        <v>0.2</v>
      </c>
      <c r="E11" s="263">
        <v>2</v>
      </c>
      <c r="F11" s="14"/>
      <c r="G11" s="264">
        <f t="shared" si="0"/>
        <v>0.4</v>
      </c>
      <c r="H11" s="16">
        <v>75</v>
      </c>
      <c r="I11" s="16">
        <f t="shared" si="1"/>
        <v>150</v>
      </c>
      <c r="J11" s="17"/>
    </row>
    <row r="12" spans="1:10" ht="15.75" x14ac:dyDescent="0.25">
      <c r="A12" s="10"/>
      <c r="B12" s="27"/>
      <c r="C12" s="261" t="s">
        <v>54</v>
      </c>
      <c r="D12" s="262">
        <v>0.2</v>
      </c>
      <c r="E12" s="263">
        <v>2</v>
      </c>
      <c r="F12" s="14"/>
      <c r="G12" s="264">
        <f t="shared" si="0"/>
        <v>0.4</v>
      </c>
      <c r="H12" s="16">
        <v>75</v>
      </c>
      <c r="I12" s="16">
        <f t="shared" si="1"/>
        <v>150</v>
      </c>
      <c r="J12" s="17"/>
    </row>
    <row r="13" spans="1:10" ht="15.75" x14ac:dyDescent="0.25">
      <c r="A13" s="10"/>
      <c r="B13" s="27"/>
      <c r="C13" s="261" t="s">
        <v>55</v>
      </c>
      <c r="D13" s="262">
        <v>0.2</v>
      </c>
      <c r="E13" s="263">
        <v>2</v>
      </c>
      <c r="F13" s="14"/>
      <c r="G13" s="264">
        <f t="shared" si="0"/>
        <v>0.4</v>
      </c>
      <c r="H13" s="16">
        <v>85</v>
      </c>
      <c r="I13" s="16">
        <f t="shared" si="1"/>
        <v>170</v>
      </c>
      <c r="J13" s="17"/>
    </row>
    <row r="14" spans="1:10" ht="15.75" x14ac:dyDescent="0.25">
      <c r="A14" s="10"/>
      <c r="B14" s="27"/>
      <c r="C14" s="261" t="s">
        <v>56</v>
      </c>
      <c r="D14" s="262">
        <v>0.11</v>
      </c>
      <c r="E14" s="263">
        <v>1</v>
      </c>
      <c r="F14" s="14"/>
      <c r="G14" s="264">
        <f t="shared" si="0"/>
        <v>0.11</v>
      </c>
      <c r="H14" s="16">
        <v>35</v>
      </c>
      <c r="I14" s="16">
        <f t="shared" si="1"/>
        <v>35</v>
      </c>
      <c r="J14" s="17"/>
    </row>
    <row r="15" spans="1:10" ht="15.75" x14ac:dyDescent="0.25">
      <c r="A15" s="10"/>
      <c r="B15" s="27"/>
      <c r="C15" s="261" t="s">
        <v>57</v>
      </c>
      <c r="D15" s="262">
        <v>0.11</v>
      </c>
      <c r="E15" s="263">
        <v>1</v>
      </c>
      <c r="F15" s="14"/>
      <c r="G15" s="264">
        <f t="shared" si="0"/>
        <v>0.11</v>
      </c>
      <c r="H15" s="16">
        <v>35</v>
      </c>
      <c r="I15" s="16">
        <f t="shared" si="1"/>
        <v>35</v>
      </c>
      <c r="J15" s="17"/>
    </row>
    <row r="16" spans="1:10" ht="15.75" x14ac:dyDescent="0.25">
      <c r="A16" s="10"/>
      <c r="B16" s="27"/>
      <c r="C16" s="261" t="s">
        <v>58</v>
      </c>
      <c r="D16" s="262">
        <v>0.11</v>
      </c>
      <c r="E16" s="263">
        <v>1</v>
      </c>
      <c r="F16" s="14"/>
      <c r="G16" s="264">
        <f t="shared" si="0"/>
        <v>0.11</v>
      </c>
      <c r="H16" s="16">
        <v>35</v>
      </c>
      <c r="I16" s="16">
        <f t="shared" si="1"/>
        <v>35</v>
      </c>
      <c r="J16" s="17"/>
    </row>
    <row r="17" spans="1:10" ht="15.75" x14ac:dyDescent="0.25">
      <c r="A17" s="10"/>
      <c r="B17" s="27"/>
      <c r="C17" s="261" t="s">
        <v>59</v>
      </c>
      <c r="D17" s="262">
        <v>0.11</v>
      </c>
      <c r="E17" s="263">
        <v>1</v>
      </c>
      <c r="F17" s="14"/>
      <c r="G17" s="264">
        <f t="shared" si="0"/>
        <v>0.11</v>
      </c>
      <c r="H17" s="16">
        <v>35</v>
      </c>
      <c r="I17" s="16">
        <f t="shared" si="1"/>
        <v>35</v>
      </c>
      <c r="J17" s="17"/>
    </row>
    <row r="18" spans="1:10" ht="15.75" x14ac:dyDescent="0.25">
      <c r="A18" s="10" t="s">
        <v>53</v>
      </c>
      <c r="B18" s="260" t="s">
        <v>172</v>
      </c>
      <c r="C18" s="261" t="s">
        <v>54</v>
      </c>
      <c r="D18" s="262">
        <v>0.2</v>
      </c>
      <c r="E18" s="13">
        <v>5</v>
      </c>
      <c r="F18" s="14"/>
      <c r="G18" s="264">
        <f t="shared" si="0"/>
        <v>1</v>
      </c>
      <c r="H18" s="16">
        <v>75</v>
      </c>
      <c r="I18" s="16">
        <f t="shared" si="1"/>
        <v>375</v>
      </c>
      <c r="J18" s="17"/>
    </row>
    <row r="19" spans="1:10" ht="15.75" x14ac:dyDescent="0.25">
      <c r="A19" s="326"/>
      <c r="B19" s="27"/>
      <c r="C19" s="261" t="s">
        <v>55</v>
      </c>
      <c r="D19" s="262">
        <v>0.2</v>
      </c>
      <c r="E19" s="13">
        <v>5</v>
      </c>
      <c r="F19" s="14"/>
      <c r="G19" s="264">
        <f t="shared" si="0"/>
        <v>1</v>
      </c>
      <c r="H19" s="16">
        <v>85</v>
      </c>
      <c r="I19" s="16">
        <f t="shared" si="1"/>
        <v>425</v>
      </c>
      <c r="J19" s="327"/>
    </row>
    <row r="20" spans="1:10" ht="15.75" x14ac:dyDescent="0.25">
      <c r="A20" s="326"/>
      <c r="B20" s="27"/>
      <c r="C20" s="261" t="s">
        <v>56</v>
      </c>
      <c r="D20" s="262">
        <v>0.11</v>
      </c>
      <c r="E20" s="13">
        <v>5</v>
      </c>
      <c r="F20" s="14"/>
      <c r="G20" s="264">
        <f t="shared" si="0"/>
        <v>0.55000000000000004</v>
      </c>
      <c r="H20" s="16">
        <v>35</v>
      </c>
      <c r="I20" s="16">
        <f t="shared" si="1"/>
        <v>175</v>
      </c>
      <c r="J20" s="327"/>
    </row>
    <row r="21" spans="1:10" ht="15.75" customHeight="1" x14ac:dyDescent="0.25">
      <c r="A21" s="326"/>
      <c r="B21" s="27"/>
      <c r="C21" s="261" t="s">
        <v>57</v>
      </c>
      <c r="D21" s="262">
        <v>0.11</v>
      </c>
      <c r="E21" s="13">
        <v>5</v>
      </c>
      <c r="F21" s="14"/>
      <c r="G21" s="264">
        <f t="shared" si="0"/>
        <v>0.55000000000000004</v>
      </c>
      <c r="H21" s="16">
        <v>35</v>
      </c>
      <c r="I21" s="16">
        <f t="shared" si="1"/>
        <v>175</v>
      </c>
      <c r="J21" s="327"/>
    </row>
    <row r="22" spans="1:10" ht="15.75" customHeight="1" x14ac:dyDescent="0.25">
      <c r="A22" s="326"/>
      <c r="B22" s="27"/>
      <c r="C22" s="261" t="s">
        <v>58</v>
      </c>
      <c r="D22" s="262">
        <v>0.11</v>
      </c>
      <c r="E22" s="13">
        <v>5</v>
      </c>
      <c r="F22" s="14"/>
      <c r="G22" s="264">
        <f t="shared" si="0"/>
        <v>0.55000000000000004</v>
      </c>
      <c r="H22" s="16">
        <v>35</v>
      </c>
      <c r="I22" s="16">
        <f t="shared" si="1"/>
        <v>175</v>
      </c>
      <c r="J22" s="327"/>
    </row>
    <row r="23" spans="1:10" ht="15.75" customHeight="1" x14ac:dyDescent="0.25">
      <c r="A23" s="326"/>
      <c r="B23" s="27"/>
      <c r="C23" s="261" t="s">
        <v>59</v>
      </c>
      <c r="D23" s="262">
        <v>0.11</v>
      </c>
      <c r="E23" s="13">
        <v>5</v>
      </c>
      <c r="F23" s="14"/>
      <c r="G23" s="264">
        <f t="shared" si="0"/>
        <v>0.55000000000000004</v>
      </c>
      <c r="H23" s="16">
        <v>35</v>
      </c>
      <c r="I23" s="16">
        <f t="shared" si="1"/>
        <v>175</v>
      </c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2">SUM(E4:E26)</f>
        <v>54</v>
      </c>
      <c r="F27" s="33">
        <f t="shared" si="2"/>
        <v>0</v>
      </c>
      <c r="G27" s="34">
        <f t="shared" si="2"/>
        <v>7.9199999999999982</v>
      </c>
      <c r="H27" s="35"/>
      <c r="I27" s="36">
        <f>SUM(I4:I26)</f>
        <v>2860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325520.44999999995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 t="s">
        <v>226</v>
      </c>
      <c r="B35" s="62"/>
      <c r="C35" s="63">
        <v>3100</v>
      </c>
      <c r="D35" s="63">
        <v>3100</v>
      </c>
      <c r="E35" s="64"/>
      <c r="F35" s="65"/>
      <c r="G35" s="66"/>
      <c r="H35" s="67">
        <f t="shared" ref="H35:H36" si="3">F35*G35</f>
        <v>0</v>
      </c>
      <c r="I35" s="284" t="s">
        <v>227</v>
      </c>
      <c r="J35" s="284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/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/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/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76" t="s">
        <v>108</v>
      </c>
      <c r="B42" s="62"/>
      <c r="C42" s="63">
        <v>4000</v>
      </c>
      <c r="D42" s="63">
        <v>4000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228</v>
      </c>
      <c r="B43" s="62"/>
      <c r="C43" s="63">
        <v>10000</v>
      </c>
      <c r="D43" s="63">
        <v>10000</v>
      </c>
      <c r="E43" s="71"/>
      <c r="F43" s="73"/>
      <c r="G43" s="74"/>
      <c r="H43" s="67">
        <f t="shared" ref="H43:H52" si="4">F43*G43</f>
        <v>0</v>
      </c>
      <c r="I43" s="1"/>
      <c r="J43" s="1"/>
    </row>
    <row r="44" spans="1:10" ht="15.75" customHeight="1" x14ac:dyDescent="0.25">
      <c r="A44" s="64" t="s">
        <v>229</v>
      </c>
      <c r="B44" s="62"/>
      <c r="C44" s="63"/>
      <c r="D44" s="63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4"/>
        <v>0</v>
      </c>
      <c r="I49" s="309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1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4"/>
        <v>0</v>
      </c>
      <c r="I51" s="1"/>
      <c r="J51" s="1"/>
    </row>
    <row r="52" spans="1:10" ht="15.75" customHeight="1" x14ac:dyDescent="0.25">
      <c r="A52" s="78"/>
      <c r="B52" s="62"/>
      <c r="C52" s="63"/>
      <c r="D52" s="79"/>
      <c r="E52" s="80" t="s">
        <v>21</v>
      </c>
      <c r="F52" s="73"/>
      <c r="G52" s="74"/>
      <c r="H52" s="67">
        <f t="shared" si="4"/>
        <v>0</v>
      </c>
      <c r="I52" s="81"/>
      <c r="J52" s="81"/>
    </row>
    <row r="53" spans="1:10" ht="15.75" customHeight="1" x14ac:dyDescent="0.25">
      <c r="A53" s="82" t="s">
        <v>22</v>
      </c>
      <c r="B53" s="83"/>
      <c r="C53" s="84"/>
      <c r="D53" s="85">
        <f>SUM(D35,D36:D39,D34,)-SUM(D42:D52,)</f>
        <v>314620.44999999995</v>
      </c>
      <c r="E53" s="82" t="s">
        <v>22</v>
      </c>
      <c r="F53" s="86"/>
      <c r="G53" s="84"/>
      <c r="H53" s="87">
        <f>SUM(H34+H40-H52)</f>
        <v>0</v>
      </c>
      <c r="I53" s="1"/>
      <c r="J53" s="1"/>
    </row>
    <row r="54" spans="1:10" ht="15.75" customHeight="1" x14ac:dyDescent="0.25">
      <c r="A54" s="88"/>
      <c r="B54" s="89"/>
      <c r="C54" s="40"/>
      <c r="D54" s="38"/>
      <c r="E54" s="38"/>
      <c r="F54" s="38"/>
      <c r="G54" s="1"/>
      <c r="H54" s="1"/>
      <c r="I54" s="1"/>
      <c r="J54" s="1"/>
    </row>
    <row r="55" spans="1:10" ht="15.75" customHeight="1" x14ac:dyDescent="0.25">
      <c r="A55" s="377" t="s">
        <v>23</v>
      </c>
      <c r="B55" s="376"/>
      <c r="C55" s="376"/>
      <c r="D55" s="376"/>
      <c r="E55" s="376"/>
      <c r="F55" s="376"/>
      <c r="G55" s="376"/>
      <c r="H55" s="376"/>
      <c r="I55" s="1"/>
      <c r="J55" s="1"/>
    </row>
    <row r="56" spans="1:10" ht="15.75" customHeight="1" x14ac:dyDescent="0.25">
      <c r="A56" s="90" t="s">
        <v>24</v>
      </c>
      <c r="B56" s="274" t="s">
        <v>24</v>
      </c>
      <c r="C56" s="274"/>
      <c r="D56" s="44"/>
      <c r="E56" s="91" t="s">
        <v>25</v>
      </c>
      <c r="F56" s="51"/>
      <c r="G56" s="51"/>
      <c r="H56" s="44"/>
      <c r="I56" s="1"/>
      <c r="J56" s="1"/>
    </row>
    <row r="57" spans="1:10" ht="15.75" customHeight="1" x14ac:dyDescent="0.25">
      <c r="A57" s="92" t="s">
        <v>17</v>
      </c>
      <c r="B57" s="275"/>
      <c r="C57" s="285">
        <v>32648.25</v>
      </c>
      <c r="D57" s="51"/>
      <c r="E57" s="94" t="s">
        <v>17</v>
      </c>
      <c r="F57" s="44"/>
      <c r="G57" s="95">
        <v>1890.2</v>
      </c>
      <c r="H57" s="44"/>
      <c r="I57" s="1"/>
      <c r="J57" s="1"/>
    </row>
    <row r="58" spans="1:10" ht="15.75" customHeight="1" x14ac:dyDescent="0.25">
      <c r="A58" s="96" t="s">
        <v>26</v>
      </c>
      <c r="B58" s="44"/>
      <c r="C58" s="96" t="s">
        <v>27</v>
      </c>
      <c r="D58" s="44"/>
      <c r="E58" s="96" t="s">
        <v>26</v>
      </c>
      <c r="F58" s="44"/>
      <c r="G58" s="96" t="s">
        <v>27</v>
      </c>
      <c r="H58" s="44"/>
      <c r="I58" s="81"/>
      <c r="J58" s="81"/>
    </row>
    <row r="59" spans="1:10" ht="15.75" customHeight="1" x14ac:dyDescent="0.25">
      <c r="A59" s="97" t="s">
        <v>28</v>
      </c>
      <c r="B59" s="97" t="s">
        <v>10</v>
      </c>
      <c r="C59" s="97" t="s">
        <v>29</v>
      </c>
      <c r="D59" s="97" t="s">
        <v>10</v>
      </c>
      <c r="E59" s="97" t="s">
        <v>28</v>
      </c>
      <c r="F59" s="97" t="s">
        <v>10</v>
      </c>
      <c r="G59" s="97" t="s">
        <v>30</v>
      </c>
      <c r="H59" s="97" t="s">
        <v>10</v>
      </c>
      <c r="I59" s="81"/>
      <c r="J59" s="81"/>
    </row>
    <row r="60" spans="1:10" ht="15.75" customHeight="1" x14ac:dyDescent="0.25">
      <c r="A60" s="98" t="s">
        <v>230</v>
      </c>
      <c r="B60" s="276">
        <v>7094</v>
      </c>
      <c r="C60" s="100" t="s">
        <v>32</v>
      </c>
      <c r="D60" s="101">
        <v>250</v>
      </c>
      <c r="E60" s="102" t="s">
        <v>92</v>
      </c>
      <c r="F60" s="103">
        <v>705600</v>
      </c>
      <c r="G60" s="104" t="s">
        <v>195</v>
      </c>
      <c r="H60" s="103">
        <v>705600</v>
      </c>
      <c r="I60" s="81"/>
      <c r="J60" s="81"/>
    </row>
    <row r="61" spans="1:10" ht="15.75" customHeight="1" x14ac:dyDescent="0.25">
      <c r="A61" s="277" t="s">
        <v>231</v>
      </c>
      <c r="B61" s="276">
        <v>100000</v>
      </c>
      <c r="C61" s="106" t="s">
        <v>232</v>
      </c>
      <c r="D61" s="101">
        <v>500</v>
      </c>
      <c r="E61" s="104"/>
      <c r="F61" s="103"/>
      <c r="G61" s="104"/>
      <c r="H61" s="103"/>
      <c r="I61" s="81"/>
      <c r="J61" s="81"/>
    </row>
    <row r="62" spans="1:10" ht="15.75" customHeight="1" x14ac:dyDescent="0.25">
      <c r="A62" s="105" t="s">
        <v>233</v>
      </c>
      <c r="B62" s="278">
        <v>705600</v>
      </c>
      <c r="C62" s="107" t="s">
        <v>234</v>
      </c>
      <c r="D62" s="101">
        <v>1938</v>
      </c>
      <c r="E62" s="104"/>
      <c r="F62" s="103"/>
      <c r="G62" s="108"/>
      <c r="H62" s="103"/>
      <c r="I62" s="81"/>
      <c r="J62" s="81"/>
    </row>
    <row r="63" spans="1:10" ht="15.75" customHeight="1" x14ac:dyDescent="0.25">
      <c r="A63" s="109"/>
      <c r="B63" s="278"/>
      <c r="C63" s="107" t="s">
        <v>235</v>
      </c>
      <c r="D63" s="101">
        <v>6170</v>
      </c>
      <c r="E63" s="102"/>
      <c r="F63" s="110"/>
      <c r="G63" s="108"/>
      <c r="H63" s="103"/>
      <c r="I63" s="81"/>
      <c r="J63" s="81"/>
    </row>
    <row r="64" spans="1:10" ht="15.75" customHeight="1" x14ac:dyDescent="0.25">
      <c r="A64" s="111"/>
      <c r="B64" s="278"/>
      <c r="C64" s="107" t="s">
        <v>236</v>
      </c>
      <c r="D64" s="101">
        <v>9672.0400000000009</v>
      </c>
      <c r="E64" s="112"/>
      <c r="F64" s="113"/>
      <c r="G64" s="114"/>
      <c r="H64" s="114"/>
      <c r="I64" s="81"/>
      <c r="J64" s="81"/>
    </row>
    <row r="65" spans="1:10" ht="15.75" customHeight="1" x14ac:dyDescent="0.25">
      <c r="A65" s="111"/>
      <c r="B65" s="278"/>
      <c r="C65" s="107" t="s">
        <v>237</v>
      </c>
      <c r="D65" s="101">
        <v>14400</v>
      </c>
      <c r="E65" s="112"/>
      <c r="F65" s="113"/>
      <c r="G65" s="115"/>
      <c r="H65" s="114"/>
      <c r="I65" s="81"/>
      <c r="J65" s="81"/>
    </row>
    <row r="66" spans="1:10" ht="15.75" customHeight="1" x14ac:dyDescent="0.25">
      <c r="A66" s="116"/>
      <c r="B66" s="278"/>
      <c r="C66" s="107" t="s">
        <v>238</v>
      </c>
      <c r="D66" s="101">
        <v>48000</v>
      </c>
      <c r="E66" s="112"/>
      <c r="F66" s="112"/>
      <c r="G66" s="117"/>
      <c r="H66" s="114"/>
      <c r="I66" s="81"/>
      <c r="J66" s="81"/>
    </row>
    <row r="67" spans="1:10" ht="15.75" customHeight="1" x14ac:dyDescent="0.25">
      <c r="A67" s="118"/>
      <c r="B67" s="279"/>
      <c r="C67" s="107" t="s">
        <v>239</v>
      </c>
      <c r="D67" s="101">
        <v>64000</v>
      </c>
      <c r="E67" s="118"/>
      <c r="F67" s="112"/>
      <c r="G67" s="104"/>
      <c r="H67" s="114"/>
      <c r="I67" s="81"/>
      <c r="J67" s="81"/>
    </row>
    <row r="68" spans="1:10" ht="15.75" customHeight="1" x14ac:dyDescent="0.25">
      <c r="A68" s="118"/>
      <c r="B68" s="280"/>
      <c r="C68" s="104" t="s">
        <v>148</v>
      </c>
      <c r="D68" s="120">
        <v>78000</v>
      </c>
      <c r="E68" s="118"/>
      <c r="F68" s="112"/>
      <c r="G68" s="104"/>
      <c r="H68" s="114"/>
      <c r="I68" s="81"/>
      <c r="J68" s="81"/>
    </row>
    <row r="69" spans="1:10" ht="15.75" customHeight="1" x14ac:dyDescent="0.25">
      <c r="A69" s="118"/>
      <c r="B69" s="280"/>
      <c r="C69" s="104" t="s">
        <v>240</v>
      </c>
      <c r="D69" s="120">
        <v>135000</v>
      </c>
      <c r="E69" s="118"/>
      <c r="F69" s="112"/>
      <c r="G69" s="104"/>
      <c r="H69" s="114"/>
      <c r="I69" s="81"/>
      <c r="J69" s="81"/>
    </row>
    <row r="70" spans="1:10" ht="15.75" customHeight="1" x14ac:dyDescent="0.25">
      <c r="A70" s="118"/>
      <c r="B70" s="280"/>
      <c r="C70" s="104" t="s">
        <v>241</v>
      </c>
      <c r="D70" s="120">
        <v>192000</v>
      </c>
      <c r="E70" s="118"/>
      <c r="F70" s="112"/>
      <c r="G70" s="104"/>
      <c r="H70" s="114"/>
      <c r="I70" s="81"/>
      <c r="J70" s="81"/>
    </row>
    <row r="71" spans="1:10" ht="15.75" customHeight="1" x14ac:dyDescent="0.25">
      <c r="A71" s="118"/>
      <c r="B71" s="280"/>
      <c r="C71" s="104" t="s">
        <v>242</v>
      </c>
      <c r="D71" s="120">
        <v>0</v>
      </c>
      <c r="E71" s="118"/>
      <c r="F71" s="112"/>
      <c r="G71" s="104"/>
      <c r="H71" s="114"/>
      <c r="I71" s="81"/>
      <c r="J71" s="81"/>
    </row>
    <row r="72" spans="1:10" ht="15.75" customHeight="1" x14ac:dyDescent="0.25">
      <c r="A72" s="118"/>
      <c r="B72" s="119"/>
      <c r="C72" s="104"/>
      <c r="D72" s="120"/>
      <c r="E72" s="118"/>
      <c r="F72" s="112"/>
      <c r="G72" s="104"/>
      <c r="H72" s="114"/>
      <c r="I72" s="81"/>
      <c r="J72" s="81"/>
    </row>
    <row r="73" spans="1:10" ht="15.75" customHeight="1" x14ac:dyDescent="0.25">
      <c r="A73" s="121"/>
      <c r="B73" s="122">
        <f>SUM(B60:B72)+C57</f>
        <v>845342.25</v>
      </c>
      <c r="C73" s="123"/>
      <c r="D73" s="122">
        <f>SUM(D60:D72)</f>
        <v>549930.04</v>
      </c>
      <c r="E73" s="124"/>
      <c r="F73" s="124">
        <f>SUM(F60:F72)</f>
        <v>705600</v>
      </c>
      <c r="G73" s="124"/>
      <c r="H73" s="124">
        <f>SUM(H60:H72)</f>
        <v>705600</v>
      </c>
      <c r="I73" s="1"/>
      <c r="J73" s="1"/>
    </row>
    <row r="74" spans="1:10" ht="15.75" customHeight="1" x14ac:dyDescent="0.25">
      <c r="A74" s="125" t="s">
        <v>22</v>
      </c>
      <c r="B74" s="126">
        <f>B73-D73</f>
        <v>295412.20999999996</v>
      </c>
      <c r="C74" s="51"/>
      <c r="D74" s="44"/>
      <c r="E74" s="94" t="s">
        <v>22</v>
      </c>
      <c r="F74" s="95">
        <v>1890.2</v>
      </c>
      <c r="G74" s="51"/>
      <c r="H74" s="44"/>
      <c r="I74" s="1"/>
      <c r="J74" s="1"/>
    </row>
    <row r="75" spans="1:10" ht="15.75" customHeight="1" x14ac:dyDescent="0.25">
      <c r="A75" s="127" t="s">
        <v>37</v>
      </c>
      <c r="B75" s="44"/>
      <c r="C75" s="128">
        <v>297302.40999999997</v>
      </c>
      <c r="D75" s="51"/>
      <c r="E75" s="51"/>
      <c r="F75" s="51"/>
      <c r="G75" s="51"/>
      <c r="H75" s="44"/>
      <c r="I75" s="1"/>
      <c r="J75" s="1"/>
    </row>
    <row r="76" spans="1:10" ht="15.75" customHeight="1" x14ac:dyDescent="0.25">
      <c r="A76" s="38"/>
      <c r="B76" s="89"/>
      <c r="C76" s="40"/>
      <c r="D76" s="38"/>
      <c r="E76" s="38"/>
      <c r="F76" s="38"/>
      <c r="G76" s="38"/>
      <c r="H76" s="88"/>
      <c r="I76" s="129"/>
      <c r="J76" s="129"/>
    </row>
    <row r="77" spans="1:10" ht="15.75" customHeight="1" x14ac:dyDescent="0.25">
      <c r="A77" s="130"/>
      <c r="B77" s="131" t="s">
        <v>38</v>
      </c>
      <c r="D77" s="1"/>
      <c r="E77" s="38"/>
      <c r="F77" s="38"/>
      <c r="G77" s="38"/>
      <c r="H77" s="132"/>
      <c r="I77" s="1"/>
      <c r="J77" s="1"/>
    </row>
    <row r="78" spans="1:10" ht="15.75" customHeight="1" x14ac:dyDescent="0.25">
      <c r="A78" s="133" t="s">
        <v>2</v>
      </c>
      <c r="B78" s="134" t="s">
        <v>39</v>
      </c>
      <c r="C78" s="135" t="s">
        <v>4</v>
      </c>
      <c r="D78" s="136" t="s">
        <v>5</v>
      </c>
      <c r="E78" s="137" t="s">
        <v>6</v>
      </c>
      <c r="F78" s="138" t="s">
        <v>7</v>
      </c>
      <c r="G78" s="139" t="s">
        <v>8</v>
      </c>
      <c r="H78" s="140" t="s">
        <v>9</v>
      </c>
      <c r="I78" s="141" t="s">
        <v>10</v>
      </c>
      <c r="J78" s="142" t="s">
        <v>40</v>
      </c>
    </row>
    <row r="79" spans="1:10" ht="15.75" customHeight="1" x14ac:dyDescent="0.25">
      <c r="A79" s="144"/>
      <c r="B79" s="145"/>
      <c r="C79" s="267"/>
      <c r="D79" s="149"/>
      <c r="E79" s="148"/>
      <c r="F79" s="149"/>
      <c r="G79" s="148"/>
      <c r="H79" s="150"/>
      <c r="I79" s="150"/>
      <c r="J79" s="151"/>
    </row>
    <row r="80" spans="1:10" ht="15.75" customHeight="1" x14ac:dyDescent="0.25">
      <c r="A80" s="144"/>
      <c r="B80" s="145"/>
      <c r="C80" s="152"/>
      <c r="D80" s="149"/>
      <c r="E80" s="148"/>
      <c r="F80" s="149"/>
      <c r="G80" s="148"/>
      <c r="H80" s="150"/>
      <c r="I80" s="150"/>
      <c r="J80" s="318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153"/>
    </row>
    <row r="82" spans="1:10" ht="15.75" customHeight="1" x14ac:dyDescent="0.25">
      <c r="A82" s="144"/>
      <c r="B82" s="145"/>
      <c r="C82" s="152"/>
      <c r="D82" s="147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46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4"/>
      <c r="C85" s="154"/>
      <c r="D85" s="147"/>
      <c r="E85" s="148"/>
      <c r="F85" s="149"/>
      <c r="G85" s="148"/>
      <c r="H85" s="150"/>
      <c r="I85" s="150"/>
      <c r="J85" s="155"/>
    </row>
    <row r="86" spans="1:10" ht="15.75" customHeight="1" x14ac:dyDescent="0.25">
      <c r="A86" s="156"/>
      <c r="B86" s="157"/>
      <c r="C86" s="158"/>
      <c r="D86" s="159"/>
      <c r="E86" s="160"/>
      <c r="F86" s="161"/>
      <c r="G86" s="162"/>
      <c r="H86" s="163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67"/>
      <c r="B91" s="168"/>
      <c r="C91" s="169"/>
      <c r="D91" s="170"/>
      <c r="E91" s="171"/>
      <c r="F91" s="172"/>
      <c r="G91" s="173"/>
      <c r="H91" s="174"/>
      <c r="I91" s="175"/>
      <c r="J91" s="155"/>
    </row>
    <row r="92" spans="1:10" ht="15.75" customHeight="1" x14ac:dyDescent="0.25">
      <c r="A92" s="176"/>
      <c r="B92" s="157"/>
      <c r="C92" s="177"/>
      <c r="D92" s="178"/>
      <c r="E92" s="160"/>
      <c r="F92" s="161"/>
      <c r="G92" s="179">
        <f t="shared" ref="G92:G93" si="5">D92*F92</f>
        <v>0</v>
      </c>
      <c r="H92" s="180"/>
      <c r="I92" s="180">
        <f t="shared" ref="I92:I93" si="6">F92*H92*E92</f>
        <v>0</v>
      </c>
      <c r="J92" s="181"/>
    </row>
    <row r="93" spans="1:10" ht="15.75" customHeight="1" x14ac:dyDescent="0.25">
      <c r="A93" s="176"/>
      <c r="B93" s="157"/>
      <c r="C93" s="182"/>
      <c r="D93" s="183"/>
      <c r="E93" s="184"/>
      <c r="F93" s="183"/>
      <c r="G93" s="179">
        <f t="shared" si="5"/>
        <v>0</v>
      </c>
      <c r="H93" s="185"/>
      <c r="I93" s="180">
        <f t="shared" si="6"/>
        <v>0</v>
      </c>
      <c r="J93" s="181"/>
    </row>
    <row r="94" spans="1:10" ht="15.75" customHeight="1" x14ac:dyDescent="0.25">
      <c r="A94" s="186" t="s">
        <v>37</v>
      </c>
      <c r="B94" s="187"/>
      <c r="C94" s="188"/>
      <c r="D94" s="189"/>
      <c r="E94" s="190">
        <f>SUM(E79:E93)</f>
        <v>0</v>
      </c>
      <c r="F94" s="191">
        <f>SUM(F79:F91)</f>
        <v>0</v>
      </c>
      <c r="G94" s="192">
        <f>SUM(G79:G86)</f>
        <v>0</v>
      </c>
      <c r="H94" s="193"/>
      <c r="I94" s="193">
        <f>SUM(I79:I87)</f>
        <v>0</v>
      </c>
      <c r="J94" s="194"/>
    </row>
    <row r="95" spans="1:10" ht="15.75" customHeight="1" x14ac:dyDescent="0.25">
      <c r="A95" s="1"/>
      <c r="B95" s="89"/>
      <c r="C95" s="40"/>
      <c r="D95" s="38"/>
      <c r="E95" s="38"/>
      <c r="F95" s="38"/>
      <c r="G95" s="38"/>
      <c r="H95" s="1"/>
      <c r="I95" s="1"/>
      <c r="J95" s="1"/>
    </row>
    <row r="96" spans="1:10" ht="15.75" customHeight="1" x14ac:dyDescent="0.25">
      <c r="A96" s="195" t="s">
        <v>41</v>
      </c>
      <c r="B96" s="196" t="s">
        <v>42</v>
      </c>
      <c r="C96" s="197" t="s">
        <v>43</v>
      </c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8"/>
      <c r="B97" s="199">
        <f>E27+G94</f>
        <v>54</v>
      </c>
      <c r="C97" s="200">
        <f>I27+H94+I94</f>
        <v>2860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378" t="s">
        <v>44</v>
      </c>
      <c r="B98" s="376"/>
      <c r="C98" s="376"/>
      <c r="D98" s="376"/>
      <c r="E98" s="376"/>
      <c r="F98" s="376"/>
      <c r="G98" s="376"/>
      <c r="H98" s="376"/>
      <c r="I98" s="286"/>
      <c r="J98" s="53"/>
    </row>
    <row r="99" spans="1:10" ht="15.75" customHeight="1" x14ac:dyDescent="0.25">
      <c r="A99" s="202" t="s">
        <v>2</v>
      </c>
      <c r="B99" s="203" t="s">
        <v>45</v>
      </c>
      <c r="C99" s="204" t="s">
        <v>130</v>
      </c>
      <c r="D99" s="205" t="s">
        <v>4</v>
      </c>
      <c r="E99" s="206" t="s">
        <v>47</v>
      </c>
      <c r="F99" s="207" t="s">
        <v>48</v>
      </c>
      <c r="G99" s="206" t="s">
        <v>10</v>
      </c>
      <c r="H99" s="287" t="s">
        <v>49</v>
      </c>
      <c r="I99" s="286"/>
      <c r="J99" s="53"/>
    </row>
    <row r="100" spans="1:10" ht="15.75" customHeight="1" x14ac:dyDescent="0.25">
      <c r="A100" s="208"/>
      <c r="B100" s="55"/>
      <c r="C100" s="58"/>
      <c r="D100" s="219"/>
      <c r="E100" s="313"/>
      <c r="F100" s="57"/>
      <c r="G100" s="211"/>
      <c r="H100" s="301"/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210"/>
      <c r="F101" s="57"/>
      <c r="G101" s="211"/>
      <c r="H101" s="301"/>
      <c r="I101" s="311"/>
      <c r="J101" s="53"/>
    </row>
    <row r="102" spans="1:10" ht="15.75" customHeight="1" x14ac:dyDescent="0.25">
      <c r="A102" s="213"/>
      <c r="B102" s="55"/>
      <c r="C102" s="58"/>
      <c r="D102" s="219"/>
      <c r="E102" s="269"/>
      <c r="F102" s="216"/>
      <c r="G102" s="211"/>
      <c r="H102" s="301"/>
      <c r="I102" s="1"/>
      <c r="J102" s="1"/>
    </row>
    <row r="103" spans="1:10" ht="15.75" customHeight="1" x14ac:dyDescent="0.25">
      <c r="A103" s="213"/>
      <c r="B103" s="55"/>
      <c r="C103" s="214"/>
      <c r="D103" s="215"/>
      <c r="E103" s="269"/>
      <c r="F103" s="216"/>
      <c r="G103" s="211"/>
      <c r="H103" s="212"/>
      <c r="I103" s="1"/>
      <c r="J103" s="1"/>
    </row>
    <row r="104" spans="1:10" ht="15.75" customHeight="1" x14ac:dyDescent="0.25">
      <c r="A104" s="213"/>
      <c r="B104" s="55"/>
      <c r="C104" s="214"/>
      <c r="D104" s="219"/>
      <c r="E104" s="269"/>
      <c r="F104" s="216"/>
      <c r="G104" s="211"/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20"/>
      <c r="F105" s="216"/>
      <c r="G105" s="211">
        <f t="shared" ref="G105:G107" si="7">F105+F1223</f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21"/>
      <c r="I107" s="1"/>
      <c r="J107" s="1"/>
    </row>
    <row r="108" spans="1:10" ht="15.75" customHeight="1" x14ac:dyDescent="0.25">
      <c r="A108" s="222" t="s">
        <v>37</v>
      </c>
      <c r="B108" s="223"/>
      <c r="C108" s="224"/>
      <c r="D108" s="225"/>
      <c r="E108" s="226">
        <f>SUM(E100:E107)</f>
        <v>0</v>
      </c>
      <c r="F108" s="227"/>
      <c r="G108" s="228">
        <f>SUM(G100:G107)</f>
        <v>0</v>
      </c>
      <c r="H108" s="228"/>
      <c r="I108" s="1"/>
      <c r="J108" s="1"/>
    </row>
    <row r="109" spans="1:10" ht="15.75" customHeight="1" x14ac:dyDescent="0.25">
      <c r="A109" s="38"/>
      <c r="B109" s="89"/>
      <c r="C109" s="40"/>
      <c r="D109" s="38"/>
      <c r="E109" s="38"/>
      <c r="F109" s="38"/>
      <c r="G109" s="38"/>
      <c r="H109" s="38"/>
      <c r="I109" s="1"/>
      <c r="J109" s="1"/>
    </row>
    <row r="110" spans="1:10" ht="15.75" customHeight="1" x14ac:dyDescent="0.25">
      <c r="A110" s="369" t="s">
        <v>50</v>
      </c>
      <c r="B110" s="370"/>
      <c r="C110" s="370"/>
      <c r="D110" s="370"/>
      <c r="E110" s="370"/>
      <c r="F110" s="370"/>
      <c r="G110" s="370"/>
      <c r="H110" s="370"/>
      <c r="I110" s="229"/>
      <c r="J110" s="1"/>
    </row>
    <row r="111" spans="1:10" ht="15.75" customHeight="1" x14ac:dyDescent="0.25">
      <c r="A111" s="202" t="s">
        <v>2</v>
      </c>
      <c r="B111" s="230" t="s">
        <v>45</v>
      </c>
      <c r="C111" s="231" t="s">
        <v>4</v>
      </c>
      <c r="D111" s="232" t="s">
        <v>51</v>
      </c>
      <c r="E111" s="232" t="s">
        <v>48</v>
      </c>
      <c r="F111" s="232" t="s">
        <v>10</v>
      </c>
      <c r="G111" s="206" t="s">
        <v>52</v>
      </c>
      <c r="H111" s="206"/>
      <c r="I111" s="1"/>
      <c r="J111" s="1"/>
    </row>
    <row r="112" spans="1:10" ht="15.75" customHeight="1" x14ac:dyDescent="0.25">
      <c r="A112" s="270"/>
      <c r="B112" s="271"/>
      <c r="C112" s="235"/>
      <c r="D112" s="236"/>
      <c r="E112" s="272"/>
      <c r="F112" s="273"/>
      <c r="G112" s="239"/>
      <c r="H112" s="240"/>
      <c r="I112" s="1"/>
      <c r="J112" s="1"/>
    </row>
    <row r="113" spans="1:10" ht="15.75" customHeight="1" x14ac:dyDescent="0.25">
      <c r="A113" s="241"/>
      <c r="B113" s="242"/>
      <c r="C113" s="243"/>
      <c r="D113" s="244"/>
      <c r="E113" s="245"/>
      <c r="F113" s="246">
        <f t="shared" ref="F113:F114" si="8">D113*E113</f>
        <v>0</v>
      </c>
      <c r="G113" s="247"/>
      <c r="H113" s="248"/>
      <c r="I113" s="1"/>
      <c r="J113" s="1"/>
    </row>
    <row r="114" spans="1:10" ht="15.75" customHeight="1" x14ac:dyDescent="0.25">
      <c r="A114" s="249"/>
      <c r="B114" s="250"/>
      <c r="C114" s="249"/>
      <c r="D114" s="249"/>
      <c r="E114" s="249"/>
      <c r="F114" s="246">
        <f t="shared" si="8"/>
        <v>0</v>
      </c>
      <c r="G114" s="249"/>
      <c r="H114" s="249"/>
      <c r="I114" s="1"/>
      <c r="J114" s="1"/>
    </row>
    <row r="115" spans="1:10" ht="15.75" customHeight="1" x14ac:dyDescent="0.25">
      <c r="A115" s="241"/>
      <c r="B115" s="250"/>
      <c r="C115" s="249"/>
      <c r="D115" s="251"/>
      <c r="E115" s="249"/>
      <c r="F115" s="252"/>
      <c r="G115" s="249"/>
      <c r="H115" s="249"/>
      <c r="I115" s="1"/>
      <c r="J115" s="1"/>
    </row>
    <row r="116" spans="1:10" ht="15.75" customHeight="1" x14ac:dyDescent="0.25">
      <c r="A116" s="1"/>
      <c r="B116" s="253"/>
      <c r="C116" s="1"/>
      <c r="D116" s="1"/>
      <c r="E116" s="1"/>
      <c r="F116" s="254"/>
      <c r="G116" s="1"/>
      <c r="H116" s="1"/>
      <c r="I116" s="255"/>
      <c r="J116" s="256"/>
    </row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10:H110"/>
    <mergeCell ref="A1:J1"/>
    <mergeCell ref="A2:J2"/>
    <mergeCell ref="A32:H32"/>
    <mergeCell ref="A55:H55"/>
    <mergeCell ref="A98:H9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J1000"/>
  <sheetViews>
    <sheetView topLeftCell="A51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29.75" bestFit="1" customWidth="1"/>
    <col min="7" max="7" width="9.625" customWidth="1"/>
    <col min="8" max="8" width="11.125" customWidth="1"/>
    <col min="9" max="9" width="10.37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53</v>
      </c>
      <c r="B4" s="260" t="s">
        <v>172</v>
      </c>
      <c r="C4" s="261" t="s">
        <v>54</v>
      </c>
      <c r="D4" s="262">
        <v>0.2</v>
      </c>
      <c r="E4" s="263">
        <v>10</v>
      </c>
      <c r="F4" s="14"/>
      <c r="G4" s="264">
        <f t="shared" ref="G4:G9" si="0">E4*D4</f>
        <v>2</v>
      </c>
      <c r="H4" s="16">
        <v>75</v>
      </c>
      <c r="I4" s="16">
        <f t="shared" ref="I4:I9" si="1">H4*E4</f>
        <v>750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10</v>
      </c>
      <c r="F5" s="14"/>
      <c r="G5" s="264">
        <f t="shared" si="0"/>
        <v>2</v>
      </c>
      <c r="H5" s="16">
        <v>85</v>
      </c>
      <c r="I5" s="16">
        <f t="shared" si="1"/>
        <v>850</v>
      </c>
      <c r="J5" s="17"/>
    </row>
    <row r="6" spans="1:10" ht="15.75" x14ac:dyDescent="0.25">
      <c r="A6" s="10"/>
      <c r="B6" s="236"/>
      <c r="C6" s="261" t="s">
        <v>56</v>
      </c>
      <c r="D6" s="262">
        <v>0.11</v>
      </c>
      <c r="E6" s="263">
        <v>5</v>
      </c>
      <c r="F6" s="14"/>
      <c r="G6" s="264">
        <f t="shared" si="0"/>
        <v>0.55000000000000004</v>
      </c>
      <c r="H6" s="16">
        <v>35</v>
      </c>
      <c r="I6" s="16">
        <f t="shared" si="1"/>
        <v>175</v>
      </c>
      <c r="J6" s="17"/>
    </row>
    <row r="7" spans="1:10" ht="15.75" x14ac:dyDescent="0.25">
      <c r="A7" s="10"/>
      <c r="B7" s="236"/>
      <c r="C7" s="261" t="s">
        <v>57</v>
      </c>
      <c r="D7" s="262">
        <v>0.11</v>
      </c>
      <c r="E7" s="263">
        <v>5</v>
      </c>
      <c r="F7" s="14"/>
      <c r="G7" s="264">
        <f t="shared" si="0"/>
        <v>0.55000000000000004</v>
      </c>
      <c r="H7" s="16">
        <v>35</v>
      </c>
      <c r="I7" s="16">
        <f t="shared" si="1"/>
        <v>175</v>
      </c>
      <c r="J7" s="17"/>
    </row>
    <row r="8" spans="1:10" ht="15.75" x14ac:dyDescent="0.25">
      <c r="A8" s="10"/>
      <c r="B8" s="236"/>
      <c r="C8" s="261" t="s">
        <v>58</v>
      </c>
      <c r="D8" s="262">
        <v>0.11</v>
      </c>
      <c r="E8" s="263">
        <v>5</v>
      </c>
      <c r="F8" s="14"/>
      <c r="G8" s="264">
        <f t="shared" si="0"/>
        <v>0.55000000000000004</v>
      </c>
      <c r="H8" s="16">
        <v>35</v>
      </c>
      <c r="I8" s="16">
        <f t="shared" si="1"/>
        <v>175</v>
      </c>
      <c r="J8" s="17"/>
    </row>
    <row r="9" spans="1:10" ht="15.75" x14ac:dyDescent="0.25">
      <c r="A9" s="10"/>
      <c r="B9" s="236"/>
      <c r="C9" s="261" t="s">
        <v>59</v>
      </c>
      <c r="D9" s="262">
        <v>0.11</v>
      </c>
      <c r="E9" s="263">
        <v>5</v>
      </c>
      <c r="F9" s="14"/>
      <c r="G9" s="264">
        <f t="shared" si="0"/>
        <v>0.55000000000000004</v>
      </c>
      <c r="H9" s="16">
        <v>35</v>
      </c>
      <c r="I9" s="16">
        <f t="shared" si="1"/>
        <v>175</v>
      </c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2">SUM(E4:E26)</f>
        <v>40</v>
      </c>
      <c r="F27" s="33">
        <f t="shared" si="2"/>
        <v>0</v>
      </c>
      <c r="G27" s="34">
        <f t="shared" si="2"/>
        <v>6.1999999999999993</v>
      </c>
      <c r="H27" s="35"/>
      <c r="I27" s="36">
        <f>SUM(I4:I26)</f>
        <v>2300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314620.44999999995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 t="s">
        <v>226</v>
      </c>
      <c r="B35" s="62"/>
      <c r="C35" s="63">
        <v>2300</v>
      </c>
      <c r="D35" s="63">
        <v>2300</v>
      </c>
      <c r="E35" s="64"/>
      <c r="F35" s="65"/>
      <c r="G35" s="66"/>
      <c r="H35" s="67">
        <f t="shared" ref="H35:H39" si="3">F35*G35</f>
        <v>0</v>
      </c>
      <c r="I35" s="309"/>
      <c r="J35" s="309"/>
    </row>
    <row r="36" spans="1:10" ht="15.75" customHeight="1" x14ac:dyDescent="0.25">
      <c r="A36" s="61" t="s">
        <v>243</v>
      </c>
      <c r="B36" s="62"/>
      <c r="C36" s="63">
        <v>160000</v>
      </c>
      <c r="D36" s="63">
        <v>160000</v>
      </c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 t="s">
        <v>244</v>
      </c>
      <c r="B37" s="62"/>
      <c r="C37" s="63">
        <v>270000</v>
      </c>
      <c r="D37" s="63">
        <v>270000</v>
      </c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3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3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229</v>
      </c>
      <c r="B42" s="62"/>
      <c r="C42" s="63">
        <v>1250</v>
      </c>
      <c r="D42" s="63">
        <v>1250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245</v>
      </c>
      <c r="B43" s="62"/>
      <c r="C43" s="63">
        <v>11200</v>
      </c>
      <c r="D43" s="63">
        <v>11200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 t="s">
        <v>246</v>
      </c>
      <c r="B44" s="62"/>
      <c r="C44" s="63">
        <v>3720</v>
      </c>
      <c r="D44" s="63">
        <v>3720</v>
      </c>
      <c r="E44" s="71"/>
      <c r="F44" s="73"/>
      <c r="G44" s="74"/>
      <c r="H44" s="67"/>
      <c r="I44" s="1"/>
      <c r="J44" s="1"/>
    </row>
    <row r="45" spans="1:10" ht="15.75" customHeight="1" x14ac:dyDescent="0.25">
      <c r="A45" s="76" t="s">
        <v>247</v>
      </c>
      <c r="B45" s="62"/>
      <c r="C45" s="63">
        <v>930</v>
      </c>
      <c r="D45" s="63">
        <v>930</v>
      </c>
      <c r="E45" s="71"/>
      <c r="F45" s="73"/>
      <c r="G45" s="74"/>
      <c r="H45" s="67">
        <f t="shared" ref="H45:H53" si="4">F45*G45</f>
        <v>0</v>
      </c>
      <c r="I45" s="1"/>
      <c r="J45" s="1"/>
    </row>
    <row r="46" spans="1:10" ht="15.75" customHeight="1" x14ac:dyDescent="0.25">
      <c r="A46" s="76" t="s">
        <v>248</v>
      </c>
      <c r="B46" s="62"/>
      <c r="C46" s="63">
        <v>3600</v>
      </c>
      <c r="D46" s="63">
        <v>3600</v>
      </c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4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4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4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4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726220.45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1"/>
      <c r="J57" s="1"/>
    </row>
    <row r="58" spans="1:10" ht="15.75" customHeight="1" x14ac:dyDescent="0.25">
      <c r="A58" s="92" t="s">
        <v>17</v>
      </c>
      <c r="B58" s="275"/>
      <c r="C58" s="285">
        <v>295412.21000000002</v>
      </c>
      <c r="D58" s="51"/>
      <c r="E58" s="94" t="s">
        <v>17</v>
      </c>
      <c r="F58" s="44"/>
      <c r="G58" s="95">
        <v>1890.2</v>
      </c>
      <c r="H58" s="44"/>
      <c r="I58" s="1"/>
      <c r="J58" s="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81"/>
      <c r="J59" s="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97" t="s">
        <v>30</v>
      </c>
      <c r="H60" s="97" t="s">
        <v>10</v>
      </c>
      <c r="I60" s="81"/>
      <c r="J60" s="81"/>
    </row>
    <row r="61" spans="1:10" ht="15.75" customHeight="1" x14ac:dyDescent="0.25">
      <c r="A61" s="98" t="s">
        <v>249</v>
      </c>
      <c r="B61" s="276">
        <v>693000</v>
      </c>
      <c r="C61" s="100" t="s">
        <v>91</v>
      </c>
      <c r="D61" s="101">
        <v>50</v>
      </c>
      <c r="E61" s="102" t="s">
        <v>92</v>
      </c>
      <c r="F61" s="103">
        <v>807942.6</v>
      </c>
      <c r="G61" s="104" t="s">
        <v>250</v>
      </c>
      <c r="H61" s="103">
        <v>96</v>
      </c>
      <c r="I61" s="81"/>
      <c r="J61" s="81"/>
    </row>
    <row r="62" spans="1:10" ht="15.75" customHeight="1" x14ac:dyDescent="0.25">
      <c r="A62" s="277"/>
      <c r="B62" s="276"/>
      <c r="C62" s="106" t="s">
        <v>251</v>
      </c>
      <c r="D62" s="101">
        <v>112331.84</v>
      </c>
      <c r="E62" s="104"/>
      <c r="F62" s="103"/>
      <c r="G62" s="104" t="s">
        <v>252</v>
      </c>
      <c r="H62" s="103">
        <v>114308.3</v>
      </c>
      <c r="I62" s="81"/>
      <c r="J62" s="81"/>
    </row>
    <row r="63" spans="1:10" ht="15.75" customHeight="1" x14ac:dyDescent="0.25">
      <c r="A63" s="105"/>
      <c r="B63" s="278"/>
      <c r="C63" s="107" t="s">
        <v>253</v>
      </c>
      <c r="D63" s="101">
        <v>0</v>
      </c>
      <c r="E63" s="104"/>
      <c r="F63" s="103"/>
      <c r="G63" s="108" t="s">
        <v>195</v>
      </c>
      <c r="H63" s="103">
        <v>693000</v>
      </c>
      <c r="I63" s="81"/>
      <c r="J63" s="81"/>
    </row>
    <row r="64" spans="1:10" ht="15.75" customHeight="1" x14ac:dyDescent="0.25">
      <c r="A64" s="109"/>
      <c r="B64" s="278"/>
      <c r="C64" s="107" t="s">
        <v>254</v>
      </c>
      <c r="D64" s="101">
        <v>160000</v>
      </c>
      <c r="E64" s="102"/>
      <c r="F64" s="110"/>
      <c r="G64" s="108"/>
      <c r="H64" s="103"/>
      <c r="I64" s="81"/>
      <c r="J64" s="81"/>
    </row>
    <row r="65" spans="1:10" ht="15.75" customHeight="1" x14ac:dyDescent="0.25">
      <c r="A65" s="111"/>
      <c r="B65" s="278"/>
      <c r="C65" s="107" t="s">
        <v>255</v>
      </c>
      <c r="D65" s="101">
        <v>270000</v>
      </c>
      <c r="E65" s="112"/>
      <c r="F65" s="113"/>
      <c r="G65" s="114"/>
      <c r="H65" s="114"/>
      <c r="I65" s="81"/>
      <c r="J65" s="81"/>
    </row>
    <row r="66" spans="1:10" ht="15.75" customHeight="1" x14ac:dyDescent="0.25">
      <c r="A66" s="111"/>
      <c r="B66" s="278"/>
      <c r="C66" s="107" t="s">
        <v>242</v>
      </c>
      <c r="D66" s="101">
        <v>0</v>
      </c>
      <c r="E66" s="112"/>
      <c r="F66" s="113"/>
      <c r="G66" s="115"/>
      <c r="H66" s="114"/>
      <c r="I66" s="81"/>
      <c r="J66" s="81"/>
    </row>
    <row r="67" spans="1:10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81"/>
      <c r="J67" s="81"/>
    </row>
    <row r="68" spans="1:10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81"/>
      <c r="J68" s="81"/>
    </row>
    <row r="69" spans="1:10" ht="15.75" customHeight="1" x14ac:dyDescent="0.25">
      <c r="A69" s="118"/>
      <c r="B69" s="280"/>
      <c r="C69" s="104"/>
      <c r="D69" s="120"/>
      <c r="E69" s="118"/>
      <c r="F69" s="112"/>
      <c r="G69" s="104"/>
      <c r="H69" s="114"/>
      <c r="I69" s="81"/>
      <c r="J69" s="81"/>
    </row>
    <row r="70" spans="1:10" ht="15.75" customHeight="1" x14ac:dyDescent="0.25">
      <c r="A70" s="118"/>
      <c r="B70" s="280"/>
      <c r="C70" s="104"/>
      <c r="D70" s="120"/>
      <c r="E70" s="118"/>
      <c r="F70" s="112"/>
      <c r="G70" s="104"/>
      <c r="H70" s="114"/>
      <c r="I70" s="81"/>
      <c r="J70" s="81"/>
    </row>
    <row r="71" spans="1:10" ht="15.75" customHeight="1" x14ac:dyDescent="0.25">
      <c r="A71" s="118"/>
      <c r="B71" s="280"/>
      <c r="C71" s="104"/>
      <c r="D71" s="120"/>
      <c r="E71" s="118"/>
      <c r="F71" s="112"/>
      <c r="G71" s="104"/>
      <c r="H71" s="114"/>
      <c r="I71" s="81"/>
      <c r="J71" s="81"/>
    </row>
    <row r="72" spans="1:10" ht="15.75" customHeight="1" x14ac:dyDescent="0.25">
      <c r="A72" s="118"/>
      <c r="B72" s="280"/>
      <c r="C72" s="104"/>
      <c r="D72" s="120"/>
      <c r="E72" s="118"/>
      <c r="F72" s="112"/>
      <c r="G72" s="104"/>
      <c r="H72" s="114"/>
      <c r="I72" s="81"/>
      <c r="J72" s="81"/>
    </row>
    <row r="73" spans="1:10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81"/>
      <c r="J73" s="81"/>
    </row>
    <row r="74" spans="1:10" ht="15.75" customHeight="1" x14ac:dyDescent="0.25">
      <c r="A74" s="121"/>
      <c r="B74" s="122">
        <f>SUM(B61:B73)+C58</f>
        <v>988412.21</v>
      </c>
      <c r="C74" s="123"/>
      <c r="D74" s="122">
        <f>SUM(D61:D73)</f>
        <v>542381.84</v>
      </c>
      <c r="E74" s="124"/>
      <c r="F74" s="124">
        <f>SUM(F61:F73)</f>
        <v>807942.6</v>
      </c>
      <c r="G74" s="124"/>
      <c r="H74" s="124">
        <f>SUM(H61:H73)</f>
        <v>807404.3</v>
      </c>
      <c r="I74" s="1"/>
      <c r="J74" s="1"/>
    </row>
    <row r="75" spans="1:10" ht="15.75" customHeight="1" x14ac:dyDescent="0.25">
      <c r="A75" s="125" t="s">
        <v>22</v>
      </c>
      <c r="B75" s="126">
        <f>B74-D74</f>
        <v>446030.37</v>
      </c>
      <c r="C75" s="51"/>
      <c r="D75" s="44"/>
      <c r="E75" s="94" t="s">
        <v>22</v>
      </c>
      <c r="F75" s="95">
        <v>2428.5</v>
      </c>
      <c r="G75" s="51"/>
      <c r="H75" s="44"/>
      <c r="I75" s="1"/>
      <c r="J75" s="1"/>
    </row>
    <row r="76" spans="1:10" ht="15.75" customHeight="1" x14ac:dyDescent="0.25">
      <c r="A76" s="127" t="s">
        <v>37</v>
      </c>
      <c r="B76" s="44"/>
      <c r="C76" s="128">
        <v>448458.87</v>
      </c>
      <c r="D76" s="51"/>
      <c r="E76" s="51"/>
      <c r="F76" s="51"/>
      <c r="G76" s="51"/>
      <c r="H76" s="44"/>
      <c r="I76" s="1"/>
      <c r="J76" s="1"/>
    </row>
    <row r="77" spans="1:10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0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0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0" ht="15.75" customHeight="1" x14ac:dyDescent="0.25">
      <c r="A80" s="144" t="s">
        <v>128</v>
      </c>
      <c r="B80" s="145" t="s">
        <v>68</v>
      </c>
      <c r="C80" s="267" t="s">
        <v>129</v>
      </c>
      <c r="D80" s="149">
        <v>0.2</v>
      </c>
      <c r="E80" s="148">
        <v>1440</v>
      </c>
      <c r="F80" s="149">
        <v>18</v>
      </c>
      <c r="G80" s="148">
        <f>E80*D80</f>
        <v>288</v>
      </c>
      <c r="H80" s="150">
        <v>98</v>
      </c>
      <c r="I80" s="150">
        <f>H80*E80</f>
        <v>141120</v>
      </c>
      <c r="J80" s="151" t="s">
        <v>74</v>
      </c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5">D93*F93</f>
        <v>0</v>
      </c>
      <c r="H93" s="180"/>
      <c r="I93" s="180">
        <f t="shared" ref="I93:I94" si="6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5"/>
        <v>0</v>
      </c>
      <c r="H94" s="185"/>
      <c r="I94" s="180">
        <f t="shared" si="6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1440</v>
      </c>
      <c r="F95" s="191">
        <f>SUM(F80:F92)</f>
        <v>18</v>
      </c>
      <c r="G95" s="192">
        <f>SUM(G80:G87)</f>
        <v>288</v>
      </c>
      <c r="H95" s="193"/>
      <c r="I95" s="193">
        <f>SUM(I80:I88)</f>
        <v>141120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328</v>
      </c>
      <c r="C98" s="200">
        <f>I27+H95+I95</f>
        <v>143420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 t="s">
        <v>256</v>
      </c>
      <c r="B101" s="55" t="s">
        <v>177</v>
      </c>
      <c r="C101" s="58" t="s">
        <v>257</v>
      </c>
      <c r="D101" s="219" t="s">
        <v>258</v>
      </c>
      <c r="E101" s="313" t="s">
        <v>259</v>
      </c>
      <c r="F101" s="57">
        <v>8000</v>
      </c>
      <c r="G101" s="211">
        <f t="shared" ref="G101:G108" si="7">F101+F1219</f>
        <v>8000</v>
      </c>
      <c r="H101" s="301"/>
      <c r="I101" s="286"/>
      <c r="J101" s="53"/>
    </row>
    <row r="102" spans="1:10" ht="15.75" customHeight="1" x14ac:dyDescent="0.25">
      <c r="A102" s="208"/>
      <c r="B102" s="55" t="s">
        <v>177</v>
      </c>
      <c r="C102" s="58" t="s">
        <v>260</v>
      </c>
      <c r="D102" s="219" t="s">
        <v>132</v>
      </c>
      <c r="E102" s="210" t="s">
        <v>261</v>
      </c>
      <c r="F102" s="57">
        <v>17000</v>
      </c>
      <c r="G102" s="211">
        <f t="shared" si="7"/>
        <v>17000</v>
      </c>
      <c r="H102" s="301"/>
      <c r="I102" s="311"/>
      <c r="J102" s="53"/>
    </row>
    <row r="103" spans="1:10" ht="15.75" customHeight="1" x14ac:dyDescent="0.25">
      <c r="A103" s="213"/>
      <c r="B103" s="55" t="s">
        <v>177</v>
      </c>
      <c r="C103" s="58" t="s">
        <v>262</v>
      </c>
      <c r="D103" s="219" t="s">
        <v>263</v>
      </c>
      <c r="E103" s="269" t="s">
        <v>78</v>
      </c>
      <c r="F103" s="216">
        <v>27000</v>
      </c>
      <c r="G103" s="211">
        <f t="shared" si="7"/>
        <v>27000</v>
      </c>
      <c r="H103" s="301"/>
      <c r="I103" s="1"/>
      <c r="J103" s="1"/>
    </row>
    <row r="104" spans="1:10" ht="15.75" customHeight="1" x14ac:dyDescent="0.25">
      <c r="A104" s="213"/>
      <c r="B104" s="55" t="s">
        <v>177</v>
      </c>
      <c r="C104" s="214" t="s">
        <v>264</v>
      </c>
      <c r="D104" s="215" t="s">
        <v>265</v>
      </c>
      <c r="E104" s="269" t="s">
        <v>78</v>
      </c>
      <c r="F104" s="216">
        <v>26000</v>
      </c>
      <c r="G104" s="211">
        <f t="shared" si="7"/>
        <v>26000</v>
      </c>
      <c r="H104" s="212"/>
      <c r="I104" s="1"/>
      <c r="J104" s="1"/>
    </row>
    <row r="105" spans="1:10" ht="15.75" customHeight="1" x14ac:dyDescent="0.25">
      <c r="A105" s="213" t="s">
        <v>77</v>
      </c>
      <c r="B105" s="55" t="s">
        <v>177</v>
      </c>
      <c r="C105" s="214" t="s">
        <v>266</v>
      </c>
      <c r="D105" s="219" t="s">
        <v>132</v>
      </c>
      <c r="E105" s="269" t="s">
        <v>74</v>
      </c>
      <c r="F105" s="216">
        <v>13320</v>
      </c>
      <c r="G105" s="211">
        <f t="shared" si="7"/>
        <v>13320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7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91320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8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8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11:H111"/>
    <mergeCell ref="A1:J1"/>
    <mergeCell ref="A2:J2"/>
    <mergeCell ref="A32:H32"/>
    <mergeCell ref="A56:H56"/>
    <mergeCell ref="A99:H9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0"/>
  <sheetViews>
    <sheetView topLeftCell="A42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4"/>
      <c r="H9" s="16"/>
      <c r="I9" s="16"/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726220.45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267</v>
      </c>
      <c r="B42" s="62"/>
      <c r="C42" s="63">
        <v>200000</v>
      </c>
      <c r="D42" s="63">
        <v>200000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184</v>
      </c>
      <c r="B43" s="62"/>
      <c r="C43" s="63">
        <v>420600</v>
      </c>
      <c r="D43" s="63">
        <v>420600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 t="s">
        <v>268</v>
      </c>
      <c r="B44" s="62"/>
      <c r="C44" s="63">
        <v>375</v>
      </c>
      <c r="D44" s="63">
        <v>375</v>
      </c>
      <c r="E44" s="71"/>
      <c r="F44" s="73"/>
      <c r="G44" s="74"/>
      <c r="H44" s="67"/>
      <c r="I44" s="1"/>
      <c r="J44" s="1"/>
    </row>
    <row r="45" spans="1:10" ht="15.75" customHeight="1" x14ac:dyDescent="0.25">
      <c r="A45" s="76" t="s">
        <v>269</v>
      </c>
      <c r="B45" s="62"/>
      <c r="C45" s="63">
        <v>269</v>
      </c>
      <c r="D45" s="63">
        <v>269</v>
      </c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2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2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2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2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2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2" ht="15.75" customHeight="1" x14ac:dyDescent="0.25">
      <c r="A54" s="82" t="s">
        <v>22</v>
      </c>
      <c r="B54" s="83"/>
      <c r="C54" s="84"/>
      <c r="D54" s="85">
        <f>SUM(D35,D36:D39,D34,)-SUM(D42:D53,)</f>
        <v>104976.44999999995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2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2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2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79" t="s">
        <v>270</v>
      </c>
      <c r="J57" s="380"/>
      <c r="K57" s="380"/>
      <c r="L57" s="381"/>
    </row>
    <row r="58" spans="1:12" ht="15.75" customHeight="1" x14ac:dyDescent="0.25">
      <c r="A58" s="92" t="s">
        <v>17</v>
      </c>
      <c r="B58" s="275"/>
      <c r="C58" s="285">
        <v>446030.37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  <c r="K58" s="329"/>
      <c r="L58" s="329"/>
    </row>
    <row r="59" spans="1:12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  <c r="K59" s="383" t="s">
        <v>27</v>
      </c>
      <c r="L59" s="381"/>
    </row>
    <row r="60" spans="1:12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  <c r="K60" s="241" t="s">
        <v>30</v>
      </c>
      <c r="L60" s="332" t="s">
        <v>275</v>
      </c>
    </row>
    <row r="61" spans="1:12" ht="15.75" customHeight="1" x14ac:dyDescent="0.25">
      <c r="A61" s="98" t="s">
        <v>90</v>
      </c>
      <c r="B61" s="276">
        <v>228.59</v>
      </c>
      <c r="C61" s="100" t="s">
        <v>32</v>
      </c>
      <c r="D61" s="101">
        <v>400</v>
      </c>
      <c r="E61" s="102"/>
      <c r="F61" s="103"/>
      <c r="G61" s="104"/>
      <c r="H61" s="103"/>
      <c r="I61" s="333" t="s">
        <v>276</v>
      </c>
      <c r="J61" s="334">
        <v>690</v>
      </c>
      <c r="K61" s="335" t="s">
        <v>277</v>
      </c>
      <c r="L61" s="336">
        <v>690</v>
      </c>
    </row>
    <row r="62" spans="1:12" ht="15.75" customHeight="1" x14ac:dyDescent="0.25">
      <c r="A62" s="277"/>
      <c r="B62" s="276"/>
      <c r="C62" s="106" t="s">
        <v>278</v>
      </c>
      <c r="D62" s="101">
        <v>690</v>
      </c>
      <c r="E62" s="104"/>
      <c r="F62" s="103"/>
      <c r="G62" s="104"/>
      <c r="H62" s="103"/>
      <c r="I62" s="333"/>
      <c r="J62" s="333"/>
      <c r="K62" s="335"/>
      <c r="L62" s="335"/>
    </row>
    <row r="63" spans="1:12" ht="15.75" customHeight="1" x14ac:dyDescent="0.25">
      <c r="A63" s="105"/>
      <c r="B63" s="278"/>
      <c r="C63" s="107" t="s">
        <v>279</v>
      </c>
      <c r="D63" s="101">
        <v>2900.33</v>
      </c>
      <c r="E63" s="104"/>
      <c r="F63" s="103"/>
      <c r="G63" s="108"/>
      <c r="H63" s="103"/>
      <c r="I63" s="333"/>
      <c r="J63" s="333"/>
      <c r="K63" s="337"/>
      <c r="L63" s="335"/>
    </row>
    <row r="64" spans="1:12" ht="15.75" customHeight="1" x14ac:dyDescent="0.25">
      <c r="A64" s="109"/>
      <c r="B64" s="278"/>
      <c r="C64" s="107" t="s">
        <v>280</v>
      </c>
      <c r="D64" s="101">
        <v>2900.33</v>
      </c>
      <c r="E64" s="102"/>
      <c r="F64" s="110"/>
      <c r="G64" s="108"/>
      <c r="H64" s="103"/>
      <c r="I64" s="333"/>
      <c r="J64" s="333"/>
      <c r="K64" s="335"/>
      <c r="L64" s="335"/>
    </row>
    <row r="65" spans="1:12" ht="15.75" customHeight="1" x14ac:dyDescent="0.25">
      <c r="A65" s="111"/>
      <c r="B65" s="278"/>
      <c r="C65" s="107" t="s">
        <v>281</v>
      </c>
      <c r="D65" s="101">
        <v>4080.77</v>
      </c>
      <c r="E65" s="112"/>
      <c r="F65" s="113"/>
      <c r="G65" s="114"/>
      <c r="H65" s="114"/>
      <c r="I65" s="333"/>
      <c r="J65" s="333"/>
      <c r="K65" s="335"/>
      <c r="L65" s="335"/>
    </row>
    <row r="66" spans="1:12" ht="15.75" customHeight="1" x14ac:dyDescent="0.25">
      <c r="A66" s="111"/>
      <c r="B66" s="278"/>
      <c r="C66" s="107" t="s">
        <v>282</v>
      </c>
      <c r="D66" s="101">
        <v>9135</v>
      </c>
      <c r="E66" s="112"/>
      <c r="F66" s="113"/>
      <c r="G66" s="115"/>
      <c r="H66" s="114"/>
      <c r="I66" s="333"/>
      <c r="J66" s="333"/>
      <c r="K66" s="335"/>
      <c r="L66" s="335"/>
    </row>
    <row r="67" spans="1:12" ht="15.75" customHeight="1" x14ac:dyDescent="0.25">
      <c r="A67" s="116"/>
      <c r="B67" s="278"/>
      <c r="C67" s="107" t="s">
        <v>283</v>
      </c>
      <c r="D67" s="101">
        <v>9135</v>
      </c>
      <c r="E67" s="112"/>
      <c r="F67" s="112"/>
      <c r="G67" s="117"/>
      <c r="H67" s="114"/>
      <c r="I67" s="333"/>
      <c r="J67" s="333"/>
      <c r="K67" s="335"/>
      <c r="L67" s="335"/>
    </row>
    <row r="68" spans="1:12" ht="15.75" customHeight="1" x14ac:dyDescent="0.25">
      <c r="A68" s="118"/>
      <c r="B68" s="279"/>
      <c r="C68" s="107" t="s">
        <v>284</v>
      </c>
      <c r="D68" s="101">
        <v>10149.67</v>
      </c>
      <c r="E68" s="118"/>
      <c r="F68" s="112"/>
      <c r="G68" s="104"/>
      <c r="H68" s="114"/>
      <c r="I68" s="333"/>
      <c r="J68" s="333"/>
      <c r="K68" s="335"/>
      <c r="L68" s="335"/>
    </row>
    <row r="69" spans="1:12" ht="15.75" customHeight="1" x14ac:dyDescent="0.25">
      <c r="A69" s="118"/>
      <c r="B69" s="280"/>
      <c r="C69" s="106" t="s">
        <v>285</v>
      </c>
      <c r="D69" s="120">
        <v>11842.11</v>
      </c>
      <c r="E69" s="118"/>
      <c r="F69" s="112"/>
      <c r="G69" s="104"/>
      <c r="H69" s="114"/>
      <c r="I69" s="333"/>
      <c r="J69" s="333"/>
      <c r="K69" s="335"/>
      <c r="L69" s="335"/>
    </row>
    <row r="70" spans="1:12" ht="15.75" customHeight="1" x14ac:dyDescent="0.25">
      <c r="A70" s="118"/>
      <c r="B70" s="280"/>
      <c r="C70" s="106" t="s">
        <v>286</v>
      </c>
      <c r="D70" s="120">
        <v>52000</v>
      </c>
      <c r="E70" s="118"/>
      <c r="F70" s="112"/>
      <c r="G70" s="104"/>
      <c r="H70" s="114"/>
      <c r="I70" s="333"/>
      <c r="J70" s="333"/>
      <c r="K70" s="335"/>
      <c r="L70" s="335"/>
    </row>
    <row r="71" spans="1:12" ht="15.75" customHeight="1" x14ac:dyDescent="0.25">
      <c r="A71" s="118"/>
      <c r="B71" s="280"/>
      <c r="C71" s="106" t="s">
        <v>287</v>
      </c>
      <c r="D71" s="120">
        <v>63945.01</v>
      </c>
      <c r="E71" s="118"/>
      <c r="F71" s="112"/>
      <c r="G71" s="104"/>
      <c r="H71" s="114"/>
      <c r="I71" s="333"/>
      <c r="J71" s="333"/>
      <c r="K71" s="335"/>
      <c r="L71" s="335"/>
    </row>
    <row r="72" spans="1:12" ht="15.75" customHeight="1" x14ac:dyDescent="0.25">
      <c r="A72" s="118"/>
      <c r="B72" s="280"/>
      <c r="C72" s="106" t="s">
        <v>288</v>
      </c>
      <c r="D72" s="338">
        <v>277974.56</v>
      </c>
      <c r="E72" s="118"/>
      <c r="F72" s="112"/>
      <c r="G72" s="104"/>
      <c r="H72" s="114"/>
      <c r="I72" s="333"/>
      <c r="J72" s="333"/>
      <c r="K72" s="335"/>
      <c r="L72" s="335"/>
    </row>
    <row r="73" spans="1:12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  <c r="K73" s="335"/>
      <c r="L73" s="335"/>
    </row>
    <row r="74" spans="1:12" ht="15.75" customHeight="1" x14ac:dyDescent="0.25">
      <c r="A74" s="121"/>
      <c r="B74" s="122">
        <f>SUM(B61:B73)+C58</f>
        <v>446258.96</v>
      </c>
      <c r="C74" s="123"/>
      <c r="D74" s="122">
        <f>SUM(D61:D73)</f>
        <v>445152.78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>
        <v>690</v>
      </c>
      <c r="K74" s="329"/>
      <c r="L74" s="340">
        <v>690</v>
      </c>
    </row>
    <row r="75" spans="1:12" ht="15.75" customHeight="1" x14ac:dyDescent="0.25">
      <c r="A75" s="125" t="s">
        <v>22</v>
      </c>
      <c r="B75" s="126">
        <f>B74-D74</f>
        <v>1106.179999999993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  <c r="K75" s="335"/>
      <c r="L75" s="335"/>
    </row>
    <row r="76" spans="1:12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  <c r="K76" s="335"/>
      <c r="L76" s="335"/>
    </row>
    <row r="77" spans="1:12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2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2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2" ht="15.75" customHeight="1" x14ac:dyDescent="0.25">
      <c r="A80" s="144"/>
      <c r="B80" s="145"/>
      <c r="C80" s="267"/>
      <c r="D80" s="149"/>
      <c r="E80" s="148"/>
      <c r="F80" s="149"/>
      <c r="G80" s="148"/>
      <c r="H80" s="150"/>
      <c r="I80" s="150"/>
      <c r="J80" s="151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3">D93*F93</f>
        <v>0</v>
      </c>
      <c r="H93" s="180"/>
      <c r="I93" s="180">
        <f t="shared" ref="I93:I94" si="4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3"/>
        <v>0</v>
      </c>
      <c r="H94" s="185"/>
      <c r="I94" s="180">
        <f t="shared" si="4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0</v>
      </c>
      <c r="F95" s="191">
        <f>SUM(F80:F92)</f>
        <v>0</v>
      </c>
      <c r="G95" s="192">
        <f>SUM(G80:G87)</f>
        <v>0</v>
      </c>
      <c r="H95" s="193"/>
      <c r="I95" s="193">
        <f>SUM(I80:I88)</f>
        <v>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0</v>
      </c>
      <c r="C98" s="200">
        <f>I27+H95+I95</f>
        <v>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313"/>
      <c r="F101" s="57"/>
      <c r="G101" s="211">
        <v>0</v>
      </c>
      <c r="H101" s="301"/>
      <c r="I101" s="286"/>
      <c r="J101" s="53"/>
    </row>
    <row r="102" spans="1:10" ht="15.75" customHeight="1" x14ac:dyDescent="0.25">
      <c r="A102" s="208"/>
      <c r="B102" s="55"/>
      <c r="C102" s="58"/>
      <c r="D102" s="219"/>
      <c r="E102" s="210"/>
      <c r="F102" s="57"/>
      <c r="G102" s="211">
        <v>0</v>
      </c>
      <c r="H102" s="301"/>
      <c r="I102" s="311"/>
      <c r="J102" s="53"/>
    </row>
    <row r="103" spans="1:10" ht="15.75" customHeight="1" x14ac:dyDescent="0.25">
      <c r="A103" s="213"/>
      <c r="B103" s="55"/>
      <c r="C103" s="58"/>
      <c r="D103" s="219"/>
      <c r="E103" s="269"/>
      <c r="F103" s="216"/>
      <c r="G103" s="211">
        <v>0</v>
      </c>
      <c r="H103" s="301"/>
      <c r="I103" s="1"/>
      <c r="J103" s="1"/>
    </row>
    <row r="104" spans="1:10" ht="15.75" customHeight="1" x14ac:dyDescent="0.25">
      <c r="A104" s="213"/>
      <c r="B104" s="55"/>
      <c r="C104" s="214"/>
      <c r="D104" s="215"/>
      <c r="E104" s="269"/>
      <c r="F104" s="216"/>
      <c r="G104" s="211"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69"/>
      <c r="F105" s="216"/>
      <c r="G105" s="211"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ref="G106:G108" si="5">F106+F1224</f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5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5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6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6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56:H56"/>
    <mergeCell ref="A99:H99"/>
    <mergeCell ref="A111:H111"/>
    <mergeCell ref="A1:J1"/>
    <mergeCell ref="A2:J2"/>
    <mergeCell ref="A32:H32"/>
    <mergeCell ref="I57:L57"/>
    <mergeCell ref="I58:J58"/>
    <mergeCell ref="I59:J59"/>
    <mergeCell ref="K59:L5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K1000"/>
  <sheetViews>
    <sheetView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  <col min="11" max="11" width="13.875" customWidth="1"/>
  </cols>
  <sheetData>
    <row r="1" spans="1:11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1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1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1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  <c r="K4" s="384"/>
    </row>
    <row r="5" spans="1:11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  <c r="K5" s="372"/>
    </row>
    <row r="6" spans="1:11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  <c r="K6" s="338"/>
    </row>
    <row r="7" spans="1:11" ht="15.75" x14ac:dyDescent="0.25">
      <c r="A7" s="10"/>
      <c r="B7" s="260"/>
      <c r="C7" s="261"/>
      <c r="D7" s="262"/>
      <c r="E7" s="263"/>
      <c r="F7" s="14"/>
      <c r="G7" s="264"/>
      <c r="H7" s="16"/>
      <c r="I7" s="16"/>
      <c r="J7" s="17"/>
      <c r="K7" s="385"/>
    </row>
    <row r="8" spans="1:11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  <c r="K8" s="372"/>
    </row>
    <row r="9" spans="1:11" ht="15.75" x14ac:dyDescent="0.25">
      <c r="A9" s="10"/>
      <c r="B9" s="260"/>
      <c r="C9" s="261"/>
      <c r="D9" s="262"/>
      <c r="E9" s="263"/>
      <c r="F9" s="14"/>
      <c r="G9" s="264"/>
      <c r="H9" s="16"/>
      <c r="I9" s="16"/>
      <c r="J9" s="17"/>
      <c r="K9" s="384"/>
    </row>
    <row r="10" spans="1:11" ht="15.75" x14ac:dyDescent="0.25">
      <c r="A10" s="10"/>
      <c r="B10" s="236"/>
      <c r="C10" s="261"/>
      <c r="D10" s="262"/>
      <c r="E10" s="263"/>
      <c r="F10" s="14"/>
      <c r="G10" s="264"/>
      <c r="H10" s="16"/>
      <c r="I10" s="16"/>
      <c r="J10" s="17"/>
      <c r="K10" s="372"/>
    </row>
    <row r="11" spans="1:11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1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1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1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1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1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72976.449999999953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/>
      <c r="B42" s="62"/>
      <c r="C42" s="63"/>
      <c r="D42" s="63"/>
      <c r="E42" s="71"/>
      <c r="F42" s="73"/>
      <c r="G42" s="74"/>
      <c r="H42" s="75"/>
      <c r="I42" s="1"/>
      <c r="J42" s="1"/>
    </row>
    <row r="43" spans="1:10" ht="15.75" customHeight="1" x14ac:dyDescent="0.25">
      <c r="A43" s="76"/>
      <c r="B43" s="62"/>
      <c r="C43" s="63"/>
      <c r="D43" s="63"/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/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72976.449999999953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41" t="s">
        <v>270</v>
      </c>
    </row>
    <row r="58" spans="1:10" ht="15.75" customHeight="1" x14ac:dyDescent="0.25">
      <c r="A58" s="92" t="s">
        <v>17</v>
      </c>
      <c r="B58" s="275"/>
      <c r="C58" s="285">
        <v>1106.18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</row>
    <row r="61" spans="1:10" ht="15.75" customHeight="1" x14ac:dyDescent="0.25">
      <c r="A61" s="98"/>
      <c r="B61" s="276"/>
      <c r="C61" s="100"/>
      <c r="D61" s="101"/>
      <c r="E61" s="102"/>
      <c r="F61" s="103"/>
      <c r="G61" s="104"/>
      <c r="H61" s="103"/>
      <c r="I61" s="333"/>
      <c r="J61" s="334"/>
    </row>
    <row r="62" spans="1:10" ht="15.75" customHeight="1" x14ac:dyDescent="0.25">
      <c r="A62" s="277"/>
      <c r="B62" s="276"/>
      <c r="C62" s="106"/>
      <c r="D62" s="101"/>
      <c r="E62" s="104"/>
      <c r="F62" s="103"/>
      <c r="G62" s="104"/>
      <c r="H62" s="103"/>
      <c r="I62" s="333"/>
      <c r="J62" s="333"/>
    </row>
    <row r="63" spans="1:10" ht="15.75" customHeight="1" x14ac:dyDescent="0.25">
      <c r="A63" s="105"/>
      <c r="B63" s="278"/>
      <c r="C63" s="107"/>
      <c r="D63" s="101"/>
      <c r="E63" s="104"/>
      <c r="F63" s="103"/>
      <c r="G63" s="108"/>
      <c r="H63" s="103"/>
      <c r="I63" s="333"/>
      <c r="J63" s="333"/>
    </row>
    <row r="64" spans="1:10" ht="15.75" customHeight="1" x14ac:dyDescent="0.25">
      <c r="A64" s="109"/>
      <c r="B64" s="278"/>
      <c r="C64" s="107"/>
      <c r="D64" s="101"/>
      <c r="E64" s="102"/>
      <c r="F64" s="110"/>
      <c r="G64" s="108"/>
      <c r="H64" s="103"/>
      <c r="I64" s="333"/>
      <c r="J64" s="333"/>
    </row>
    <row r="65" spans="1:11" ht="15.75" customHeight="1" x14ac:dyDescent="0.25">
      <c r="A65" s="111"/>
      <c r="B65" s="278"/>
      <c r="C65" s="107"/>
      <c r="D65" s="101"/>
      <c r="E65" s="112"/>
      <c r="F65" s="113"/>
      <c r="G65" s="114"/>
      <c r="H65" s="114"/>
      <c r="I65" s="333"/>
      <c r="J65" s="333"/>
    </row>
    <row r="66" spans="1:11" ht="15.75" customHeight="1" x14ac:dyDescent="0.25">
      <c r="A66" s="111"/>
      <c r="B66" s="278"/>
      <c r="C66" s="107"/>
      <c r="D66" s="101"/>
      <c r="E66" s="112"/>
      <c r="F66" s="113"/>
      <c r="G66" s="115"/>
      <c r="H66" s="114"/>
      <c r="I66" s="333"/>
      <c r="J66" s="333"/>
    </row>
    <row r="67" spans="1:11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333"/>
      <c r="J67" s="333"/>
    </row>
    <row r="68" spans="1:11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333"/>
      <c r="J68" s="333"/>
    </row>
    <row r="69" spans="1:11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1" ht="15.75" customHeight="1" x14ac:dyDescent="0.25">
      <c r="A70" s="118"/>
      <c r="B70" s="280"/>
      <c r="C70" s="106"/>
      <c r="D70" s="120"/>
      <c r="E70" s="118"/>
      <c r="F70" s="112"/>
      <c r="G70" s="104"/>
      <c r="H70" s="114"/>
      <c r="I70" s="333"/>
      <c r="J70" s="333"/>
    </row>
    <row r="71" spans="1:11" ht="15.75" customHeight="1" x14ac:dyDescent="0.25">
      <c r="A71" s="118"/>
      <c r="B71" s="280"/>
      <c r="C71" s="106"/>
      <c r="D71" s="120"/>
      <c r="E71" s="118"/>
      <c r="F71" s="112"/>
      <c r="G71" s="104"/>
      <c r="H71" s="114"/>
      <c r="I71" s="333"/>
      <c r="J71" s="333"/>
    </row>
    <row r="72" spans="1:11" ht="15.75" customHeight="1" x14ac:dyDescent="0.25">
      <c r="A72" s="118"/>
      <c r="B72" s="280"/>
      <c r="C72" s="106"/>
      <c r="D72" s="338"/>
      <c r="E72" s="118"/>
      <c r="F72" s="112"/>
      <c r="G72" s="104"/>
      <c r="H72" s="114"/>
      <c r="I72" s="333"/>
      <c r="J72" s="333"/>
    </row>
    <row r="73" spans="1:11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</row>
    <row r="74" spans="1:11" ht="15.75" customHeight="1" x14ac:dyDescent="0.25">
      <c r="A74" s="121"/>
      <c r="B74" s="122">
        <f>SUM(B61:B73)+C58</f>
        <v>1106.18</v>
      </c>
      <c r="C74" s="123"/>
      <c r="D74" s="122">
        <f>SUM(D61:D73)</f>
        <v>0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/>
    </row>
    <row r="75" spans="1:11" ht="15.75" customHeight="1" x14ac:dyDescent="0.25">
      <c r="A75" s="125" t="s">
        <v>22</v>
      </c>
      <c r="B75" s="126">
        <f>B74-D74</f>
        <v>1106.18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</row>
    <row r="76" spans="1:11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</row>
    <row r="77" spans="1:11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1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1" ht="15.75" customHeight="1" x14ac:dyDescent="0.25">
      <c r="A79" s="342" t="s">
        <v>2</v>
      </c>
      <c r="B79" s="343" t="s">
        <v>39</v>
      </c>
      <c r="C79" s="344" t="s">
        <v>4</v>
      </c>
      <c r="D79" s="345" t="s">
        <v>5</v>
      </c>
      <c r="E79" s="346" t="s">
        <v>6</v>
      </c>
      <c r="F79" s="347" t="s">
        <v>7</v>
      </c>
      <c r="G79" s="259" t="s">
        <v>8</v>
      </c>
      <c r="H79" s="348" t="s">
        <v>9</v>
      </c>
      <c r="I79" s="349" t="s">
        <v>10</v>
      </c>
      <c r="J79" s="350" t="s">
        <v>40</v>
      </c>
    </row>
    <row r="80" spans="1:11" ht="15.75" customHeight="1" x14ac:dyDescent="0.25">
      <c r="A80" s="236" t="s">
        <v>291</v>
      </c>
      <c r="B80" s="260" t="s">
        <v>172</v>
      </c>
      <c r="C80" s="261" t="s">
        <v>203</v>
      </c>
      <c r="D80" s="262">
        <v>0.2</v>
      </c>
      <c r="E80" s="48">
        <v>480</v>
      </c>
      <c r="F80" s="48">
        <v>18</v>
      </c>
      <c r="G80" s="351">
        <f t="shared" ref="G80:G86" si="3">F80*E80*D80</f>
        <v>1728</v>
      </c>
      <c r="H80" s="352">
        <v>68</v>
      </c>
      <c r="I80" s="352">
        <f t="shared" ref="I80:I86" si="4">H80*F80*E80</f>
        <v>587520</v>
      </c>
      <c r="J80" s="386" t="s">
        <v>292</v>
      </c>
      <c r="K80" s="384"/>
    </row>
    <row r="81" spans="1:11" ht="15.75" customHeight="1" x14ac:dyDescent="0.25">
      <c r="A81" s="236"/>
      <c r="B81" s="260"/>
      <c r="C81" s="261" t="s">
        <v>129</v>
      </c>
      <c r="D81" s="262">
        <v>0.2</v>
      </c>
      <c r="E81" s="48">
        <v>80</v>
      </c>
      <c r="F81" s="48">
        <v>18</v>
      </c>
      <c r="G81" s="351">
        <f t="shared" si="3"/>
        <v>288</v>
      </c>
      <c r="H81" s="352">
        <v>94.1</v>
      </c>
      <c r="I81" s="352">
        <f t="shared" si="4"/>
        <v>135504</v>
      </c>
      <c r="J81" s="387"/>
      <c r="K81" s="372"/>
    </row>
    <row r="82" spans="1:11" ht="15.75" customHeight="1" x14ac:dyDescent="0.25">
      <c r="A82" s="236" t="s">
        <v>291</v>
      </c>
      <c r="B82" s="260" t="s">
        <v>172</v>
      </c>
      <c r="C82" s="261" t="s">
        <v>203</v>
      </c>
      <c r="D82" s="262">
        <v>0.2</v>
      </c>
      <c r="E82" s="48">
        <v>640</v>
      </c>
      <c r="F82" s="48">
        <v>18</v>
      </c>
      <c r="G82" s="351">
        <f t="shared" si="3"/>
        <v>2304</v>
      </c>
      <c r="H82" s="352">
        <v>72</v>
      </c>
      <c r="I82" s="352">
        <f t="shared" si="4"/>
        <v>829440</v>
      </c>
      <c r="J82" s="353" t="s">
        <v>73</v>
      </c>
      <c r="K82" s="338"/>
    </row>
    <row r="83" spans="1:11" ht="15.75" customHeight="1" x14ac:dyDescent="0.25">
      <c r="A83" s="236" t="s">
        <v>291</v>
      </c>
      <c r="B83" s="260" t="s">
        <v>172</v>
      </c>
      <c r="C83" s="261" t="s">
        <v>203</v>
      </c>
      <c r="D83" s="262">
        <v>0.2</v>
      </c>
      <c r="E83" s="48">
        <v>400</v>
      </c>
      <c r="F83" s="48">
        <v>18</v>
      </c>
      <c r="G83" s="351">
        <f t="shared" si="3"/>
        <v>1440</v>
      </c>
      <c r="H83" s="352">
        <v>68</v>
      </c>
      <c r="I83" s="352">
        <f t="shared" si="4"/>
        <v>489600</v>
      </c>
      <c r="J83" s="388" t="s">
        <v>72</v>
      </c>
      <c r="K83" s="385"/>
    </row>
    <row r="84" spans="1:11" ht="15.75" customHeight="1" x14ac:dyDescent="0.25">
      <c r="A84" s="236"/>
      <c r="B84" s="236"/>
      <c r="C84" s="261" t="s">
        <v>129</v>
      </c>
      <c r="D84" s="262">
        <v>0.2</v>
      </c>
      <c r="E84" s="48">
        <v>80</v>
      </c>
      <c r="F84" s="48">
        <v>18</v>
      </c>
      <c r="G84" s="351">
        <f t="shared" si="3"/>
        <v>288</v>
      </c>
      <c r="H84" s="352">
        <v>94.1</v>
      </c>
      <c r="I84" s="352">
        <f t="shared" si="4"/>
        <v>135504</v>
      </c>
      <c r="J84" s="387"/>
      <c r="K84" s="372"/>
    </row>
    <row r="85" spans="1:11" ht="15.75" customHeight="1" x14ac:dyDescent="0.25">
      <c r="A85" s="236" t="s">
        <v>291</v>
      </c>
      <c r="B85" s="260" t="s">
        <v>172</v>
      </c>
      <c r="C85" s="261" t="s">
        <v>203</v>
      </c>
      <c r="D85" s="262">
        <v>0.2</v>
      </c>
      <c r="E85" s="48">
        <v>80</v>
      </c>
      <c r="F85" s="48">
        <v>18</v>
      </c>
      <c r="G85" s="351">
        <f t="shared" si="3"/>
        <v>288</v>
      </c>
      <c r="H85" s="352">
        <v>94.1</v>
      </c>
      <c r="I85" s="352">
        <f t="shared" si="4"/>
        <v>135504</v>
      </c>
      <c r="J85" s="386" t="s">
        <v>204</v>
      </c>
      <c r="K85" s="384"/>
    </row>
    <row r="86" spans="1:11" ht="15.75" customHeight="1" x14ac:dyDescent="0.25">
      <c r="A86" s="236"/>
      <c r="B86" s="236"/>
      <c r="C86" s="261" t="s">
        <v>129</v>
      </c>
      <c r="D86" s="262">
        <v>0.2</v>
      </c>
      <c r="E86" s="48">
        <v>80</v>
      </c>
      <c r="F86" s="48">
        <v>18</v>
      </c>
      <c r="G86" s="351">
        <f t="shared" si="3"/>
        <v>288</v>
      </c>
      <c r="H86" s="352">
        <v>68</v>
      </c>
      <c r="I86" s="352">
        <f t="shared" si="4"/>
        <v>97920</v>
      </c>
      <c r="J86" s="387"/>
      <c r="K86" s="372"/>
    </row>
    <row r="87" spans="1:11" ht="15.75" customHeight="1" x14ac:dyDescent="0.25">
      <c r="A87" s="355"/>
      <c r="B87" s="356"/>
      <c r="C87" s="357"/>
      <c r="D87" s="358"/>
      <c r="E87" s="359"/>
      <c r="F87" s="360"/>
      <c r="G87" s="361"/>
      <c r="H87" s="362"/>
      <c r="I87" s="363"/>
      <c r="J87" s="155"/>
    </row>
    <row r="88" spans="1:11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1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1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1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1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1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5">D93*F93</f>
        <v>0</v>
      </c>
      <c r="H93" s="180"/>
      <c r="I93" s="180">
        <f t="shared" ref="I93:I94" si="6">F93*H93*E93</f>
        <v>0</v>
      </c>
      <c r="J93" s="181"/>
    </row>
    <row r="94" spans="1:11" ht="15.75" customHeight="1" x14ac:dyDescent="0.25">
      <c r="A94" s="176"/>
      <c r="B94" s="157"/>
      <c r="C94" s="182"/>
      <c r="D94" s="183"/>
      <c r="E94" s="184"/>
      <c r="F94" s="183"/>
      <c r="G94" s="179">
        <f t="shared" si="5"/>
        <v>0</v>
      </c>
      <c r="H94" s="185"/>
      <c r="I94" s="180">
        <f t="shared" si="6"/>
        <v>0</v>
      </c>
      <c r="J94" s="181"/>
    </row>
    <row r="95" spans="1:11" ht="15.75" customHeight="1" x14ac:dyDescent="0.25">
      <c r="A95" s="186" t="s">
        <v>37</v>
      </c>
      <c r="B95" s="187"/>
      <c r="C95" s="188"/>
      <c r="D95" s="189"/>
      <c r="E95" s="190">
        <f>SUM(E80:E94)</f>
        <v>1840</v>
      </c>
      <c r="F95" s="191">
        <f>SUM(F80:F92)</f>
        <v>126</v>
      </c>
      <c r="G95" s="192">
        <f>SUM(G80:G87)</f>
        <v>6624</v>
      </c>
      <c r="H95" s="193"/>
      <c r="I95" s="193">
        <f>SUM(I80:I88)</f>
        <v>2410992</v>
      </c>
      <c r="J95" s="194"/>
    </row>
    <row r="96" spans="1:11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6624</v>
      </c>
      <c r="C98" s="200">
        <f>I27+H95+I95</f>
        <v>2410992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 t="s">
        <v>75</v>
      </c>
      <c r="B101" s="55" t="s">
        <v>177</v>
      </c>
      <c r="C101" s="58" t="s">
        <v>291</v>
      </c>
      <c r="D101" s="219"/>
      <c r="E101" s="313" t="s">
        <v>206</v>
      </c>
      <c r="F101" s="57">
        <v>16000</v>
      </c>
      <c r="G101" s="211">
        <f t="shared" ref="G101:G108" si="7">F101</f>
        <v>16000</v>
      </c>
      <c r="H101" s="301"/>
      <c r="I101" s="286"/>
      <c r="J101" s="53"/>
    </row>
    <row r="102" spans="1:10" ht="15.75" customHeight="1" x14ac:dyDescent="0.25">
      <c r="A102" s="208" t="s">
        <v>293</v>
      </c>
      <c r="B102" s="55" t="s">
        <v>177</v>
      </c>
      <c r="C102" s="58" t="s">
        <v>291</v>
      </c>
      <c r="D102" s="219"/>
      <c r="E102" s="210" t="s">
        <v>292</v>
      </c>
      <c r="F102" s="57">
        <v>40572</v>
      </c>
      <c r="G102" s="211">
        <f t="shared" si="7"/>
        <v>40572</v>
      </c>
      <c r="H102" s="301"/>
      <c r="I102" s="311"/>
      <c r="J102" s="53"/>
    </row>
    <row r="103" spans="1:10" ht="15.75" customHeight="1" x14ac:dyDescent="0.25">
      <c r="A103" s="208" t="s">
        <v>294</v>
      </c>
      <c r="B103" s="55" t="s">
        <v>177</v>
      </c>
      <c r="C103" s="58" t="s">
        <v>291</v>
      </c>
      <c r="D103" s="219"/>
      <c r="E103" s="210" t="s">
        <v>73</v>
      </c>
      <c r="F103" s="216">
        <v>96480</v>
      </c>
      <c r="G103" s="211">
        <f t="shared" si="7"/>
        <v>96480</v>
      </c>
      <c r="H103" s="301"/>
      <c r="I103" s="1"/>
      <c r="J103" s="1"/>
    </row>
    <row r="104" spans="1:10" ht="15.75" customHeight="1" x14ac:dyDescent="0.25">
      <c r="A104" s="208" t="s">
        <v>294</v>
      </c>
      <c r="B104" s="55" t="s">
        <v>177</v>
      </c>
      <c r="C104" s="58" t="s">
        <v>291</v>
      </c>
      <c r="D104" s="215"/>
      <c r="E104" s="269" t="s">
        <v>72</v>
      </c>
      <c r="F104" s="216">
        <v>43560</v>
      </c>
      <c r="G104" s="211">
        <f t="shared" si="7"/>
        <v>43560</v>
      </c>
      <c r="H104" s="212"/>
      <c r="I104" s="1"/>
      <c r="J104" s="1"/>
    </row>
    <row r="105" spans="1:10" ht="15.75" customHeight="1" x14ac:dyDescent="0.25">
      <c r="A105" s="208" t="s">
        <v>294</v>
      </c>
      <c r="B105" s="55" t="s">
        <v>177</v>
      </c>
      <c r="C105" s="58" t="s">
        <v>291</v>
      </c>
      <c r="D105" s="219"/>
      <c r="E105" s="269" t="s">
        <v>204</v>
      </c>
      <c r="F105" s="216">
        <v>12720</v>
      </c>
      <c r="G105" s="211">
        <f t="shared" si="7"/>
        <v>12720</v>
      </c>
      <c r="H105" s="212"/>
      <c r="I105" s="1"/>
      <c r="J105" s="1"/>
    </row>
    <row r="106" spans="1:10" ht="15.75" customHeight="1" x14ac:dyDescent="0.25">
      <c r="A106" s="208"/>
      <c r="B106" s="55"/>
      <c r="C106" s="58"/>
      <c r="D106" s="219"/>
      <c r="E106" s="220"/>
      <c r="F106" s="216"/>
      <c r="G106" s="211">
        <f t="shared" si="7"/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7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7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209332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8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8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K80:K81"/>
    <mergeCell ref="J83:J84"/>
    <mergeCell ref="K83:K84"/>
    <mergeCell ref="K85:K86"/>
    <mergeCell ref="A32:H32"/>
    <mergeCell ref="A56:H56"/>
    <mergeCell ref="J85:J86"/>
    <mergeCell ref="A99:H99"/>
    <mergeCell ref="A111:H111"/>
    <mergeCell ref="I58:J58"/>
    <mergeCell ref="I59:J59"/>
    <mergeCell ref="J80:J81"/>
    <mergeCell ref="A1:J1"/>
    <mergeCell ref="A2:J2"/>
    <mergeCell ref="K4:K5"/>
    <mergeCell ref="K7:K8"/>
    <mergeCell ref="K9:K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J1000"/>
  <sheetViews>
    <sheetView topLeftCell="A42" workbookViewId="0">
      <selection sqref="A1:J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36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36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36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36"/>
      <c r="C9" s="261"/>
      <c r="D9" s="262"/>
      <c r="E9" s="263"/>
      <c r="F9" s="14"/>
      <c r="G9" s="264"/>
      <c r="H9" s="16"/>
      <c r="I9" s="16"/>
      <c r="J9" s="17"/>
    </row>
    <row r="10" spans="1:10" ht="15.75" x14ac:dyDescent="0.25">
      <c r="A10" s="10"/>
      <c r="B10" s="260"/>
      <c r="C10" s="260"/>
      <c r="D10" s="262"/>
      <c r="E10" s="26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0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10"/>
      <c r="B14" s="27"/>
      <c r="C14" s="261"/>
      <c r="D14" s="262"/>
      <c r="E14" s="263"/>
      <c r="F14" s="14"/>
      <c r="G14" s="264"/>
      <c r="H14" s="16"/>
      <c r="I14" s="16"/>
      <c r="J14" s="17"/>
    </row>
    <row r="15" spans="1:10" ht="15.75" x14ac:dyDescent="0.25">
      <c r="A15" s="10"/>
      <c r="B15" s="27"/>
      <c r="C15" s="261"/>
      <c r="D15" s="262"/>
      <c r="E15" s="263"/>
      <c r="F15" s="14"/>
      <c r="G15" s="264"/>
      <c r="H15" s="16"/>
      <c r="I15" s="16"/>
      <c r="J15" s="17"/>
    </row>
    <row r="16" spans="1:10" ht="15.75" x14ac:dyDescent="0.25">
      <c r="A16" s="10"/>
      <c r="B16" s="27"/>
      <c r="C16" s="261"/>
      <c r="D16" s="262"/>
      <c r="E16" s="263"/>
      <c r="F16" s="14"/>
      <c r="G16" s="264"/>
      <c r="H16" s="16"/>
      <c r="I16" s="16"/>
      <c r="J16" s="17"/>
    </row>
    <row r="17" spans="1:10" ht="15.75" x14ac:dyDescent="0.25">
      <c r="A17" s="10"/>
      <c r="B17" s="27"/>
      <c r="C17" s="261"/>
      <c r="D17" s="262"/>
      <c r="E17" s="263"/>
      <c r="F17" s="14"/>
      <c r="G17" s="264"/>
      <c r="H17" s="16"/>
      <c r="I17" s="16"/>
      <c r="J17" s="17"/>
    </row>
    <row r="18" spans="1:10" ht="15.75" x14ac:dyDescent="0.25">
      <c r="A18" s="10"/>
      <c r="B18" s="260"/>
      <c r="C18" s="261"/>
      <c r="D18" s="262"/>
      <c r="E18" s="13"/>
      <c r="F18" s="14"/>
      <c r="G18" s="264"/>
      <c r="H18" s="16"/>
      <c r="I18" s="16"/>
      <c r="J18" s="1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2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261"/>
      <c r="D22" s="262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261"/>
      <c r="D23" s="262"/>
      <c r="E23" s="13"/>
      <c r="F23" s="14"/>
      <c r="G23" s="264"/>
      <c r="H23" s="16"/>
      <c r="I23" s="16"/>
      <c r="J23" s="327"/>
    </row>
    <row r="24" spans="1:10" ht="15.75" customHeight="1" x14ac:dyDescent="0.25">
      <c r="A24" s="326"/>
      <c r="B24" s="27"/>
      <c r="C24" s="328"/>
      <c r="D24" s="266"/>
      <c r="E24" s="13"/>
      <c r="F24" s="14"/>
      <c r="G24" s="264"/>
      <c r="H24" s="16"/>
      <c r="I24" s="16"/>
      <c r="J24" s="327"/>
    </row>
    <row r="25" spans="1:10" ht="15.75" customHeight="1" x14ac:dyDescent="0.25">
      <c r="A25" s="326"/>
      <c r="B25" s="27"/>
      <c r="C25" s="328"/>
      <c r="D25" s="266"/>
      <c r="E25" s="13"/>
      <c r="F25" s="14"/>
      <c r="G25" s="264"/>
      <c r="H25" s="16"/>
      <c r="I25" s="16"/>
      <c r="J25" s="327"/>
    </row>
    <row r="26" spans="1:10" ht="15.75" customHeight="1" x14ac:dyDescent="0.25">
      <c r="A26" s="26"/>
      <c r="B26" s="27"/>
      <c r="C26" s="18"/>
      <c r="D26" s="266"/>
      <c r="E26" s="13"/>
      <c r="F26" s="14"/>
      <c r="G26" s="264"/>
      <c r="H26" s="16"/>
      <c r="I26" s="16"/>
      <c r="J26" s="29"/>
    </row>
    <row r="27" spans="1:10" ht="15.75" customHeight="1" x14ac:dyDescent="0.25">
      <c r="A27" s="30"/>
      <c r="B27" s="31"/>
      <c r="C27" s="32"/>
      <c r="D27" s="30"/>
      <c r="E27" s="33">
        <f t="shared" ref="E27:G27" si="0">SUM(E4:E26)</f>
        <v>0</v>
      </c>
      <c r="F27" s="33">
        <f t="shared" si="0"/>
        <v>0</v>
      </c>
      <c r="G27" s="34">
        <f t="shared" si="0"/>
        <v>0</v>
      </c>
      <c r="H27" s="35"/>
      <c r="I27" s="36">
        <f>SUM(I4:I26)</f>
        <v>0</v>
      </c>
      <c r="J27" s="37"/>
    </row>
    <row r="28" spans="1:10" ht="15.75" customHeight="1" x14ac:dyDescent="0.25">
      <c r="A28" s="38"/>
      <c r="B28" s="39"/>
      <c r="C28" s="40"/>
      <c r="D28" s="38"/>
      <c r="E28" s="38"/>
      <c r="F28" s="38"/>
      <c r="G28" s="38"/>
      <c r="H28" s="38"/>
      <c r="I28" s="1"/>
      <c r="J28" s="1"/>
    </row>
    <row r="29" spans="1:10" ht="15.75" customHeight="1" x14ac:dyDescent="0.25">
      <c r="A29" s="41" t="s">
        <v>12</v>
      </c>
      <c r="B29" s="42" t="s">
        <v>10</v>
      </c>
      <c r="C29" s="43" t="s">
        <v>13</v>
      </c>
      <c r="D29" s="44"/>
      <c r="E29" s="38"/>
      <c r="F29" s="38"/>
      <c r="G29" s="38"/>
      <c r="H29" s="38"/>
      <c r="I29" s="1"/>
      <c r="J29" s="1"/>
    </row>
    <row r="30" spans="1:10" ht="15.75" customHeight="1" x14ac:dyDescent="0.25">
      <c r="A30" s="45"/>
      <c r="B30" s="46"/>
      <c r="C30" s="47"/>
      <c r="D30" s="44"/>
      <c r="E30" s="38"/>
      <c r="F30" s="38"/>
      <c r="G30" s="38"/>
      <c r="H30" s="38"/>
      <c r="I30" s="1"/>
      <c r="J30" s="1"/>
    </row>
    <row r="31" spans="1:10" ht="15.75" customHeight="1" x14ac:dyDescent="0.25">
      <c r="A31" s="26"/>
      <c r="B31" s="48"/>
      <c r="C31" s="49"/>
      <c r="D31" s="44"/>
      <c r="E31" s="38"/>
      <c r="F31" s="38"/>
      <c r="G31" s="38"/>
      <c r="H31" s="38"/>
      <c r="I31" s="1"/>
      <c r="J31" s="1"/>
    </row>
    <row r="32" spans="1:10" ht="15.75" customHeight="1" x14ac:dyDescent="0.3">
      <c r="A32" s="375" t="s">
        <v>14</v>
      </c>
      <c r="B32" s="376"/>
      <c r="C32" s="376"/>
      <c r="D32" s="376"/>
      <c r="E32" s="376"/>
      <c r="F32" s="376"/>
      <c r="G32" s="376"/>
      <c r="H32" s="376"/>
      <c r="I32" s="1"/>
      <c r="J32" s="1"/>
    </row>
    <row r="33" spans="1:10" ht="15.75" customHeight="1" x14ac:dyDescent="0.25">
      <c r="A33" s="50" t="s">
        <v>15</v>
      </c>
      <c r="B33" s="51"/>
      <c r="C33" s="51"/>
      <c r="D33" s="44"/>
      <c r="E33" s="50" t="s">
        <v>16</v>
      </c>
      <c r="F33" s="51"/>
      <c r="G33" s="51"/>
      <c r="H33" s="44"/>
      <c r="I33" s="52"/>
      <c r="J33" s="53"/>
    </row>
    <row r="34" spans="1:10" ht="15.75" customHeight="1" x14ac:dyDescent="0.25">
      <c r="A34" s="54" t="s">
        <v>17</v>
      </c>
      <c r="B34" s="55"/>
      <c r="C34" s="56"/>
      <c r="D34" s="57">
        <v>104976.44999999995</v>
      </c>
      <c r="E34" s="54" t="s">
        <v>17</v>
      </c>
      <c r="F34" s="58"/>
      <c r="G34" s="56"/>
      <c r="H34" s="59">
        <v>0</v>
      </c>
      <c r="I34" s="60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9" si="1">F35*G35</f>
        <v>0</v>
      </c>
      <c r="I35" s="309"/>
      <c r="J35" s="309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2"/>
      <c r="C37" s="63"/>
      <c r="D37" s="63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61"/>
      <c r="B38" s="62"/>
      <c r="C38" s="63"/>
      <c r="D38" s="63"/>
      <c r="E38" s="64"/>
      <c r="F38" s="65"/>
      <c r="G38" s="66"/>
      <c r="H38" s="67">
        <f t="shared" si="1"/>
        <v>0</v>
      </c>
      <c r="I38" s="1"/>
      <c r="J38" s="1"/>
    </row>
    <row r="39" spans="1:10" ht="15.75" customHeight="1" x14ac:dyDescent="0.25">
      <c r="A39" s="61"/>
      <c r="B39" s="68"/>
      <c r="C39" s="69"/>
      <c r="D39" s="70"/>
      <c r="E39" s="64"/>
      <c r="F39" s="65"/>
      <c r="G39" s="66"/>
      <c r="H39" s="67">
        <f t="shared" si="1"/>
        <v>0</v>
      </c>
      <c r="I39" s="1"/>
      <c r="J39" s="1"/>
    </row>
    <row r="40" spans="1:10" ht="15.75" customHeight="1" x14ac:dyDescent="0.25">
      <c r="A40" s="71"/>
      <c r="B40" s="62"/>
      <c r="C40" s="63"/>
      <c r="D40" s="70"/>
      <c r="E40" s="72" t="s">
        <v>18</v>
      </c>
      <c r="F40" s="73"/>
      <c r="G40" s="74"/>
      <c r="H40" s="75">
        <f>SUM(H35:H36)</f>
        <v>0</v>
      </c>
      <c r="I40" s="1"/>
      <c r="J40" s="1"/>
    </row>
    <row r="41" spans="1:10" ht="15.75" customHeight="1" x14ac:dyDescent="0.25">
      <c r="A41" s="71" t="s">
        <v>19</v>
      </c>
      <c r="B41" s="62"/>
      <c r="C41" s="74"/>
      <c r="D41" s="75"/>
      <c r="E41" s="71" t="s">
        <v>19</v>
      </c>
      <c r="F41" s="73"/>
      <c r="G41" s="74"/>
      <c r="H41" s="75"/>
      <c r="I41" s="1"/>
      <c r="J41" s="1"/>
    </row>
    <row r="42" spans="1:10" ht="15.75" customHeight="1" x14ac:dyDescent="0.25">
      <c r="A42" s="64" t="s">
        <v>290</v>
      </c>
      <c r="B42" s="62"/>
      <c r="C42" s="63">
        <v>30000</v>
      </c>
      <c r="D42" s="63">
        <v>30000</v>
      </c>
      <c r="E42" s="71"/>
      <c r="F42" s="73"/>
      <c r="G42" s="74"/>
      <c r="H42" s="75"/>
      <c r="I42" s="1"/>
      <c r="J42" s="1"/>
    </row>
    <row r="43" spans="1:10" ht="15.75" customHeight="1" x14ac:dyDescent="0.25">
      <c r="A43" s="76" t="s">
        <v>108</v>
      </c>
      <c r="B43" s="62"/>
      <c r="C43" s="63">
        <v>2000</v>
      </c>
      <c r="D43" s="63">
        <v>2000</v>
      </c>
      <c r="E43" s="71"/>
      <c r="F43" s="73"/>
      <c r="G43" s="74"/>
      <c r="H43" s="67">
        <f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/>
      <c r="I44" s="1"/>
      <c r="J44" s="1"/>
    </row>
    <row r="45" spans="1:10" ht="15.75" customHeight="1" x14ac:dyDescent="0.25">
      <c r="A45" s="76"/>
      <c r="B45" s="62"/>
      <c r="C45" s="63"/>
      <c r="D45" s="63"/>
      <c r="E45" s="71"/>
      <c r="F45" s="73"/>
      <c r="G45" s="74"/>
      <c r="H45" s="67">
        <f t="shared" ref="H45:H53" si="2">F45*G45</f>
        <v>0</v>
      </c>
      <c r="I45" s="1"/>
      <c r="J45" s="1"/>
    </row>
    <row r="46" spans="1:10" ht="15.75" customHeight="1" x14ac:dyDescent="0.25">
      <c r="A46" s="76"/>
      <c r="B46" s="62"/>
      <c r="C46" s="63"/>
      <c r="D46" s="63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2"/>
        <v>0</v>
      </c>
      <c r="I47" s="1"/>
      <c r="J47" s="1"/>
    </row>
    <row r="48" spans="1:10" ht="15.75" customHeight="1" x14ac:dyDescent="0.25">
      <c r="A48" s="64"/>
      <c r="B48" s="62"/>
      <c r="C48" s="63"/>
      <c r="D48" s="69"/>
      <c r="E48" s="71"/>
      <c r="F48" s="73"/>
      <c r="G48" s="74"/>
      <c r="H48" s="67">
        <f t="shared" si="2"/>
        <v>0</v>
      </c>
      <c r="I48" s="1"/>
      <c r="J48" s="1"/>
    </row>
    <row r="49" spans="1:10" ht="15.75" customHeight="1" x14ac:dyDescent="0.25">
      <c r="A49" s="64"/>
      <c r="B49" s="62"/>
      <c r="C49" s="63"/>
      <c r="D49" s="69"/>
      <c r="E49" s="71"/>
      <c r="F49" s="73"/>
      <c r="G49" s="74"/>
      <c r="H49" s="67">
        <f t="shared" si="2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2"/>
        <v>0</v>
      </c>
      <c r="I50" s="309"/>
      <c r="J50" s="1"/>
    </row>
    <row r="51" spans="1:10" ht="15.75" customHeight="1" x14ac:dyDescent="0.25">
      <c r="A51" s="64"/>
      <c r="B51" s="62"/>
      <c r="C51" s="63"/>
      <c r="D51" s="70"/>
      <c r="E51" s="71"/>
      <c r="F51" s="73"/>
      <c r="G51" s="74"/>
      <c r="H51" s="67">
        <f t="shared" si="2"/>
        <v>0</v>
      </c>
      <c r="I51" s="1"/>
      <c r="J51" s="1"/>
    </row>
    <row r="52" spans="1:10" ht="15.75" customHeight="1" x14ac:dyDescent="0.25">
      <c r="A52" s="64"/>
      <c r="B52" s="62"/>
      <c r="C52" s="63"/>
      <c r="D52" s="70"/>
      <c r="E52" s="71"/>
      <c r="F52" s="73"/>
      <c r="G52" s="74"/>
      <c r="H52" s="67">
        <f t="shared" si="2"/>
        <v>0</v>
      </c>
      <c r="I52" s="1"/>
      <c r="J52" s="1"/>
    </row>
    <row r="53" spans="1:10" ht="15.75" customHeight="1" x14ac:dyDescent="0.25">
      <c r="A53" s="78"/>
      <c r="B53" s="62"/>
      <c r="C53" s="63"/>
      <c r="D53" s="79"/>
      <c r="E53" s="80" t="s">
        <v>21</v>
      </c>
      <c r="F53" s="73"/>
      <c r="G53" s="74"/>
      <c r="H53" s="67">
        <f t="shared" si="2"/>
        <v>0</v>
      </c>
      <c r="I53" s="81"/>
      <c r="J53" s="81"/>
    </row>
    <row r="54" spans="1:10" ht="15.75" customHeight="1" x14ac:dyDescent="0.25">
      <c r="A54" s="82" t="s">
        <v>22</v>
      </c>
      <c r="B54" s="83"/>
      <c r="C54" s="84"/>
      <c r="D54" s="85">
        <f>SUM(D35,D36:D39,D34,)-SUM(D42:D53,)</f>
        <v>72976.449999999953</v>
      </c>
      <c r="E54" s="82" t="s">
        <v>22</v>
      </c>
      <c r="F54" s="86"/>
      <c r="G54" s="84"/>
      <c r="H54" s="87">
        <f>SUM(H34+H40-H53)</f>
        <v>0</v>
      </c>
      <c r="I54" s="1"/>
      <c r="J54" s="1"/>
    </row>
    <row r="55" spans="1:10" ht="15.75" customHeight="1" x14ac:dyDescent="0.25">
      <c r="A55" s="88"/>
      <c r="B55" s="89"/>
      <c r="C55" s="40"/>
      <c r="D55" s="38"/>
      <c r="E55" s="38"/>
      <c r="F55" s="38"/>
      <c r="G55" s="1"/>
      <c r="H55" s="1"/>
      <c r="I55" s="1"/>
      <c r="J55" s="1"/>
    </row>
    <row r="56" spans="1:10" ht="15.75" customHeight="1" x14ac:dyDescent="0.25">
      <c r="A56" s="377" t="s">
        <v>23</v>
      </c>
      <c r="B56" s="376"/>
      <c r="C56" s="376"/>
      <c r="D56" s="376"/>
      <c r="E56" s="376"/>
      <c r="F56" s="376"/>
      <c r="G56" s="376"/>
      <c r="H56" s="376"/>
      <c r="I56" s="1"/>
      <c r="J56" s="1"/>
    </row>
    <row r="57" spans="1:10" ht="15.75" customHeight="1" x14ac:dyDescent="0.25">
      <c r="A57" s="90" t="s">
        <v>24</v>
      </c>
      <c r="B57" s="274" t="s">
        <v>24</v>
      </c>
      <c r="C57" s="274"/>
      <c r="D57" s="44"/>
      <c r="E57" s="91" t="s">
        <v>25</v>
      </c>
      <c r="F57" s="51"/>
      <c r="G57" s="51"/>
      <c r="H57" s="44"/>
      <c r="I57" s="341" t="s">
        <v>270</v>
      </c>
    </row>
    <row r="58" spans="1:10" ht="15.75" customHeight="1" x14ac:dyDescent="0.25">
      <c r="A58" s="92" t="s">
        <v>17</v>
      </c>
      <c r="B58" s="275"/>
      <c r="C58" s="285">
        <v>1106.18</v>
      </c>
      <c r="D58" s="51"/>
      <c r="E58" s="94" t="s">
        <v>17</v>
      </c>
      <c r="F58" s="44"/>
      <c r="G58" s="95">
        <v>2428.5</v>
      </c>
      <c r="H58" s="44"/>
      <c r="I58" s="379" t="s">
        <v>271</v>
      </c>
      <c r="J58" s="381"/>
    </row>
    <row r="59" spans="1:10" ht="15.75" customHeight="1" x14ac:dyDescent="0.25">
      <c r="A59" s="96" t="s">
        <v>26</v>
      </c>
      <c r="B59" s="44"/>
      <c r="C59" s="96" t="s">
        <v>27</v>
      </c>
      <c r="D59" s="44"/>
      <c r="E59" s="96" t="s">
        <v>26</v>
      </c>
      <c r="F59" s="44"/>
      <c r="G59" s="96" t="s">
        <v>27</v>
      </c>
      <c r="H59" s="44"/>
      <c r="I59" s="382" t="s">
        <v>272</v>
      </c>
      <c r="J59" s="381"/>
    </row>
    <row r="60" spans="1:10" ht="15.75" customHeight="1" x14ac:dyDescent="0.25">
      <c r="A60" s="97" t="s">
        <v>28</v>
      </c>
      <c r="B60" s="97" t="s">
        <v>10</v>
      </c>
      <c r="C60" s="97" t="s">
        <v>29</v>
      </c>
      <c r="D60" s="97" t="s">
        <v>10</v>
      </c>
      <c r="E60" s="97" t="s">
        <v>28</v>
      </c>
      <c r="F60" s="97" t="s">
        <v>10</v>
      </c>
      <c r="G60" s="330" t="s">
        <v>30</v>
      </c>
      <c r="H60" s="97" t="s">
        <v>10</v>
      </c>
      <c r="I60" s="331" t="s">
        <v>273</v>
      </c>
      <c r="J60" s="331" t="s">
        <v>274</v>
      </c>
    </row>
    <row r="61" spans="1:10" ht="15.75" customHeight="1" x14ac:dyDescent="0.25">
      <c r="A61" s="98"/>
      <c r="B61" s="276"/>
      <c r="C61" s="100"/>
      <c r="D61" s="101"/>
      <c r="E61" s="102"/>
      <c r="F61" s="103"/>
      <c r="G61" s="104"/>
      <c r="H61" s="103"/>
      <c r="I61" s="333"/>
      <c r="J61" s="334"/>
    </row>
    <row r="62" spans="1:10" ht="15.75" customHeight="1" x14ac:dyDescent="0.25">
      <c r="A62" s="277"/>
      <c r="B62" s="276"/>
      <c r="C62" s="106"/>
      <c r="D62" s="101"/>
      <c r="E62" s="104"/>
      <c r="F62" s="103"/>
      <c r="G62" s="104"/>
      <c r="H62" s="103"/>
      <c r="I62" s="333"/>
      <c r="J62" s="333"/>
    </row>
    <row r="63" spans="1:10" ht="15.75" customHeight="1" x14ac:dyDescent="0.25">
      <c r="A63" s="105"/>
      <c r="B63" s="278"/>
      <c r="C63" s="107"/>
      <c r="D63" s="101"/>
      <c r="E63" s="104"/>
      <c r="F63" s="103"/>
      <c r="G63" s="108"/>
      <c r="H63" s="103"/>
      <c r="I63" s="333"/>
      <c r="J63" s="333"/>
    </row>
    <row r="64" spans="1:10" ht="15.75" customHeight="1" x14ac:dyDescent="0.25">
      <c r="A64" s="109"/>
      <c r="B64" s="278"/>
      <c r="C64" s="107"/>
      <c r="D64" s="101"/>
      <c r="E64" s="102"/>
      <c r="F64" s="110"/>
      <c r="G64" s="108"/>
      <c r="H64" s="103"/>
      <c r="I64" s="333"/>
      <c r="J64" s="333"/>
    </row>
    <row r="65" spans="1:10" ht="15.75" customHeight="1" x14ac:dyDescent="0.25">
      <c r="A65" s="111"/>
      <c r="B65" s="278"/>
      <c r="C65" s="107"/>
      <c r="D65" s="101"/>
      <c r="E65" s="112"/>
      <c r="F65" s="113"/>
      <c r="G65" s="114"/>
      <c r="H65" s="114"/>
      <c r="I65" s="333"/>
      <c r="J65" s="333"/>
    </row>
    <row r="66" spans="1:10" ht="15.75" customHeight="1" x14ac:dyDescent="0.25">
      <c r="A66" s="111"/>
      <c r="B66" s="278"/>
      <c r="C66" s="107"/>
      <c r="D66" s="101"/>
      <c r="E66" s="112"/>
      <c r="F66" s="113"/>
      <c r="G66" s="115"/>
      <c r="H66" s="114"/>
      <c r="I66" s="333"/>
      <c r="J66" s="333"/>
    </row>
    <row r="67" spans="1:10" ht="15.75" customHeight="1" x14ac:dyDescent="0.25">
      <c r="A67" s="116"/>
      <c r="B67" s="278"/>
      <c r="C67" s="107"/>
      <c r="D67" s="101"/>
      <c r="E67" s="112"/>
      <c r="F67" s="112"/>
      <c r="G67" s="117"/>
      <c r="H67" s="114"/>
      <c r="I67" s="333"/>
      <c r="J67" s="333"/>
    </row>
    <row r="68" spans="1:10" ht="15.75" customHeight="1" x14ac:dyDescent="0.25">
      <c r="A68" s="118"/>
      <c r="B68" s="279"/>
      <c r="C68" s="107"/>
      <c r="D68" s="101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18"/>
      <c r="B70" s="280"/>
      <c r="C70" s="106"/>
      <c r="D70" s="120"/>
      <c r="E70" s="118"/>
      <c r="F70" s="112"/>
      <c r="G70" s="104"/>
      <c r="H70" s="114"/>
      <c r="I70" s="333"/>
      <c r="J70" s="333"/>
    </row>
    <row r="71" spans="1:10" ht="15.75" customHeight="1" x14ac:dyDescent="0.25">
      <c r="A71" s="118"/>
      <c r="B71" s="280"/>
      <c r="C71" s="106"/>
      <c r="D71" s="120"/>
      <c r="E71" s="118"/>
      <c r="F71" s="112"/>
      <c r="G71" s="104"/>
      <c r="H71" s="114"/>
      <c r="I71" s="333"/>
      <c r="J71" s="333"/>
    </row>
    <row r="72" spans="1:10" ht="15.75" customHeight="1" x14ac:dyDescent="0.25">
      <c r="A72" s="118"/>
      <c r="B72" s="280"/>
      <c r="C72" s="106"/>
      <c r="D72" s="338"/>
      <c r="E72" s="118"/>
      <c r="F72" s="112"/>
      <c r="G72" s="104"/>
      <c r="H72" s="114"/>
      <c r="I72" s="333"/>
      <c r="J72" s="333"/>
    </row>
    <row r="73" spans="1:10" ht="15.75" customHeight="1" x14ac:dyDescent="0.25">
      <c r="A73" s="118"/>
      <c r="B73" s="119"/>
      <c r="C73" s="104"/>
      <c r="D73" s="120"/>
      <c r="E73" s="118"/>
      <c r="F73" s="112"/>
      <c r="G73" s="104"/>
      <c r="H73" s="114"/>
      <c r="I73" s="333"/>
      <c r="J73" s="333"/>
    </row>
    <row r="74" spans="1:10" ht="15.75" customHeight="1" x14ac:dyDescent="0.25">
      <c r="A74" s="121"/>
      <c r="B74" s="122">
        <f>SUM(B61:B73)+C58</f>
        <v>1106.18</v>
      </c>
      <c r="C74" s="123"/>
      <c r="D74" s="122">
        <f>SUM(D61:D73)</f>
        <v>0</v>
      </c>
      <c r="E74" s="124"/>
      <c r="F74" s="124">
        <f>SUM(F61:F73)</f>
        <v>0</v>
      </c>
      <c r="G74" s="124"/>
      <c r="H74" s="124">
        <f>SUM(H61:H73)</f>
        <v>0</v>
      </c>
      <c r="I74" s="339"/>
      <c r="J74" s="340"/>
    </row>
    <row r="75" spans="1:10" ht="15.75" customHeight="1" x14ac:dyDescent="0.25">
      <c r="A75" s="125" t="s">
        <v>22</v>
      </c>
      <c r="B75" s="126">
        <f>B74-D74</f>
        <v>1106.18</v>
      </c>
      <c r="C75" s="51"/>
      <c r="D75" s="44"/>
      <c r="E75" s="94" t="s">
        <v>22</v>
      </c>
      <c r="F75" s="95">
        <v>2428.5</v>
      </c>
      <c r="G75" s="51"/>
      <c r="H75" s="44"/>
      <c r="I75" s="341" t="s">
        <v>289</v>
      </c>
      <c r="J75" s="339"/>
    </row>
    <row r="76" spans="1:10" ht="15.75" customHeight="1" x14ac:dyDescent="0.25">
      <c r="A76" s="127" t="s">
        <v>37</v>
      </c>
      <c r="B76" s="44"/>
      <c r="C76" s="128">
        <v>3534.68</v>
      </c>
      <c r="D76" s="51"/>
      <c r="E76" s="51"/>
      <c r="F76" s="51"/>
      <c r="G76" s="51"/>
      <c r="H76" s="44"/>
      <c r="I76" s="249"/>
      <c r="J76" s="249"/>
    </row>
    <row r="77" spans="1:10" ht="15.75" customHeight="1" x14ac:dyDescent="0.25">
      <c r="A77" s="38"/>
      <c r="B77" s="89"/>
      <c r="C77" s="40"/>
      <c r="D77" s="38"/>
      <c r="E77" s="38"/>
      <c r="F77" s="38"/>
      <c r="G77" s="38"/>
      <c r="H77" s="88"/>
      <c r="I77" s="129"/>
      <c r="J77" s="129"/>
    </row>
    <row r="78" spans="1:10" ht="15.75" customHeight="1" x14ac:dyDescent="0.25">
      <c r="A78" s="130"/>
      <c r="B78" s="131" t="s">
        <v>38</v>
      </c>
      <c r="D78" s="1"/>
      <c r="E78" s="38"/>
      <c r="F78" s="38"/>
      <c r="G78" s="38"/>
      <c r="H78" s="132"/>
      <c r="I78" s="1"/>
      <c r="J78" s="1"/>
    </row>
    <row r="79" spans="1:10" ht="15.75" customHeight="1" x14ac:dyDescent="0.25">
      <c r="A79" s="133" t="s">
        <v>2</v>
      </c>
      <c r="B79" s="134" t="s">
        <v>39</v>
      </c>
      <c r="C79" s="135" t="s">
        <v>4</v>
      </c>
      <c r="D79" s="136" t="s">
        <v>5</v>
      </c>
      <c r="E79" s="137" t="s">
        <v>6</v>
      </c>
      <c r="F79" s="138" t="s">
        <v>7</v>
      </c>
      <c r="G79" s="139" t="s">
        <v>8</v>
      </c>
      <c r="H79" s="140" t="s">
        <v>9</v>
      </c>
      <c r="I79" s="141" t="s">
        <v>10</v>
      </c>
      <c r="J79" s="142" t="s">
        <v>40</v>
      </c>
    </row>
    <row r="80" spans="1:10" ht="15.75" customHeight="1" x14ac:dyDescent="0.25">
      <c r="A80" s="144"/>
      <c r="B80" s="145"/>
      <c r="C80" s="267"/>
      <c r="D80" s="149"/>
      <c r="E80" s="148"/>
      <c r="F80" s="149"/>
      <c r="G80" s="148"/>
      <c r="H80" s="150"/>
      <c r="I80" s="150"/>
      <c r="J80" s="151"/>
    </row>
    <row r="81" spans="1:10" ht="15.75" customHeight="1" x14ac:dyDescent="0.25">
      <c r="A81" s="144"/>
      <c r="B81" s="145"/>
      <c r="C81" s="152"/>
      <c r="D81" s="149"/>
      <c r="E81" s="148"/>
      <c r="F81" s="149"/>
      <c r="G81" s="148"/>
      <c r="H81" s="150"/>
      <c r="I81" s="150"/>
      <c r="J81" s="318"/>
    </row>
    <row r="82" spans="1:10" ht="15.75" customHeight="1" x14ac:dyDescent="0.25">
      <c r="A82" s="144"/>
      <c r="B82" s="145"/>
      <c r="C82" s="152"/>
      <c r="D82" s="149"/>
      <c r="E82" s="148"/>
      <c r="F82" s="149"/>
      <c r="G82" s="148"/>
      <c r="H82" s="150"/>
      <c r="I82" s="150"/>
      <c r="J82" s="153"/>
    </row>
    <row r="83" spans="1:10" ht="15.75" customHeight="1" x14ac:dyDescent="0.25">
      <c r="A83" s="144"/>
      <c r="B83" s="145"/>
      <c r="C83" s="152"/>
      <c r="D83" s="147"/>
      <c r="E83" s="148"/>
      <c r="F83" s="149"/>
      <c r="G83" s="148"/>
      <c r="H83" s="150"/>
      <c r="I83" s="150"/>
      <c r="J83" s="153"/>
    </row>
    <row r="84" spans="1:10" ht="15.75" customHeight="1" x14ac:dyDescent="0.25">
      <c r="A84" s="144"/>
      <c r="B84" s="145"/>
      <c r="C84" s="146"/>
      <c r="D84" s="147"/>
      <c r="E84" s="148"/>
      <c r="F84" s="149"/>
      <c r="G84" s="148"/>
      <c r="H84" s="150"/>
      <c r="I84" s="150"/>
      <c r="J84" s="153"/>
    </row>
    <row r="85" spans="1:10" ht="15.75" customHeight="1" x14ac:dyDescent="0.25">
      <c r="A85" s="144"/>
      <c r="B85" s="145"/>
      <c r="C85" s="146"/>
      <c r="D85" s="147"/>
      <c r="E85" s="148"/>
      <c r="F85" s="149"/>
      <c r="G85" s="148"/>
      <c r="H85" s="150"/>
      <c r="I85" s="150"/>
      <c r="J85" s="153"/>
    </row>
    <row r="86" spans="1:10" ht="15.75" customHeight="1" x14ac:dyDescent="0.25">
      <c r="A86" s="144"/>
      <c r="B86" s="144"/>
      <c r="C86" s="154"/>
      <c r="D86" s="147"/>
      <c r="E86" s="148"/>
      <c r="F86" s="149"/>
      <c r="G86" s="148"/>
      <c r="H86" s="150"/>
      <c r="I86" s="150"/>
      <c r="J86" s="155"/>
    </row>
    <row r="87" spans="1:10" ht="15.75" customHeight="1" x14ac:dyDescent="0.25">
      <c r="A87" s="156"/>
      <c r="B87" s="157"/>
      <c r="C87" s="158"/>
      <c r="D87" s="159"/>
      <c r="E87" s="160"/>
      <c r="F87" s="161"/>
      <c r="G87" s="162"/>
      <c r="H87" s="163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56"/>
      <c r="B90" s="157"/>
      <c r="C90" s="165"/>
      <c r="D90" s="147"/>
      <c r="E90" s="166"/>
      <c r="F90" s="149"/>
      <c r="G90" s="162"/>
      <c r="H90" s="150"/>
      <c r="I90" s="164"/>
      <c r="J90" s="155"/>
    </row>
    <row r="91" spans="1:10" ht="15.75" customHeight="1" x14ac:dyDescent="0.25">
      <c r="A91" s="156"/>
      <c r="B91" s="157"/>
      <c r="C91" s="165"/>
      <c r="D91" s="147"/>
      <c r="E91" s="166"/>
      <c r="F91" s="149"/>
      <c r="G91" s="162"/>
      <c r="H91" s="150"/>
      <c r="I91" s="164"/>
      <c r="J91" s="155"/>
    </row>
    <row r="92" spans="1:10" ht="15.75" customHeight="1" x14ac:dyDescent="0.25">
      <c r="A92" s="167"/>
      <c r="B92" s="168"/>
      <c r="C92" s="169"/>
      <c r="D92" s="170"/>
      <c r="E92" s="171"/>
      <c r="F92" s="172"/>
      <c r="G92" s="173"/>
      <c r="H92" s="174"/>
      <c r="I92" s="175"/>
      <c r="J92" s="155"/>
    </row>
    <row r="93" spans="1:10" ht="15.75" customHeight="1" x14ac:dyDescent="0.25">
      <c r="A93" s="176"/>
      <c r="B93" s="157"/>
      <c r="C93" s="177"/>
      <c r="D93" s="178"/>
      <c r="E93" s="160"/>
      <c r="F93" s="161"/>
      <c r="G93" s="179">
        <f t="shared" ref="G93:G94" si="3">D93*F93</f>
        <v>0</v>
      </c>
      <c r="H93" s="180"/>
      <c r="I93" s="180">
        <f t="shared" ref="I93:I94" si="4">F93*H93*E93</f>
        <v>0</v>
      </c>
      <c r="J93" s="181"/>
    </row>
    <row r="94" spans="1:10" ht="15.75" customHeight="1" x14ac:dyDescent="0.25">
      <c r="A94" s="176"/>
      <c r="B94" s="157"/>
      <c r="C94" s="182"/>
      <c r="D94" s="183"/>
      <c r="E94" s="184"/>
      <c r="F94" s="183"/>
      <c r="G94" s="179">
        <f t="shared" si="3"/>
        <v>0</v>
      </c>
      <c r="H94" s="185"/>
      <c r="I94" s="180">
        <f t="shared" si="4"/>
        <v>0</v>
      </c>
      <c r="J94" s="181"/>
    </row>
    <row r="95" spans="1:10" ht="15.75" customHeight="1" x14ac:dyDescent="0.25">
      <c r="A95" s="186" t="s">
        <v>37</v>
      </c>
      <c r="B95" s="187"/>
      <c r="C95" s="188"/>
      <c r="D95" s="189"/>
      <c r="E95" s="190">
        <f>SUM(E80:E94)</f>
        <v>0</v>
      </c>
      <c r="F95" s="191">
        <f>SUM(F80:F92)</f>
        <v>0</v>
      </c>
      <c r="G95" s="192">
        <f>SUM(G80:G87)</f>
        <v>0</v>
      </c>
      <c r="H95" s="193"/>
      <c r="I95" s="193">
        <f>SUM(I80:I88)</f>
        <v>0</v>
      </c>
      <c r="J95" s="194"/>
    </row>
    <row r="96" spans="1:10" ht="15.75" customHeight="1" x14ac:dyDescent="0.25">
      <c r="A96" s="1"/>
      <c r="B96" s="89"/>
      <c r="C96" s="40"/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195" t="s">
        <v>41</v>
      </c>
      <c r="B97" s="196" t="s">
        <v>42</v>
      </c>
      <c r="C97" s="197" t="s">
        <v>43</v>
      </c>
      <c r="D97" s="38"/>
      <c r="E97" s="38"/>
      <c r="F97" s="38"/>
      <c r="G97" s="38"/>
      <c r="H97" s="1"/>
      <c r="I97" s="1"/>
      <c r="J97" s="1"/>
    </row>
    <row r="98" spans="1:10" ht="15.75" customHeight="1" x14ac:dyDescent="0.25">
      <c r="A98" s="198"/>
      <c r="B98" s="199">
        <f>E27+G95</f>
        <v>0</v>
      </c>
      <c r="C98" s="200">
        <f>I27+H95+I95</f>
        <v>0</v>
      </c>
      <c r="D98" s="38"/>
      <c r="E98" s="38"/>
      <c r="F98" s="38"/>
      <c r="G98" s="38"/>
      <c r="H98" s="1"/>
      <c r="I98" s="1"/>
      <c r="J98" s="1"/>
    </row>
    <row r="99" spans="1:10" ht="15.75" customHeight="1" x14ac:dyDescent="0.25">
      <c r="A99" s="378" t="s">
        <v>44</v>
      </c>
      <c r="B99" s="376"/>
      <c r="C99" s="376"/>
      <c r="D99" s="376"/>
      <c r="E99" s="376"/>
      <c r="F99" s="376"/>
      <c r="G99" s="376"/>
      <c r="H99" s="376"/>
      <c r="I99" s="286"/>
      <c r="J99" s="53"/>
    </row>
    <row r="100" spans="1:10" ht="15.75" customHeight="1" x14ac:dyDescent="0.25">
      <c r="A100" s="202" t="s">
        <v>2</v>
      </c>
      <c r="B100" s="203" t="s">
        <v>45</v>
      </c>
      <c r="C100" s="204" t="s">
        <v>130</v>
      </c>
      <c r="D100" s="205" t="s">
        <v>4</v>
      </c>
      <c r="E100" s="206" t="s">
        <v>47</v>
      </c>
      <c r="F100" s="207" t="s">
        <v>48</v>
      </c>
      <c r="G100" s="206" t="s">
        <v>10</v>
      </c>
      <c r="H100" s="287" t="s">
        <v>49</v>
      </c>
      <c r="I100" s="286"/>
      <c r="J100" s="53"/>
    </row>
    <row r="101" spans="1:10" ht="15.75" customHeight="1" x14ac:dyDescent="0.25">
      <c r="A101" s="208"/>
      <c r="B101" s="55"/>
      <c r="C101" s="58"/>
      <c r="D101" s="219"/>
      <c r="E101" s="313"/>
      <c r="F101" s="57"/>
      <c r="G101" s="211">
        <v>0</v>
      </c>
      <c r="H101" s="301"/>
      <c r="I101" s="286"/>
      <c r="J101" s="53"/>
    </row>
    <row r="102" spans="1:10" ht="15.75" customHeight="1" x14ac:dyDescent="0.25">
      <c r="A102" s="208"/>
      <c r="B102" s="55"/>
      <c r="C102" s="58"/>
      <c r="D102" s="219"/>
      <c r="E102" s="210"/>
      <c r="F102" s="57"/>
      <c r="G102" s="211">
        <v>0</v>
      </c>
      <c r="H102" s="301"/>
      <c r="I102" s="311"/>
      <c r="J102" s="53"/>
    </row>
    <row r="103" spans="1:10" ht="15.75" customHeight="1" x14ac:dyDescent="0.25">
      <c r="A103" s="213"/>
      <c r="B103" s="55"/>
      <c r="C103" s="58"/>
      <c r="D103" s="219"/>
      <c r="E103" s="269"/>
      <c r="F103" s="216"/>
      <c r="G103" s="211">
        <v>0</v>
      </c>
      <c r="H103" s="301"/>
      <c r="I103" s="1"/>
      <c r="J103" s="1"/>
    </row>
    <row r="104" spans="1:10" ht="15.75" customHeight="1" x14ac:dyDescent="0.25">
      <c r="A104" s="213"/>
      <c r="B104" s="55"/>
      <c r="C104" s="214"/>
      <c r="D104" s="215"/>
      <c r="E104" s="269"/>
      <c r="F104" s="216"/>
      <c r="G104" s="211"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69"/>
      <c r="F105" s="216"/>
      <c r="G105" s="211"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ref="G106:G108" si="5">F106+F1224</f>
        <v>0</v>
      </c>
      <c r="H106" s="212"/>
      <c r="I106" s="1"/>
      <c r="J106" s="1"/>
    </row>
    <row r="107" spans="1:10" ht="15.75" customHeight="1" x14ac:dyDescent="0.25">
      <c r="A107" s="213"/>
      <c r="B107" s="55"/>
      <c r="C107" s="214"/>
      <c r="D107" s="219"/>
      <c r="E107" s="220"/>
      <c r="F107" s="216"/>
      <c r="G107" s="211">
        <f t="shared" si="5"/>
        <v>0</v>
      </c>
      <c r="H107" s="212"/>
      <c r="I107" s="1"/>
      <c r="J107" s="1"/>
    </row>
    <row r="108" spans="1:10" ht="15.75" customHeight="1" x14ac:dyDescent="0.25">
      <c r="A108" s="213"/>
      <c r="B108" s="55"/>
      <c r="C108" s="214"/>
      <c r="D108" s="219"/>
      <c r="E108" s="220"/>
      <c r="F108" s="216"/>
      <c r="G108" s="211">
        <f t="shared" si="5"/>
        <v>0</v>
      </c>
      <c r="H108" s="221"/>
      <c r="I108" s="1"/>
      <c r="J108" s="1"/>
    </row>
    <row r="109" spans="1:10" ht="15.75" customHeight="1" x14ac:dyDescent="0.25">
      <c r="A109" s="222" t="s">
        <v>37</v>
      </c>
      <c r="B109" s="223"/>
      <c r="C109" s="224"/>
      <c r="D109" s="225"/>
      <c r="E109" s="226">
        <f>SUM(E101:E108)</f>
        <v>0</v>
      </c>
      <c r="F109" s="227"/>
      <c r="G109" s="228">
        <f>SUM(G101:G108)</f>
        <v>0</v>
      </c>
      <c r="H109" s="228"/>
      <c r="I109" s="1"/>
      <c r="J109" s="1"/>
    </row>
    <row r="110" spans="1:10" ht="15.75" customHeight="1" x14ac:dyDescent="0.25">
      <c r="A110" s="38"/>
      <c r="B110" s="89"/>
      <c r="C110" s="40"/>
      <c r="D110" s="38"/>
      <c r="E110" s="38"/>
      <c r="F110" s="38"/>
      <c r="G110" s="38"/>
      <c r="H110" s="38"/>
      <c r="I110" s="1"/>
      <c r="J110" s="1"/>
    </row>
    <row r="111" spans="1:10" ht="15.75" customHeight="1" x14ac:dyDescent="0.25">
      <c r="A111" s="369" t="s">
        <v>50</v>
      </c>
      <c r="B111" s="370"/>
      <c r="C111" s="370"/>
      <c r="D111" s="370"/>
      <c r="E111" s="370"/>
      <c r="F111" s="370"/>
      <c r="G111" s="370"/>
      <c r="H111" s="370"/>
      <c r="I111" s="229"/>
      <c r="J111" s="1"/>
    </row>
    <row r="112" spans="1:10" ht="15.75" customHeight="1" x14ac:dyDescent="0.25">
      <c r="A112" s="202" t="s">
        <v>2</v>
      </c>
      <c r="B112" s="230" t="s">
        <v>45</v>
      </c>
      <c r="C112" s="231" t="s">
        <v>4</v>
      </c>
      <c r="D112" s="232" t="s">
        <v>51</v>
      </c>
      <c r="E112" s="232" t="s">
        <v>48</v>
      </c>
      <c r="F112" s="232" t="s">
        <v>10</v>
      </c>
      <c r="G112" s="206" t="s">
        <v>52</v>
      </c>
      <c r="H112" s="206"/>
      <c r="I112" s="1"/>
      <c r="J112" s="1"/>
    </row>
    <row r="113" spans="1:10" ht="15.75" customHeight="1" x14ac:dyDescent="0.25">
      <c r="A113" s="270"/>
      <c r="B113" s="271"/>
      <c r="C113" s="235"/>
      <c r="D113" s="236"/>
      <c r="E113" s="272"/>
      <c r="F113" s="273"/>
      <c r="G113" s="239"/>
      <c r="H113" s="240"/>
      <c r="I113" s="1"/>
      <c r="J113" s="1"/>
    </row>
    <row r="114" spans="1:10" ht="15.75" customHeight="1" x14ac:dyDescent="0.25">
      <c r="A114" s="241"/>
      <c r="B114" s="242"/>
      <c r="C114" s="243"/>
      <c r="D114" s="244"/>
      <c r="E114" s="245"/>
      <c r="F114" s="246">
        <f t="shared" ref="F114:F115" si="6">D114*E114</f>
        <v>0</v>
      </c>
      <c r="G114" s="247"/>
      <c r="H114" s="248"/>
      <c r="I114" s="1"/>
      <c r="J114" s="1"/>
    </row>
    <row r="115" spans="1:10" ht="15.75" customHeight="1" x14ac:dyDescent="0.25">
      <c r="A115" s="249"/>
      <c r="B115" s="250"/>
      <c r="C115" s="249"/>
      <c r="D115" s="249"/>
      <c r="E115" s="249"/>
      <c r="F115" s="246">
        <f t="shared" si="6"/>
        <v>0</v>
      </c>
      <c r="G115" s="249"/>
      <c r="H115" s="249"/>
      <c r="I115" s="1"/>
      <c r="J115" s="1"/>
    </row>
    <row r="116" spans="1:10" ht="15.75" customHeight="1" x14ac:dyDescent="0.25">
      <c r="A116" s="241"/>
      <c r="B116" s="250"/>
      <c r="C116" s="249"/>
      <c r="D116" s="251"/>
      <c r="E116" s="249"/>
      <c r="F116" s="252"/>
      <c r="G116" s="249"/>
      <c r="H116" s="249"/>
      <c r="I116" s="1"/>
      <c r="J116" s="1"/>
    </row>
    <row r="117" spans="1:10" ht="15.75" customHeight="1" x14ac:dyDescent="0.25">
      <c r="A117" s="1"/>
      <c r="B117" s="253"/>
      <c r="C117" s="1"/>
      <c r="D117" s="1"/>
      <c r="E117" s="1"/>
      <c r="F117" s="254"/>
      <c r="G117" s="1"/>
      <c r="H117" s="1"/>
      <c r="I117" s="255"/>
      <c r="J117" s="256"/>
    </row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I59:J59"/>
    <mergeCell ref="A99:H99"/>
    <mergeCell ref="A111:H111"/>
    <mergeCell ref="A1:J1"/>
    <mergeCell ref="A2:J2"/>
    <mergeCell ref="A32:H32"/>
    <mergeCell ref="A56:H56"/>
    <mergeCell ref="I58:J5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J1008"/>
  <sheetViews>
    <sheetView topLeftCell="A55" workbookViewId="0">
      <selection activeCell="M74" sqref="M74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2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57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84</v>
      </c>
      <c r="B4" s="260" t="s">
        <v>172</v>
      </c>
      <c r="C4" s="261" t="s">
        <v>295</v>
      </c>
      <c r="D4" s="262">
        <v>1</v>
      </c>
      <c r="E4" s="263"/>
      <c r="F4" s="14"/>
      <c r="G4" s="264"/>
      <c r="H4" s="16">
        <v>800</v>
      </c>
      <c r="I4" s="16">
        <v>800</v>
      </c>
      <c r="J4" s="17"/>
    </row>
    <row r="5" spans="1:10" ht="15.75" x14ac:dyDescent="0.25">
      <c r="A5" s="10"/>
      <c r="B5" s="260"/>
      <c r="C5" s="261" t="s">
        <v>54</v>
      </c>
      <c r="D5" s="262">
        <v>0.2</v>
      </c>
      <c r="E5" s="263">
        <v>3</v>
      </c>
      <c r="F5" s="14">
        <v>18</v>
      </c>
      <c r="G5" s="264">
        <f t="shared" ref="G5:G6" si="0">E5*D5</f>
        <v>0.60000000000000009</v>
      </c>
      <c r="H5" s="16">
        <v>75</v>
      </c>
      <c r="I5" s="16">
        <f t="shared" ref="I5:I8" si="1">H5*E5</f>
        <v>225</v>
      </c>
      <c r="J5" s="17"/>
    </row>
    <row r="6" spans="1:10" ht="15.75" x14ac:dyDescent="0.25">
      <c r="A6" s="10"/>
      <c r="B6" s="260"/>
      <c r="C6" s="261" t="s">
        <v>55</v>
      </c>
      <c r="D6" s="262">
        <v>0.2</v>
      </c>
      <c r="E6" s="263">
        <v>14</v>
      </c>
      <c r="F6" s="14">
        <v>18</v>
      </c>
      <c r="G6" s="264">
        <f t="shared" si="0"/>
        <v>2.8000000000000003</v>
      </c>
      <c r="H6" s="16">
        <v>85</v>
      </c>
      <c r="I6" s="16">
        <f t="shared" si="1"/>
        <v>1190</v>
      </c>
      <c r="J6" s="17"/>
    </row>
    <row r="7" spans="1:10" ht="15.75" x14ac:dyDescent="0.25">
      <c r="A7" s="10"/>
      <c r="B7" s="27"/>
      <c r="C7" s="261" t="s">
        <v>296</v>
      </c>
      <c r="D7" s="262">
        <v>1</v>
      </c>
      <c r="E7" s="263">
        <v>1</v>
      </c>
      <c r="F7" s="14">
        <v>1</v>
      </c>
      <c r="G7" s="264">
        <v>1</v>
      </c>
      <c r="H7" s="16">
        <v>190</v>
      </c>
      <c r="I7" s="16">
        <f t="shared" si="1"/>
        <v>190</v>
      </c>
      <c r="J7" s="17"/>
    </row>
    <row r="8" spans="1:10" ht="15.75" x14ac:dyDescent="0.25">
      <c r="A8" s="10"/>
      <c r="B8" s="27"/>
      <c r="C8" s="261" t="s">
        <v>297</v>
      </c>
      <c r="D8" s="262">
        <v>1</v>
      </c>
      <c r="E8" s="263">
        <v>1</v>
      </c>
      <c r="F8" s="14">
        <v>1</v>
      </c>
      <c r="G8" s="264">
        <v>1</v>
      </c>
      <c r="H8" s="16">
        <v>190</v>
      </c>
      <c r="I8" s="16">
        <f t="shared" si="1"/>
        <v>190</v>
      </c>
      <c r="J8" s="17"/>
    </row>
    <row r="9" spans="1:10" ht="15.75" x14ac:dyDescent="0.25">
      <c r="A9" s="10"/>
      <c r="B9" s="27"/>
      <c r="C9" s="261" t="s">
        <v>298</v>
      </c>
      <c r="D9" s="262">
        <v>2.5499999999999998</v>
      </c>
      <c r="E9" s="263"/>
      <c r="F9" s="14"/>
      <c r="G9" s="264"/>
      <c r="H9" s="16">
        <v>196</v>
      </c>
      <c r="I9" s="16">
        <f>H9*D9</f>
        <v>499.79999999999995</v>
      </c>
      <c r="J9" s="17"/>
    </row>
    <row r="10" spans="1:10" ht="15.75" x14ac:dyDescent="0.25">
      <c r="A10" s="10" t="s">
        <v>299</v>
      </c>
      <c r="B10" s="27"/>
      <c r="C10" s="261" t="s">
        <v>54</v>
      </c>
      <c r="D10" s="262">
        <v>0.2</v>
      </c>
      <c r="E10" s="263">
        <v>180</v>
      </c>
      <c r="F10" s="14">
        <v>18</v>
      </c>
      <c r="G10" s="264">
        <f t="shared" ref="G10:G13" si="2">E10*D10</f>
        <v>36</v>
      </c>
      <c r="H10" s="16">
        <v>85</v>
      </c>
      <c r="I10" s="16">
        <f t="shared" ref="I10:I19" si="3">H10*E10</f>
        <v>15300</v>
      </c>
      <c r="J10" s="17"/>
    </row>
    <row r="11" spans="1:10" ht="15.75" x14ac:dyDescent="0.25">
      <c r="A11" s="10"/>
      <c r="B11" s="27"/>
      <c r="C11" s="261" t="s">
        <v>55</v>
      </c>
      <c r="D11" s="262">
        <v>0.2</v>
      </c>
      <c r="E11" s="263">
        <v>180</v>
      </c>
      <c r="F11" s="14">
        <v>18</v>
      </c>
      <c r="G11" s="264">
        <f t="shared" si="2"/>
        <v>36</v>
      </c>
      <c r="H11" s="16">
        <v>75</v>
      </c>
      <c r="I11" s="16">
        <f t="shared" si="3"/>
        <v>13500</v>
      </c>
      <c r="J11" s="17"/>
    </row>
    <row r="12" spans="1:10" ht="15.75" x14ac:dyDescent="0.25">
      <c r="A12" s="10"/>
      <c r="B12" s="27"/>
      <c r="C12" s="261" t="s">
        <v>56</v>
      </c>
      <c r="D12" s="262">
        <v>0.11</v>
      </c>
      <c r="E12" s="263">
        <v>10</v>
      </c>
      <c r="F12" s="14">
        <v>10</v>
      </c>
      <c r="G12" s="264">
        <f t="shared" si="2"/>
        <v>1.1000000000000001</v>
      </c>
      <c r="H12" s="16">
        <v>35</v>
      </c>
      <c r="I12" s="16">
        <f t="shared" si="3"/>
        <v>350</v>
      </c>
      <c r="J12" s="17"/>
    </row>
    <row r="13" spans="1:10" ht="15.75" x14ac:dyDescent="0.25">
      <c r="A13" s="326"/>
      <c r="B13" s="27"/>
      <c r="C13" s="261" t="s">
        <v>58</v>
      </c>
      <c r="D13" s="262">
        <v>0.11</v>
      </c>
      <c r="E13" s="263">
        <v>30</v>
      </c>
      <c r="F13" s="14">
        <v>10</v>
      </c>
      <c r="G13" s="264">
        <f t="shared" si="2"/>
        <v>3.3</v>
      </c>
      <c r="H13" s="16">
        <v>35</v>
      </c>
      <c r="I13" s="16">
        <f t="shared" si="3"/>
        <v>1050</v>
      </c>
      <c r="J13" s="327"/>
    </row>
    <row r="14" spans="1:10" ht="15.75" x14ac:dyDescent="0.25">
      <c r="A14" s="326"/>
      <c r="B14" s="27"/>
      <c r="C14" s="261" t="s">
        <v>59</v>
      </c>
      <c r="D14" s="262">
        <v>0.11</v>
      </c>
      <c r="E14" s="13">
        <v>20</v>
      </c>
      <c r="F14" s="14">
        <v>10</v>
      </c>
      <c r="G14" s="264">
        <v>2.5499999999999998</v>
      </c>
      <c r="H14" s="16">
        <v>35</v>
      </c>
      <c r="I14" s="16">
        <f t="shared" si="3"/>
        <v>700</v>
      </c>
      <c r="J14" s="327"/>
    </row>
    <row r="15" spans="1:10" ht="15.75" x14ac:dyDescent="0.25">
      <c r="A15" s="326"/>
      <c r="B15" s="27"/>
      <c r="C15" s="261" t="s">
        <v>300</v>
      </c>
      <c r="D15" s="262">
        <v>0.5</v>
      </c>
      <c r="E15" s="13">
        <v>12</v>
      </c>
      <c r="F15" s="14">
        <v>12</v>
      </c>
      <c r="G15" s="264">
        <f t="shared" ref="G15:G19" si="4">D15*F15</f>
        <v>6</v>
      </c>
      <c r="H15" s="16">
        <v>110</v>
      </c>
      <c r="I15" s="16">
        <f t="shared" si="3"/>
        <v>1320</v>
      </c>
      <c r="J15" s="327"/>
    </row>
    <row r="16" spans="1:10" ht="15.75" x14ac:dyDescent="0.25">
      <c r="A16" s="326"/>
      <c r="B16" s="27"/>
      <c r="C16" s="261" t="s">
        <v>159</v>
      </c>
      <c r="D16" s="262">
        <v>0.5</v>
      </c>
      <c r="E16" s="13">
        <v>24</v>
      </c>
      <c r="F16" s="14">
        <v>12</v>
      </c>
      <c r="G16" s="264">
        <f t="shared" si="4"/>
        <v>6</v>
      </c>
      <c r="H16" s="16">
        <v>110</v>
      </c>
      <c r="I16" s="16">
        <f t="shared" si="3"/>
        <v>2640</v>
      </c>
      <c r="J16" s="327"/>
    </row>
    <row r="17" spans="1:10" ht="15.75" x14ac:dyDescent="0.25">
      <c r="A17" s="326"/>
      <c r="B17" s="27"/>
      <c r="C17" s="261" t="s">
        <v>301</v>
      </c>
      <c r="D17" s="262">
        <v>0.5</v>
      </c>
      <c r="E17" s="13">
        <v>12</v>
      </c>
      <c r="F17" s="14">
        <v>12</v>
      </c>
      <c r="G17" s="264">
        <f t="shared" si="4"/>
        <v>6</v>
      </c>
      <c r="H17" s="16">
        <v>110</v>
      </c>
      <c r="I17" s="16">
        <f t="shared" si="3"/>
        <v>1320</v>
      </c>
      <c r="J17" s="327"/>
    </row>
    <row r="18" spans="1:10" ht="15.75" x14ac:dyDescent="0.25">
      <c r="A18" s="326"/>
      <c r="B18" s="27"/>
      <c r="C18" s="261" t="s">
        <v>302</v>
      </c>
      <c r="D18" s="262">
        <v>0.5</v>
      </c>
      <c r="E18" s="13">
        <v>12</v>
      </c>
      <c r="F18" s="14">
        <v>12</v>
      </c>
      <c r="G18" s="264">
        <f t="shared" si="4"/>
        <v>6</v>
      </c>
      <c r="H18" s="16">
        <v>110</v>
      </c>
      <c r="I18" s="16">
        <f t="shared" si="3"/>
        <v>1320</v>
      </c>
      <c r="J18" s="327"/>
    </row>
    <row r="19" spans="1:10" ht="15.75" x14ac:dyDescent="0.25">
      <c r="A19" s="326"/>
      <c r="B19" s="27"/>
      <c r="C19" s="261" t="s">
        <v>303</v>
      </c>
      <c r="D19" s="262">
        <v>0.5</v>
      </c>
      <c r="E19" s="13">
        <v>24</v>
      </c>
      <c r="F19" s="14">
        <v>12</v>
      </c>
      <c r="G19" s="264">
        <f t="shared" si="4"/>
        <v>6</v>
      </c>
      <c r="H19" s="16">
        <v>110</v>
      </c>
      <c r="I19" s="16">
        <f t="shared" si="3"/>
        <v>2640</v>
      </c>
      <c r="J19" s="327"/>
    </row>
    <row r="20" spans="1:10" ht="15.75" x14ac:dyDescent="0.25">
      <c r="A20" s="326"/>
      <c r="B20" s="27"/>
      <c r="C20" s="261"/>
      <c r="D20" s="266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328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26"/>
      <c r="B23" s="27"/>
      <c r="C23" s="18"/>
      <c r="D23" s="266"/>
      <c r="E23" s="13"/>
      <c r="F23" s="14"/>
      <c r="G23" s="264">
        <f>D23*F23</f>
        <v>0</v>
      </c>
      <c r="H23" s="16"/>
      <c r="I23" s="16">
        <f>H23*E23</f>
        <v>0</v>
      </c>
      <c r="J23" s="29"/>
    </row>
    <row r="24" spans="1:10" ht="15.75" customHeight="1" x14ac:dyDescent="0.25">
      <c r="A24" s="30"/>
      <c r="B24" s="31"/>
      <c r="C24" s="32"/>
      <c r="D24" s="30"/>
      <c r="E24" s="33">
        <f t="shared" ref="E24:G24" si="5">SUM(E4:E23)</f>
        <v>523</v>
      </c>
      <c r="F24" s="33">
        <f t="shared" si="5"/>
        <v>164</v>
      </c>
      <c r="G24" s="34">
        <f t="shared" si="5"/>
        <v>114.35</v>
      </c>
      <c r="H24" s="35"/>
      <c r="I24" s="36">
        <f>SUM(I4:I23)</f>
        <v>43234.8</v>
      </c>
      <c r="J24" s="37"/>
    </row>
    <row r="25" spans="1:10" ht="15.75" customHeight="1" x14ac:dyDescent="0.25">
      <c r="A25" s="38"/>
      <c r="B25" s="39"/>
      <c r="C25" s="40"/>
      <c r="D25" s="38"/>
      <c r="E25" s="38"/>
      <c r="F25" s="38"/>
      <c r="G25" s="38"/>
      <c r="H25" s="38"/>
      <c r="I25" s="1"/>
      <c r="J25" s="1"/>
    </row>
    <row r="26" spans="1:10" ht="15.75" customHeight="1" x14ac:dyDescent="0.25">
      <c r="A26" s="41" t="s">
        <v>12</v>
      </c>
      <c r="B26" s="42" t="s">
        <v>10</v>
      </c>
      <c r="C26" s="43" t="s">
        <v>13</v>
      </c>
      <c r="D26" s="44"/>
      <c r="E26" s="38"/>
      <c r="F26" s="38"/>
      <c r="G26" s="38"/>
      <c r="H26" s="38"/>
      <c r="I26" s="1"/>
      <c r="J26" s="1"/>
    </row>
    <row r="27" spans="1:10" ht="15.75" customHeight="1" x14ac:dyDescent="0.25">
      <c r="A27" s="45"/>
      <c r="B27" s="46"/>
      <c r="C27" s="47"/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26"/>
      <c r="B28" s="48"/>
      <c r="C28" s="49"/>
      <c r="D28" s="44"/>
      <c r="E28" s="38"/>
      <c r="F28" s="38"/>
      <c r="G28" s="38"/>
      <c r="H28" s="38"/>
      <c r="I28" s="1"/>
      <c r="J28" s="1"/>
    </row>
    <row r="29" spans="1:10" ht="15.75" customHeight="1" x14ac:dyDescent="0.3">
      <c r="A29" s="375" t="s">
        <v>14</v>
      </c>
      <c r="B29" s="376"/>
      <c r="C29" s="376"/>
      <c r="D29" s="376"/>
      <c r="E29" s="376"/>
      <c r="F29" s="376"/>
      <c r="G29" s="376"/>
      <c r="H29" s="376"/>
      <c r="I29" s="1"/>
      <c r="J29" s="1"/>
    </row>
    <row r="30" spans="1:10" ht="15.75" customHeight="1" x14ac:dyDescent="0.25">
      <c r="A30" s="50" t="s">
        <v>15</v>
      </c>
      <c r="B30" s="51"/>
      <c r="C30" s="51"/>
      <c r="D30" s="44"/>
      <c r="E30" s="50" t="s">
        <v>16</v>
      </c>
      <c r="F30" s="51"/>
      <c r="G30" s="51"/>
      <c r="H30" s="44"/>
      <c r="I30" s="52"/>
      <c r="J30" s="53"/>
    </row>
    <row r="31" spans="1:10" ht="15.75" customHeight="1" x14ac:dyDescent="0.25">
      <c r="A31" s="54" t="s">
        <v>17</v>
      </c>
      <c r="B31" s="55"/>
      <c r="C31" s="56"/>
      <c r="D31" s="57">
        <v>72976.449999999953</v>
      </c>
      <c r="E31" s="54" t="s">
        <v>17</v>
      </c>
      <c r="F31" s="58"/>
      <c r="G31" s="56"/>
      <c r="H31" s="59">
        <v>0</v>
      </c>
      <c r="I31" s="60"/>
      <c r="J31" s="1"/>
    </row>
    <row r="32" spans="1:10" ht="15.75" customHeight="1" x14ac:dyDescent="0.25">
      <c r="A32" s="61" t="s">
        <v>304</v>
      </c>
      <c r="B32" s="62"/>
      <c r="C32" s="63">
        <v>40140</v>
      </c>
      <c r="D32" s="63">
        <v>40140</v>
      </c>
      <c r="E32" s="64"/>
      <c r="F32" s="65"/>
      <c r="G32" s="66"/>
      <c r="H32" s="67">
        <f t="shared" ref="H32:H36" si="6">F32*G32</f>
        <v>0</v>
      </c>
      <c r="I32" s="309"/>
      <c r="J32" s="309"/>
    </row>
    <row r="33" spans="1:10" ht="15.75" customHeight="1" x14ac:dyDescent="0.25">
      <c r="A33" s="61" t="s">
        <v>84</v>
      </c>
      <c r="B33" s="62"/>
      <c r="C33" s="63">
        <v>3094.8</v>
      </c>
      <c r="D33" s="63">
        <v>3094.8</v>
      </c>
      <c r="E33" s="64"/>
      <c r="F33" s="65"/>
      <c r="G33" s="66"/>
      <c r="H33" s="67">
        <f t="shared" si="6"/>
        <v>0</v>
      </c>
      <c r="I33" s="1"/>
      <c r="J33" s="1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>
        <f t="shared" si="6"/>
        <v>0</v>
      </c>
      <c r="I34" s="1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si="6"/>
        <v>0</v>
      </c>
      <c r="I35" s="1"/>
      <c r="J35" s="1"/>
    </row>
    <row r="36" spans="1:10" ht="15.75" customHeight="1" x14ac:dyDescent="0.25">
      <c r="A36" s="61"/>
      <c r="B36" s="68"/>
      <c r="C36" s="69"/>
      <c r="D36" s="70"/>
      <c r="E36" s="64"/>
      <c r="F36" s="65"/>
      <c r="G36" s="66"/>
      <c r="H36" s="67">
        <f t="shared" si="6"/>
        <v>0</v>
      </c>
      <c r="I36" s="1"/>
      <c r="J36" s="1"/>
    </row>
    <row r="37" spans="1:10" ht="15.75" customHeight="1" x14ac:dyDescent="0.25">
      <c r="A37" s="71"/>
      <c r="B37" s="62"/>
      <c r="C37" s="63"/>
      <c r="D37" s="70"/>
      <c r="E37" s="72" t="s">
        <v>18</v>
      </c>
      <c r="F37" s="73"/>
      <c r="G37" s="74"/>
      <c r="H37" s="75">
        <f>SUM(H32:H33)</f>
        <v>0</v>
      </c>
      <c r="I37" s="1"/>
      <c r="J37" s="1"/>
    </row>
    <row r="38" spans="1:10" ht="15.75" customHeight="1" x14ac:dyDescent="0.25">
      <c r="A38" s="71" t="s">
        <v>19</v>
      </c>
      <c r="B38" s="62"/>
      <c r="C38" s="74"/>
      <c r="D38" s="75"/>
      <c r="E38" s="71" t="s">
        <v>19</v>
      </c>
      <c r="F38" s="73"/>
      <c r="G38" s="74"/>
      <c r="H38" s="75"/>
      <c r="I38" s="1"/>
      <c r="J38" s="1"/>
    </row>
    <row r="39" spans="1:10" ht="15.75" customHeight="1" x14ac:dyDescent="0.25">
      <c r="A39" s="64" t="s">
        <v>305</v>
      </c>
      <c r="B39" s="62"/>
      <c r="C39" s="63">
        <v>650</v>
      </c>
      <c r="D39" s="63">
        <v>650</v>
      </c>
      <c r="E39" s="71"/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>
        <v>6000</v>
      </c>
      <c r="D40" s="63">
        <v>6000</v>
      </c>
      <c r="E40" s="71"/>
      <c r="F40" s="73"/>
      <c r="G40" s="74"/>
      <c r="H40" s="67">
        <f>F40*G40</f>
        <v>0</v>
      </c>
      <c r="I40" s="1"/>
      <c r="J40" s="1"/>
    </row>
    <row r="41" spans="1:10" ht="15.75" customHeight="1" x14ac:dyDescent="0.25">
      <c r="A41" s="76" t="s">
        <v>306</v>
      </c>
      <c r="B41" s="62"/>
      <c r="C41" s="63">
        <v>10300</v>
      </c>
      <c r="D41" s="63">
        <v>10300</v>
      </c>
      <c r="E41" s="71"/>
      <c r="F41" s="73"/>
      <c r="G41" s="74"/>
      <c r="H41" s="67"/>
      <c r="I41" s="1"/>
      <c r="J41" s="1"/>
    </row>
    <row r="42" spans="1:10" ht="15.75" customHeight="1" x14ac:dyDescent="0.25">
      <c r="A42" s="76" t="s">
        <v>307</v>
      </c>
      <c r="B42" s="62"/>
      <c r="C42" s="63">
        <v>413</v>
      </c>
      <c r="D42" s="63">
        <v>413</v>
      </c>
      <c r="E42" s="71"/>
      <c r="F42" s="73"/>
      <c r="G42" s="74"/>
      <c r="H42" s="67">
        <f t="shared" ref="H42:H50" si="7">F42*G42</f>
        <v>0</v>
      </c>
      <c r="I42" s="1"/>
      <c r="J42" s="1"/>
    </row>
    <row r="43" spans="1:10" ht="15.75" customHeight="1" x14ac:dyDescent="0.25">
      <c r="A43" s="76"/>
      <c r="B43" s="62"/>
      <c r="C43" s="63"/>
      <c r="D43" s="63"/>
      <c r="E43" s="71"/>
      <c r="F43" s="73"/>
      <c r="G43" s="74"/>
      <c r="H43" s="67">
        <f t="shared" si="7"/>
        <v>0</v>
      </c>
      <c r="I43" s="1"/>
      <c r="J43" s="1"/>
    </row>
    <row r="44" spans="1:10" ht="15.75" customHeight="1" x14ac:dyDescent="0.25">
      <c r="A44" s="64"/>
      <c r="B44" s="62"/>
      <c r="C44" s="63"/>
      <c r="D44" s="69"/>
      <c r="E44" s="71"/>
      <c r="F44" s="73"/>
      <c r="G44" s="74"/>
      <c r="H44" s="67">
        <f t="shared" si="7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7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7"/>
        <v>0</v>
      </c>
      <c r="I46" s="1"/>
      <c r="J46" s="1"/>
    </row>
    <row r="47" spans="1:10" ht="15.75" customHeight="1" x14ac:dyDescent="0.25">
      <c r="A47" s="64"/>
      <c r="B47" s="62"/>
      <c r="C47" s="63"/>
      <c r="D47" s="70"/>
      <c r="E47" s="71"/>
      <c r="F47" s="73"/>
      <c r="G47" s="74"/>
      <c r="H47" s="67">
        <f t="shared" si="7"/>
        <v>0</v>
      </c>
      <c r="I47" s="309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7"/>
        <v>0</v>
      </c>
      <c r="I48" s="1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7"/>
        <v>0</v>
      </c>
      <c r="I49" s="1"/>
      <c r="J49" s="1"/>
    </row>
    <row r="50" spans="1:10" ht="15.75" customHeight="1" x14ac:dyDescent="0.25">
      <c r="A50" s="78"/>
      <c r="B50" s="62"/>
      <c r="C50" s="63"/>
      <c r="D50" s="79"/>
      <c r="E50" s="80" t="s">
        <v>21</v>
      </c>
      <c r="F50" s="73"/>
      <c r="G50" s="74"/>
      <c r="H50" s="67">
        <f t="shared" si="7"/>
        <v>0</v>
      </c>
      <c r="I50" s="81"/>
      <c r="J50" s="81"/>
    </row>
    <row r="51" spans="1:10" ht="15.75" customHeight="1" x14ac:dyDescent="0.25">
      <c r="A51" s="82" t="s">
        <v>22</v>
      </c>
      <c r="B51" s="83"/>
      <c r="C51" s="84"/>
      <c r="D51" s="85">
        <f>SUM(D32,D33:D36,D31,)-SUM(D39:D50,)</f>
        <v>98848.249999999956</v>
      </c>
      <c r="E51" s="82" t="s">
        <v>22</v>
      </c>
      <c r="F51" s="86"/>
      <c r="G51" s="84"/>
      <c r="H51" s="87">
        <f>SUM(H31+H37-H50)</f>
        <v>0</v>
      </c>
      <c r="I51" s="1"/>
      <c r="J51" s="1"/>
    </row>
    <row r="52" spans="1:10" ht="15.75" customHeight="1" x14ac:dyDescent="0.25">
      <c r="A52" s="88"/>
      <c r="B52" s="89"/>
      <c r="C52" s="40"/>
      <c r="D52" s="38"/>
      <c r="E52" s="38"/>
      <c r="F52" s="38"/>
      <c r="G52" s="1"/>
      <c r="H52" s="1"/>
      <c r="I52" s="1"/>
      <c r="J52" s="1"/>
    </row>
    <row r="53" spans="1:10" ht="15.75" customHeight="1" x14ac:dyDescent="0.25">
      <c r="A53" s="377" t="s">
        <v>23</v>
      </c>
      <c r="B53" s="376"/>
      <c r="C53" s="376"/>
      <c r="D53" s="376"/>
      <c r="E53" s="376"/>
      <c r="F53" s="376"/>
      <c r="G53" s="376"/>
      <c r="H53" s="376"/>
      <c r="I53" s="1"/>
      <c r="J53" s="1"/>
    </row>
    <row r="54" spans="1:10" ht="15.75" customHeight="1" x14ac:dyDescent="0.25">
      <c r="A54" s="90" t="s">
        <v>24</v>
      </c>
      <c r="B54" s="274" t="s">
        <v>24</v>
      </c>
      <c r="C54" s="274"/>
      <c r="D54" s="44"/>
      <c r="E54" s="91" t="s">
        <v>25</v>
      </c>
      <c r="F54" s="51"/>
      <c r="G54" s="51"/>
      <c r="H54" s="44"/>
      <c r="I54" s="341" t="s">
        <v>270</v>
      </c>
    </row>
    <row r="55" spans="1:10" ht="24.75" customHeight="1" x14ac:dyDescent="0.25">
      <c r="A55" s="92" t="s">
        <v>17</v>
      </c>
      <c r="B55" s="275"/>
      <c r="C55" s="285">
        <v>1106.18</v>
      </c>
      <c r="D55" s="51"/>
      <c r="E55" s="94" t="s">
        <v>17</v>
      </c>
      <c r="F55" s="44"/>
      <c r="G55" s="95">
        <v>2428.5</v>
      </c>
      <c r="H55" s="44"/>
      <c r="I55" s="379" t="s">
        <v>271</v>
      </c>
      <c r="J55" s="381"/>
    </row>
    <row r="56" spans="1:10" ht="15.75" customHeight="1" x14ac:dyDescent="0.25">
      <c r="A56" s="96" t="s">
        <v>26</v>
      </c>
      <c r="B56" s="44"/>
      <c r="C56" s="96" t="s">
        <v>27</v>
      </c>
      <c r="D56" s="44"/>
      <c r="E56" s="96" t="s">
        <v>26</v>
      </c>
      <c r="F56" s="44"/>
      <c r="G56" s="96" t="s">
        <v>27</v>
      </c>
      <c r="H56" s="44"/>
      <c r="I56" s="382" t="s">
        <v>272</v>
      </c>
      <c r="J56" s="381"/>
    </row>
    <row r="57" spans="1:10" ht="15.75" customHeight="1" x14ac:dyDescent="0.25">
      <c r="A57" s="97" t="s">
        <v>28</v>
      </c>
      <c r="B57" s="97" t="s">
        <v>10</v>
      </c>
      <c r="C57" s="97" t="s">
        <v>29</v>
      </c>
      <c r="D57" s="97" t="s">
        <v>10</v>
      </c>
      <c r="E57" s="97" t="s">
        <v>28</v>
      </c>
      <c r="F57" s="97" t="s">
        <v>10</v>
      </c>
      <c r="G57" s="330" t="s">
        <v>30</v>
      </c>
      <c r="H57" s="97" t="s">
        <v>10</v>
      </c>
      <c r="I57" s="331" t="s">
        <v>273</v>
      </c>
      <c r="J57" s="331" t="s">
        <v>274</v>
      </c>
    </row>
    <row r="58" spans="1:10" ht="15.75" customHeight="1" x14ac:dyDescent="0.25">
      <c r="A58" s="98" t="s">
        <v>308</v>
      </c>
      <c r="B58" s="276">
        <v>1700000</v>
      </c>
      <c r="C58" s="100"/>
      <c r="D58" s="101"/>
      <c r="E58" s="102"/>
      <c r="F58" s="103"/>
      <c r="G58" s="104"/>
      <c r="H58" s="103"/>
      <c r="I58" s="333"/>
      <c r="J58" s="334"/>
    </row>
    <row r="59" spans="1:10" ht="15.75" customHeight="1" x14ac:dyDescent="0.25">
      <c r="A59" s="277"/>
      <c r="B59" s="276"/>
      <c r="C59" s="106" t="s">
        <v>309</v>
      </c>
      <c r="D59" s="101">
        <v>7500</v>
      </c>
      <c r="E59" s="104"/>
      <c r="F59" s="103"/>
      <c r="G59" s="104"/>
      <c r="H59" s="103"/>
      <c r="I59" s="333"/>
      <c r="J59" s="333"/>
    </row>
    <row r="60" spans="1:10" ht="15.75" customHeight="1" x14ac:dyDescent="0.25">
      <c r="A60" s="105"/>
      <c r="B60" s="278"/>
      <c r="C60" s="107" t="s">
        <v>310</v>
      </c>
      <c r="D60" s="101">
        <v>7570</v>
      </c>
      <c r="E60" s="104"/>
      <c r="F60" s="103"/>
      <c r="G60" s="108"/>
      <c r="H60" s="103"/>
      <c r="I60" s="333"/>
      <c r="J60" s="333"/>
    </row>
    <row r="61" spans="1:10" ht="44.25" customHeight="1" x14ac:dyDescent="0.25">
      <c r="A61" s="109"/>
      <c r="B61" s="278"/>
      <c r="C61" s="107" t="s">
        <v>311</v>
      </c>
      <c r="D61" s="101">
        <v>21678</v>
      </c>
      <c r="E61" s="102"/>
      <c r="F61" s="110"/>
      <c r="G61" s="108"/>
      <c r="H61" s="103"/>
      <c r="I61" s="333"/>
      <c r="J61" s="333"/>
    </row>
    <row r="62" spans="1:10" ht="33.75" customHeight="1" x14ac:dyDescent="0.25">
      <c r="A62" s="111"/>
      <c r="B62" s="278"/>
      <c r="C62" s="107" t="s">
        <v>312</v>
      </c>
      <c r="D62" s="101">
        <v>29000</v>
      </c>
      <c r="E62" s="112"/>
      <c r="F62" s="113"/>
      <c r="G62" s="114"/>
      <c r="H62" s="114"/>
      <c r="I62" s="333"/>
      <c r="J62" s="333"/>
    </row>
    <row r="63" spans="1:10" ht="30" x14ac:dyDescent="0.25">
      <c r="A63" s="111"/>
      <c r="B63" s="278"/>
      <c r="C63" s="107" t="s">
        <v>313</v>
      </c>
      <c r="D63" s="101">
        <v>302760</v>
      </c>
      <c r="E63" s="112"/>
      <c r="F63" s="113"/>
      <c r="G63" s="115"/>
      <c r="H63" s="114"/>
      <c r="I63" s="333"/>
      <c r="J63" s="333"/>
    </row>
    <row r="64" spans="1:10" ht="15.75" customHeight="1" x14ac:dyDescent="0.25">
      <c r="A64" s="116"/>
      <c r="B64" s="278"/>
      <c r="C64" s="107" t="s">
        <v>314</v>
      </c>
      <c r="D64" s="101">
        <v>0</v>
      </c>
      <c r="E64" s="112"/>
      <c r="F64" s="112"/>
      <c r="G64" s="117"/>
      <c r="H64" s="114"/>
      <c r="I64" s="333"/>
      <c r="J64" s="333"/>
    </row>
    <row r="65" spans="1:10" ht="15.75" customHeight="1" x14ac:dyDescent="0.25">
      <c r="A65" s="367"/>
      <c r="B65" s="368"/>
      <c r="C65" s="107" t="s">
        <v>392</v>
      </c>
      <c r="D65" s="101"/>
      <c r="E65" s="112"/>
      <c r="F65" s="112"/>
      <c r="G65" s="117"/>
      <c r="H65" s="114"/>
      <c r="I65" s="333"/>
      <c r="J65" s="333"/>
    </row>
    <row r="66" spans="1:10" ht="15.75" customHeight="1" x14ac:dyDescent="0.25">
      <c r="A66" s="367"/>
      <c r="B66" s="368"/>
      <c r="C66" s="107" t="s">
        <v>393</v>
      </c>
      <c r="D66" s="101"/>
      <c r="E66" s="112"/>
      <c r="F66" s="112"/>
      <c r="G66" s="117"/>
      <c r="H66" s="114"/>
      <c r="I66" s="333"/>
      <c r="J66" s="333"/>
    </row>
    <row r="67" spans="1:10" ht="15.75" customHeight="1" x14ac:dyDescent="0.25">
      <c r="A67" s="367"/>
      <c r="B67" s="368"/>
      <c r="C67" s="107" t="s">
        <v>394</v>
      </c>
      <c r="D67" s="101"/>
      <c r="E67" s="112"/>
      <c r="F67" s="112"/>
      <c r="G67" s="117"/>
      <c r="H67" s="114"/>
      <c r="I67" s="333"/>
      <c r="J67" s="333"/>
    </row>
    <row r="68" spans="1:10" ht="15.75" customHeight="1" x14ac:dyDescent="0.25">
      <c r="A68" s="367"/>
      <c r="B68" s="368"/>
      <c r="C68" s="107" t="s">
        <v>395</v>
      </c>
      <c r="D68" s="101"/>
      <c r="E68" s="112"/>
      <c r="F68" s="112"/>
      <c r="G68" s="117"/>
      <c r="H68" s="114"/>
      <c r="I68" s="333"/>
      <c r="J68" s="333"/>
    </row>
    <row r="69" spans="1:10" ht="15.75" customHeight="1" x14ac:dyDescent="0.25">
      <c r="A69" s="367"/>
      <c r="B69" s="368"/>
      <c r="C69" s="107" t="s">
        <v>396</v>
      </c>
      <c r="D69" s="101"/>
      <c r="E69" s="112"/>
      <c r="F69" s="112"/>
      <c r="G69" s="117"/>
      <c r="H69" s="114"/>
      <c r="I69" s="333"/>
      <c r="J69" s="333"/>
    </row>
    <row r="70" spans="1:10" ht="15.75" customHeight="1" x14ac:dyDescent="0.25">
      <c r="A70" s="367"/>
      <c r="B70" s="368"/>
      <c r="C70" s="107" t="s">
        <v>397</v>
      </c>
      <c r="D70" s="101"/>
      <c r="E70" s="112"/>
      <c r="F70" s="112"/>
      <c r="G70" s="117"/>
      <c r="H70" s="114"/>
      <c r="I70" s="333"/>
      <c r="J70" s="333"/>
    </row>
    <row r="71" spans="1:10" ht="15.75" customHeight="1" x14ac:dyDescent="0.25">
      <c r="A71" s="367"/>
      <c r="B71" s="368"/>
      <c r="C71" s="107" t="s">
        <v>398</v>
      </c>
      <c r="D71" s="101"/>
      <c r="E71" s="112"/>
      <c r="F71" s="112"/>
      <c r="G71" s="117"/>
      <c r="H71" s="114"/>
      <c r="I71" s="333"/>
      <c r="J71" s="333"/>
    </row>
    <row r="72" spans="1:10" ht="15.75" customHeight="1" x14ac:dyDescent="0.25">
      <c r="A72" s="367"/>
      <c r="B72" s="368"/>
      <c r="C72" s="107" t="s">
        <v>399</v>
      </c>
      <c r="D72" s="101"/>
      <c r="E72" s="112"/>
      <c r="F72" s="112"/>
      <c r="G72" s="117"/>
      <c r="H72" s="114"/>
      <c r="I72" s="333"/>
      <c r="J72" s="333"/>
    </row>
    <row r="73" spans="1:10" ht="15.75" customHeight="1" x14ac:dyDescent="0.25">
      <c r="A73" s="118"/>
      <c r="B73" s="279"/>
      <c r="C73" s="107" t="s">
        <v>400</v>
      </c>
      <c r="D73" s="101"/>
      <c r="E73" s="118"/>
      <c r="F73" s="112"/>
      <c r="G73" s="104"/>
      <c r="H73" s="114"/>
      <c r="I73" s="333"/>
      <c r="J73" s="333"/>
    </row>
    <row r="74" spans="1:10" ht="15.75" customHeight="1" x14ac:dyDescent="0.25">
      <c r="A74" s="118"/>
      <c r="B74" s="280"/>
      <c r="C74" s="106" t="s">
        <v>401</v>
      </c>
      <c r="D74" s="101">
        <v>6728.28</v>
      </c>
      <c r="E74" s="118"/>
      <c r="F74" s="112"/>
      <c r="G74" s="104"/>
      <c r="H74" s="114"/>
      <c r="I74" s="333"/>
      <c r="J74" s="333"/>
    </row>
    <row r="75" spans="1:10" ht="15.75" customHeight="1" x14ac:dyDescent="0.25">
      <c r="A75" s="118"/>
      <c r="B75" s="280"/>
      <c r="C75" s="106" t="s">
        <v>402</v>
      </c>
      <c r="D75" s="120"/>
      <c r="E75" s="118"/>
      <c r="F75" s="112"/>
      <c r="G75" s="104"/>
      <c r="H75" s="114"/>
      <c r="I75" s="333"/>
      <c r="J75" s="333"/>
    </row>
    <row r="76" spans="1:10" ht="15.75" customHeight="1" x14ac:dyDescent="0.25">
      <c r="A76" s="118"/>
      <c r="B76" s="280"/>
      <c r="C76" s="106" t="s">
        <v>403</v>
      </c>
      <c r="D76" s="120"/>
      <c r="E76" s="118"/>
      <c r="F76" s="112"/>
      <c r="G76" s="104"/>
      <c r="H76" s="114"/>
      <c r="I76" s="333"/>
      <c r="J76" s="333"/>
    </row>
    <row r="77" spans="1:10" ht="15.75" customHeight="1" x14ac:dyDescent="0.25">
      <c r="A77" s="118"/>
      <c r="B77" s="280"/>
      <c r="C77" s="106" t="s">
        <v>404</v>
      </c>
      <c r="D77" s="338"/>
      <c r="E77" s="118"/>
      <c r="F77" s="112"/>
      <c r="G77" s="104"/>
      <c r="H77" s="114"/>
      <c r="I77" s="333"/>
      <c r="J77" s="333"/>
    </row>
    <row r="78" spans="1:10" ht="15.75" customHeight="1" x14ac:dyDescent="0.25">
      <c r="A78" s="118"/>
      <c r="B78" s="119"/>
      <c r="C78" s="106" t="s">
        <v>405</v>
      </c>
      <c r="D78" s="120"/>
      <c r="E78" s="118"/>
      <c r="F78" s="112"/>
      <c r="G78" s="104"/>
      <c r="H78" s="114"/>
      <c r="I78" s="333"/>
      <c r="J78" s="333"/>
    </row>
    <row r="79" spans="1:10" ht="15.75" customHeight="1" x14ac:dyDescent="0.25">
      <c r="A79" s="121"/>
      <c r="B79" s="122">
        <f>SUM(B58:B78)+C55</f>
        <v>1701106.18</v>
      </c>
      <c r="C79" s="123"/>
      <c r="D79" s="122">
        <f>SUM(D58:D78)</f>
        <v>375236.28</v>
      </c>
      <c r="E79" s="124"/>
      <c r="F79" s="124">
        <f>SUM(F58:F78)</f>
        <v>0</v>
      </c>
      <c r="G79" s="124"/>
      <c r="H79" s="124">
        <f>SUM(H58:H78)</f>
        <v>0</v>
      </c>
      <c r="I79" s="339"/>
      <c r="J79" s="340"/>
    </row>
    <row r="80" spans="1:10" ht="33.75" customHeight="1" x14ac:dyDescent="0.25">
      <c r="A80" s="125" t="s">
        <v>22</v>
      </c>
      <c r="B80" s="126">
        <f>B79-D79</f>
        <v>1325869.8999999999</v>
      </c>
      <c r="C80" s="51"/>
      <c r="D80" s="44"/>
      <c r="E80" s="94" t="s">
        <v>22</v>
      </c>
      <c r="F80" s="95">
        <v>2428.5</v>
      </c>
      <c r="G80" s="51"/>
      <c r="H80" s="44"/>
      <c r="I80" s="341" t="s">
        <v>289</v>
      </c>
      <c r="J80" s="339"/>
    </row>
    <row r="81" spans="1:10" ht="15.75" customHeight="1" x14ac:dyDescent="0.25">
      <c r="A81" s="127" t="s">
        <v>37</v>
      </c>
      <c r="B81" s="44"/>
      <c r="C81" s="128">
        <v>1328298.3999999999</v>
      </c>
      <c r="D81" s="51"/>
      <c r="E81" s="51"/>
      <c r="F81" s="51"/>
      <c r="G81" s="51"/>
      <c r="H81" s="44"/>
      <c r="I81" s="249"/>
      <c r="J81" s="249"/>
    </row>
    <row r="82" spans="1:10" ht="15.75" customHeight="1" x14ac:dyDescent="0.25">
      <c r="A82" s="38"/>
      <c r="B82" s="89"/>
      <c r="C82" s="40"/>
      <c r="D82" s="38"/>
      <c r="E82" s="38"/>
      <c r="F82" s="38"/>
      <c r="G82" s="38"/>
      <c r="H82" s="88"/>
      <c r="I82" s="129"/>
      <c r="J82" s="129"/>
    </row>
    <row r="83" spans="1:10" ht="15.75" customHeight="1" x14ac:dyDescent="0.25">
      <c r="A83" s="130"/>
      <c r="B83" s="131" t="s">
        <v>38</v>
      </c>
      <c r="D83" s="1"/>
      <c r="E83" s="38"/>
      <c r="F83" s="38"/>
      <c r="G83" s="38"/>
      <c r="H83" s="132"/>
      <c r="I83" s="1"/>
      <c r="J83" s="1"/>
    </row>
    <row r="84" spans="1:10" ht="15.75" customHeight="1" x14ac:dyDescent="0.25">
      <c r="A84" s="342" t="s">
        <v>2</v>
      </c>
      <c r="B84" s="343" t="s">
        <v>39</v>
      </c>
      <c r="C84" s="344" t="s">
        <v>4</v>
      </c>
      <c r="D84" s="345" t="s">
        <v>5</v>
      </c>
      <c r="E84" s="346" t="s">
        <v>6</v>
      </c>
      <c r="F84" s="347" t="s">
        <v>7</v>
      </c>
      <c r="G84" s="259" t="s">
        <v>8</v>
      </c>
      <c r="H84" s="348" t="s">
        <v>9</v>
      </c>
      <c r="I84" s="349" t="s">
        <v>10</v>
      </c>
      <c r="J84" s="350" t="s">
        <v>40</v>
      </c>
    </row>
    <row r="85" spans="1:10" ht="15.75" customHeight="1" x14ac:dyDescent="0.25">
      <c r="A85" s="236"/>
      <c r="B85" s="260"/>
      <c r="C85" s="261"/>
      <c r="D85" s="262"/>
      <c r="E85" s="48"/>
      <c r="F85" s="48"/>
      <c r="G85" s="351"/>
      <c r="H85" s="352"/>
      <c r="I85" s="352"/>
      <c r="J85" s="386"/>
    </row>
    <row r="86" spans="1:10" ht="15.75" customHeight="1" x14ac:dyDescent="0.25">
      <c r="A86" s="236"/>
      <c r="B86" s="260"/>
      <c r="C86" s="261"/>
      <c r="D86" s="262"/>
      <c r="E86" s="48"/>
      <c r="F86" s="48"/>
      <c r="G86" s="351"/>
      <c r="H86" s="352"/>
      <c r="I86" s="352"/>
      <c r="J86" s="387"/>
    </row>
    <row r="87" spans="1:10" ht="15.75" customHeight="1" x14ac:dyDescent="0.25">
      <c r="A87" s="236"/>
      <c r="B87" s="260"/>
      <c r="C87" s="261"/>
      <c r="D87" s="262"/>
      <c r="E87" s="48"/>
      <c r="F87" s="48"/>
      <c r="G87" s="351"/>
      <c r="H87" s="352"/>
      <c r="I87" s="352"/>
      <c r="J87" s="353"/>
    </row>
    <row r="88" spans="1:10" ht="15.75" customHeight="1" x14ac:dyDescent="0.25">
      <c r="A88" s="236"/>
      <c r="B88" s="260"/>
      <c r="C88" s="261"/>
      <c r="D88" s="262"/>
      <c r="E88" s="48"/>
      <c r="F88" s="48"/>
      <c r="G88" s="351"/>
      <c r="H88" s="352"/>
      <c r="I88" s="352"/>
      <c r="J88" s="388"/>
    </row>
    <row r="89" spans="1:10" ht="15.75" customHeight="1" x14ac:dyDescent="0.25">
      <c r="A89" s="236"/>
      <c r="B89" s="236"/>
      <c r="C89" s="261"/>
      <c r="D89" s="262"/>
      <c r="E89" s="48"/>
      <c r="F89" s="48"/>
      <c r="G89" s="351"/>
      <c r="H89" s="352"/>
      <c r="I89" s="352"/>
      <c r="J89" s="387"/>
    </row>
    <row r="90" spans="1:10" ht="15.75" customHeight="1" x14ac:dyDescent="0.25">
      <c r="A90" s="236"/>
      <c r="B90" s="260"/>
      <c r="C90" s="261"/>
      <c r="D90" s="262"/>
      <c r="E90" s="48"/>
      <c r="F90" s="48"/>
      <c r="G90" s="351"/>
      <c r="H90" s="352"/>
      <c r="I90" s="352"/>
      <c r="J90" s="386"/>
    </row>
    <row r="91" spans="1:10" ht="15.75" customHeight="1" x14ac:dyDescent="0.25">
      <c r="A91" s="236"/>
      <c r="B91" s="236"/>
      <c r="C91" s="261"/>
      <c r="D91" s="262"/>
      <c r="E91" s="48"/>
      <c r="F91" s="48"/>
      <c r="G91" s="351"/>
      <c r="H91" s="352"/>
      <c r="I91" s="352"/>
      <c r="J91" s="387"/>
    </row>
    <row r="92" spans="1:10" ht="15.75" customHeight="1" x14ac:dyDescent="0.25">
      <c r="A92" s="355"/>
      <c r="B92" s="356"/>
      <c r="C92" s="357"/>
      <c r="D92" s="358"/>
      <c r="E92" s="359"/>
      <c r="F92" s="360"/>
      <c r="G92" s="361"/>
      <c r="H92" s="362"/>
      <c r="I92" s="363"/>
      <c r="J92" s="155"/>
    </row>
    <row r="93" spans="1:10" ht="15.75" customHeight="1" x14ac:dyDescent="0.25">
      <c r="A93" s="156"/>
      <c r="B93" s="157"/>
      <c r="C93" s="165"/>
      <c r="D93" s="147"/>
      <c r="E93" s="166"/>
      <c r="F93" s="149"/>
      <c r="G93" s="162"/>
      <c r="H93" s="150"/>
      <c r="I93" s="164"/>
      <c r="J93" s="155"/>
    </row>
    <row r="94" spans="1:10" ht="15.75" customHeight="1" x14ac:dyDescent="0.25">
      <c r="A94" s="156"/>
      <c r="B94" s="157"/>
      <c r="C94" s="165"/>
      <c r="D94" s="147"/>
      <c r="E94" s="166"/>
      <c r="F94" s="149"/>
      <c r="G94" s="162"/>
      <c r="H94" s="150"/>
      <c r="I94" s="164"/>
      <c r="J94" s="155"/>
    </row>
    <row r="95" spans="1:10" ht="15.75" customHeight="1" x14ac:dyDescent="0.25">
      <c r="A95" s="156"/>
      <c r="B95" s="157"/>
      <c r="C95" s="165"/>
      <c r="D95" s="147"/>
      <c r="E95" s="166"/>
      <c r="F95" s="149"/>
      <c r="G95" s="162"/>
      <c r="H95" s="150"/>
      <c r="I95" s="164"/>
      <c r="J95" s="155"/>
    </row>
    <row r="96" spans="1:10" ht="15.75" customHeight="1" x14ac:dyDescent="0.25">
      <c r="A96" s="156"/>
      <c r="B96" s="157"/>
      <c r="C96" s="165"/>
      <c r="D96" s="147"/>
      <c r="E96" s="166"/>
      <c r="F96" s="149"/>
      <c r="G96" s="162"/>
      <c r="H96" s="150"/>
      <c r="I96" s="164"/>
      <c r="J96" s="155"/>
    </row>
    <row r="97" spans="1:10" ht="15.75" customHeight="1" x14ac:dyDescent="0.25">
      <c r="A97" s="167"/>
      <c r="B97" s="168"/>
      <c r="C97" s="169"/>
      <c r="D97" s="170"/>
      <c r="E97" s="171"/>
      <c r="F97" s="172"/>
      <c r="G97" s="173"/>
      <c r="H97" s="174"/>
      <c r="I97" s="175"/>
      <c r="J97" s="155"/>
    </row>
    <row r="98" spans="1:10" ht="15.75" customHeight="1" x14ac:dyDescent="0.25">
      <c r="A98" s="176"/>
      <c r="B98" s="157"/>
      <c r="C98" s="177"/>
      <c r="D98" s="178"/>
      <c r="E98" s="160"/>
      <c r="F98" s="161"/>
      <c r="G98" s="179">
        <f t="shared" ref="G98:G99" si="8">D98*F98</f>
        <v>0</v>
      </c>
      <c r="H98" s="180"/>
      <c r="I98" s="180">
        <f t="shared" ref="I98:I99" si="9">F98*H98*E98</f>
        <v>0</v>
      </c>
      <c r="J98" s="181"/>
    </row>
    <row r="99" spans="1:10" ht="15.75" customHeight="1" x14ac:dyDescent="0.25">
      <c r="A99" s="176"/>
      <c r="B99" s="157"/>
      <c r="C99" s="182"/>
      <c r="D99" s="183"/>
      <c r="E99" s="184"/>
      <c r="F99" s="183"/>
      <c r="G99" s="179">
        <f t="shared" si="8"/>
        <v>0</v>
      </c>
      <c r="H99" s="185"/>
      <c r="I99" s="180">
        <f t="shared" si="9"/>
        <v>0</v>
      </c>
      <c r="J99" s="181"/>
    </row>
    <row r="100" spans="1:10" ht="15.75" customHeight="1" x14ac:dyDescent="0.25">
      <c r="A100" s="186" t="s">
        <v>37</v>
      </c>
      <c r="B100" s="187"/>
      <c r="C100" s="188"/>
      <c r="D100" s="189"/>
      <c r="E100" s="190">
        <f>SUM(E85:E99)</f>
        <v>0</v>
      </c>
      <c r="F100" s="191">
        <f>SUM(F85:F97)</f>
        <v>0</v>
      </c>
      <c r="G100" s="192">
        <f>SUM(G85:G92)</f>
        <v>0</v>
      </c>
      <c r="H100" s="193"/>
      <c r="I100" s="193">
        <f>SUM(I85:I93)</f>
        <v>0</v>
      </c>
      <c r="J100" s="194"/>
    </row>
    <row r="101" spans="1:10" ht="15.75" customHeight="1" x14ac:dyDescent="0.25">
      <c r="A101" s="1"/>
      <c r="B101" s="89"/>
      <c r="C101" s="40"/>
      <c r="D101" s="38"/>
      <c r="E101" s="38"/>
      <c r="F101" s="38"/>
      <c r="G101" s="38"/>
      <c r="H101" s="1"/>
      <c r="I101" s="1"/>
      <c r="J101" s="1"/>
    </row>
    <row r="102" spans="1:10" ht="15.75" customHeight="1" x14ac:dyDescent="0.25">
      <c r="A102" s="195" t="s">
        <v>41</v>
      </c>
      <c r="B102" s="196" t="s">
        <v>42</v>
      </c>
      <c r="C102" s="197" t="s">
        <v>43</v>
      </c>
      <c r="D102" s="38"/>
      <c r="E102" s="38"/>
      <c r="F102" s="38"/>
      <c r="G102" s="38"/>
      <c r="H102" s="1"/>
      <c r="I102" s="1"/>
      <c r="J102" s="1"/>
    </row>
    <row r="103" spans="1:10" ht="15.75" customHeight="1" x14ac:dyDescent="0.25">
      <c r="A103" s="198"/>
      <c r="B103" s="199">
        <f>E24+G100</f>
        <v>523</v>
      </c>
      <c r="C103" s="200">
        <f>I24+H100+I100</f>
        <v>43234.8</v>
      </c>
      <c r="D103" s="38"/>
      <c r="E103" s="38"/>
      <c r="F103" s="38"/>
      <c r="G103" s="38"/>
      <c r="H103" s="1"/>
      <c r="I103" s="1"/>
      <c r="J103" s="1"/>
    </row>
    <row r="104" spans="1:10" ht="15.75" customHeight="1" x14ac:dyDescent="0.25">
      <c r="A104" s="378" t="s">
        <v>44</v>
      </c>
      <c r="B104" s="376"/>
      <c r="C104" s="376"/>
      <c r="D104" s="376"/>
      <c r="E104" s="376"/>
      <c r="F104" s="376"/>
      <c r="G104" s="376"/>
      <c r="H104" s="376"/>
      <c r="I104" s="286"/>
      <c r="J104" s="53"/>
    </row>
    <row r="105" spans="1:10" ht="15.75" customHeight="1" x14ac:dyDescent="0.25">
      <c r="A105" s="202" t="s">
        <v>2</v>
      </c>
      <c r="B105" s="203" t="s">
        <v>45</v>
      </c>
      <c r="C105" s="204" t="s">
        <v>130</v>
      </c>
      <c r="D105" s="205" t="s">
        <v>4</v>
      </c>
      <c r="E105" s="206" t="s">
        <v>47</v>
      </c>
      <c r="F105" s="207" t="s">
        <v>48</v>
      </c>
      <c r="G105" s="206" t="s">
        <v>10</v>
      </c>
      <c r="H105" s="287" t="s">
        <v>49</v>
      </c>
      <c r="I105" s="286"/>
      <c r="J105" s="53"/>
    </row>
    <row r="106" spans="1:10" ht="15.75" customHeight="1" x14ac:dyDescent="0.25">
      <c r="A106" s="208"/>
      <c r="B106" s="55"/>
      <c r="C106" s="58"/>
      <c r="D106" s="219"/>
      <c r="E106" s="313"/>
      <c r="F106" s="57"/>
      <c r="G106" s="211"/>
      <c r="H106" s="301"/>
      <c r="I106" s="286"/>
      <c r="J106" s="53"/>
    </row>
    <row r="107" spans="1:10" ht="15.75" customHeight="1" x14ac:dyDescent="0.25">
      <c r="A107" s="208"/>
      <c r="B107" s="55"/>
      <c r="C107" s="58"/>
      <c r="D107" s="219"/>
      <c r="E107" s="210"/>
      <c r="F107" s="57"/>
      <c r="G107" s="211"/>
      <c r="H107" s="301"/>
      <c r="I107" s="311"/>
      <c r="J107" s="53"/>
    </row>
    <row r="108" spans="1:10" ht="15.75" customHeight="1" x14ac:dyDescent="0.25">
      <c r="A108" s="208"/>
      <c r="B108" s="55"/>
      <c r="C108" s="58"/>
      <c r="D108" s="219"/>
      <c r="E108" s="210"/>
      <c r="F108" s="216"/>
      <c r="G108" s="211"/>
      <c r="H108" s="301"/>
      <c r="I108" s="1"/>
      <c r="J108" s="1"/>
    </row>
    <row r="109" spans="1:10" ht="15.75" customHeight="1" x14ac:dyDescent="0.25">
      <c r="A109" s="208"/>
      <c r="B109" s="55"/>
      <c r="C109" s="58"/>
      <c r="D109" s="215"/>
      <c r="E109" s="269"/>
      <c r="F109" s="216"/>
      <c r="G109" s="211"/>
      <c r="H109" s="212"/>
      <c r="I109" s="1"/>
      <c r="J109" s="1"/>
    </row>
    <row r="110" spans="1:10" ht="15.75" customHeight="1" x14ac:dyDescent="0.25">
      <c r="A110" s="208"/>
      <c r="B110" s="55"/>
      <c r="C110" s="58"/>
      <c r="D110" s="219"/>
      <c r="E110" s="269"/>
      <c r="F110" s="216"/>
      <c r="G110" s="211"/>
      <c r="H110" s="212"/>
      <c r="I110" s="1"/>
      <c r="J110" s="1"/>
    </row>
    <row r="111" spans="1:10" ht="15.75" customHeight="1" x14ac:dyDescent="0.25">
      <c r="A111" s="208"/>
      <c r="B111" s="55"/>
      <c r="C111" s="58"/>
      <c r="D111" s="219"/>
      <c r="E111" s="220"/>
      <c r="F111" s="216"/>
      <c r="G111" s="211">
        <f t="shared" ref="G111:G113" si="10">F111</f>
        <v>0</v>
      </c>
      <c r="H111" s="212"/>
      <c r="I111" s="1"/>
      <c r="J111" s="1"/>
    </row>
    <row r="112" spans="1:10" ht="15.75" customHeight="1" x14ac:dyDescent="0.25">
      <c r="A112" s="213"/>
      <c r="B112" s="55"/>
      <c r="C112" s="214"/>
      <c r="D112" s="219"/>
      <c r="E112" s="220"/>
      <c r="F112" s="216"/>
      <c r="G112" s="211">
        <f t="shared" si="10"/>
        <v>0</v>
      </c>
      <c r="H112" s="212"/>
      <c r="I112" s="1"/>
      <c r="J112" s="1"/>
    </row>
    <row r="113" spans="1:10" ht="15.75" customHeight="1" x14ac:dyDescent="0.25">
      <c r="A113" s="213"/>
      <c r="B113" s="55"/>
      <c r="C113" s="214"/>
      <c r="D113" s="219"/>
      <c r="E113" s="220"/>
      <c r="F113" s="216"/>
      <c r="G113" s="211">
        <f t="shared" si="10"/>
        <v>0</v>
      </c>
      <c r="H113" s="221"/>
      <c r="I113" s="1"/>
      <c r="J113" s="1"/>
    </row>
    <row r="114" spans="1:10" ht="15.75" customHeight="1" x14ac:dyDescent="0.25">
      <c r="A114" s="222" t="s">
        <v>37</v>
      </c>
      <c r="B114" s="223"/>
      <c r="C114" s="224"/>
      <c r="D114" s="225"/>
      <c r="E114" s="226">
        <f>SUM(E106:E113)</f>
        <v>0</v>
      </c>
      <c r="F114" s="227"/>
      <c r="G114" s="228">
        <f>SUM(G106:G113)</f>
        <v>0</v>
      </c>
      <c r="H114" s="228"/>
      <c r="I114" s="1"/>
      <c r="J114" s="1"/>
    </row>
    <row r="115" spans="1:10" ht="15.75" customHeight="1" x14ac:dyDescent="0.25">
      <c r="A115" s="38"/>
      <c r="B115" s="89"/>
      <c r="C115" s="40"/>
      <c r="D115" s="38"/>
      <c r="E115" s="38"/>
      <c r="F115" s="38"/>
      <c r="G115" s="38"/>
      <c r="H115" s="38"/>
      <c r="I115" s="1"/>
      <c r="J115" s="1"/>
    </row>
    <row r="116" spans="1:10" ht="15.75" customHeight="1" x14ac:dyDescent="0.25">
      <c r="A116" s="369" t="s">
        <v>50</v>
      </c>
      <c r="B116" s="370"/>
      <c r="C116" s="370"/>
      <c r="D116" s="370"/>
      <c r="E116" s="370"/>
      <c r="F116" s="370"/>
      <c r="G116" s="370"/>
      <c r="H116" s="370"/>
      <c r="I116" s="229"/>
      <c r="J116" s="1"/>
    </row>
    <row r="117" spans="1:10" ht="15.75" customHeight="1" x14ac:dyDescent="0.25">
      <c r="A117" s="202" t="s">
        <v>2</v>
      </c>
      <c r="B117" s="230" t="s">
        <v>45</v>
      </c>
      <c r="C117" s="231" t="s">
        <v>4</v>
      </c>
      <c r="D117" s="232" t="s">
        <v>51</v>
      </c>
      <c r="E117" s="232" t="s">
        <v>48</v>
      </c>
      <c r="F117" s="232" t="s">
        <v>10</v>
      </c>
      <c r="G117" s="206" t="s">
        <v>52</v>
      </c>
      <c r="H117" s="206"/>
      <c r="I117" s="1"/>
      <c r="J117" s="1"/>
    </row>
    <row r="118" spans="1:10" ht="15.75" customHeight="1" x14ac:dyDescent="0.25">
      <c r="A118" s="270"/>
      <c r="B118" s="271"/>
      <c r="C118" s="235"/>
      <c r="D118" s="236"/>
      <c r="E118" s="272"/>
      <c r="F118" s="273"/>
      <c r="G118" s="239"/>
      <c r="H118" s="240"/>
      <c r="I118" s="1"/>
      <c r="J118" s="1"/>
    </row>
    <row r="119" spans="1:10" ht="15.75" customHeight="1" x14ac:dyDescent="0.25">
      <c r="A119" s="241"/>
      <c r="B119" s="242"/>
      <c r="C119" s="243"/>
      <c r="D119" s="244"/>
      <c r="E119" s="245"/>
      <c r="F119" s="246">
        <f t="shared" ref="F119:F120" si="11">D119*E119</f>
        <v>0</v>
      </c>
      <c r="G119" s="247"/>
      <c r="H119" s="248"/>
      <c r="I119" s="1"/>
      <c r="J119" s="1"/>
    </row>
    <row r="120" spans="1:10" ht="15.75" customHeight="1" x14ac:dyDescent="0.25">
      <c r="A120" s="249"/>
      <c r="B120" s="250"/>
      <c r="C120" s="249"/>
      <c r="D120" s="249"/>
      <c r="E120" s="249"/>
      <c r="F120" s="246">
        <f t="shared" si="11"/>
        <v>0</v>
      </c>
      <c r="G120" s="249"/>
      <c r="H120" s="249"/>
      <c r="I120" s="1"/>
      <c r="J120" s="1"/>
    </row>
    <row r="121" spans="1:10" ht="15.75" customHeight="1" x14ac:dyDescent="0.25">
      <c r="A121" s="241"/>
      <c r="B121" s="250"/>
      <c r="C121" s="249"/>
      <c r="D121" s="251"/>
      <c r="E121" s="249"/>
      <c r="F121" s="252"/>
      <c r="G121" s="249"/>
      <c r="H121" s="249"/>
      <c r="I121" s="1"/>
      <c r="J121" s="1"/>
    </row>
    <row r="122" spans="1:10" ht="15.75" customHeight="1" x14ac:dyDescent="0.25">
      <c r="A122" s="1"/>
      <c r="B122" s="253"/>
      <c r="C122" s="1"/>
      <c r="D122" s="1"/>
      <c r="E122" s="1"/>
      <c r="F122" s="254"/>
      <c r="G122" s="1"/>
      <c r="H122" s="1"/>
      <c r="I122" s="255"/>
      <c r="J122" s="256"/>
    </row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11">
    <mergeCell ref="J88:J89"/>
    <mergeCell ref="J90:J91"/>
    <mergeCell ref="A104:H104"/>
    <mergeCell ref="A116:H116"/>
    <mergeCell ref="A1:J1"/>
    <mergeCell ref="A2:J2"/>
    <mergeCell ref="A29:H29"/>
    <mergeCell ref="A53:H53"/>
    <mergeCell ref="I55:J55"/>
    <mergeCell ref="I56:J56"/>
    <mergeCell ref="J85:J8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1000"/>
  <sheetViews>
    <sheetView topLeftCell="A48" workbookViewId="0">
      <selection activeCell="F29" sqref="F2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8.8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71.2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315</v>
      </c>
      <c r="B4" s="260" t="s">
        <v>172</v>
      </c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 t="s">
        <v>54</v>
      </c>
      <c r="D5" s="262">
        <v>0.2</v>
      </c>
      <c r="E5" s="263">
        <v>4</v>
      </c>
      <c r="F5" s="14">
        <v>18</v>
      </c>
      <c r="G5" s="264">
        <f t="shared" ref="G5:G8" si="0">E5*D5</f>
        <v>0.8</v>
      </c>
      <c r="H5" s="16">
        <v>75</v>
      </c>
      <c r="I5" s="16">
        <f t="shared" ref="I5:I11" si="1">H5*E5</f>
        <v>300</v>
      </c>
      <c r="J5" s="17"/>
    </row>
    <row r="6" spans="1:10" ht="15.75" x14ac:dyDescent="0.25">
      <c r="A6" s="10"/>
      <c r="B6" s="260"/>
      <c r="C6" s="261" t="s">
        <v>55</v>
      </c>
      <c r="D6" s="262">
        <v>0.2</v>
      </c>
      <c r="E6" s="263">
        <v>4</v>
      </c>
      <c r="F6" s="14">
        <v>18</v>
      </c>
      <c r="G6" s="264">
        <f t="shared" si="0"/>
        <v>0.8</v>
      </c>
      <c r="H6" s="16">
        <v>85</v>
      </c>
      <c r="I6" s="16">
        <f t="shared" si="1"/>
        <v>340</v>
      </c>
      <c r="J6" s="17"/>
    </row>
    <row r="7" spans="1:10" ht="15.75" x14ac:dyDescent="0.25">
      <c r="A7" s="10"/>
      <c r="B7" s="27"/>
      <c r="C7" s="261" t="s">
        <v>56</v>
      </c>
      <c r="D7" s="262">
        <v>0.11</v>
      </c>
      <c r="E7" s="263">
        <v>4</v>
      </c>
      <c r="F7" s="14">
        <v>10</v>
      </c>
      <c r="G7" s="264">
        <f t="shared" si="0"/>
        <v>0.44</v>
      </c>
      <c r="H7" s="16">
        <v>35</v>
      </c>
      <c r="I7" s="16">
        <f t="shared" si="1"/>
        <v>140</v>
      </c>
      <c r="J7" s="17"/>
    </row>
    <row r="8" spans="1:10" ht="15.75" x14ac:dyDescent="0.25">
      <c r="A8" s="10"/>
      <c r="B8" s="27"/>
      <c r="C8" s="261" t="s">
        <v>58</v>
      </c>
      <c r="D8" s="262">
        <v>0.11</v>
      </c>
      <c r="E8" s="263">
        <v>4</v>
      </c>
      <c r="F8" s="14">
        <v>10</v>
      </c>
      <c r="G8" s="264">
        <f t="shared" si="0"/>
        <v>0.44</v>
      </c>
      <c r="H8" s="16">
        <v>35</v>
      </c>
      <c r="I8" s="16">
        <f t="shared" si="1"/>
        <v>140</v>
      </c>
      <c r="J8" s="17"/>
    </row>
    <row r="9" spans="1:10" ht="15.75" x14ac:dyDescent="0.25">
      <c r="A9" s="10"/>
      <c r="B9" s="27"/>
      <c r="C9" s="261" t="s">
        <v>59</v>
      </c>
      <c r="D9" s="262">
        <v>0.11</v>
      </c>
      <c r="E9" s="13">
        <v>4</v>
      </c>
      <c r="F9" s="14">
        <v>10</v>
      </c>
      <c r="G9" s="264">
        <v>2.5499999999999998</v>
      </c>
      <c r="H9" s="16">
        <v>35</v>
      </c>
      <c r="I9" s="16">
        <f t="shared" si="1"/>
        <v>140</v>
      </c>
      <c r="J9" s="17"/>
    </row>
    <row r="10" spans="1:10" ht="15.75" x14ac:dyDescent="0.25">
      <c r="A10" s="10"/>
      <c r="B10" s="27"/>
      <c r="C10" s="261" t="s">
        <v>57</v>
      </c>
      <c r="D10" s="262">
        <v>0.11</v>
      </c>
      <c r="E10" s="13">
        <v>4</v>
      </c>
      <c r="F10" s="14">
        <v>10</v>
      </c>
      <c r="G10" s="264">
        <v>2.5499999999999998</v>
      </c>
      <c r="H10" s="16">
        <v>35</v>
      </c>
      <c r="I10" s="16">
        <f t="shared" si="1"/>
        <v>140</v>
      </c>
      <c r="J10" s="17"/>
    </row>
    <row r="11" spans="1:10" ht="15.75" x14ac:dyDescent="0.25">
      <c r="A11" s="10" t="s">
        <v>84</v>
      </c>
      <c r="B11" s="27"/>
      <c r="C11" s="261" t="s">
        <v>54</v>
      </c>
      <c r="D11" s="262">
        <v>0.2</v>
      </c>
      <c r="E11" s="263">
        <v>1</v>
      </c>
      <c r="F11" s="14">
        <v>18</v>
      </c>
      <c r="G11" s="264">
        <f>E11*D11</f>
        <v>0.2</v>
      </c>
      <c r="H11" s="16">
        <v>75</v>
      </c>
      <c r="I11" s="16">
        <f t="shared" si="1"/>
        <v>75</v>
      </c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2">SUM(E4:E24)</f>
        <v>25</v>
      </c>
      <c r="F25" s="33">
        <f t="shared" si="2"/>
        <v>94</v>
      </c>
      <c r="G25" s="34">
        <f t="shared" si="2"/>
        <v>7.7799999999999994</v>
      </c>
      <c r="H25" s="35"/>
      <c r="I25" s="36">
        <f>SUM(I4:I24)</f>
        <v>1275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98848.249999999956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316</v>
      </c>
      <c r="B33" s="62"/>
      <c r="C33" s="63">
        <v>1500</v>
      </c>
      <c r="D33" s="63">
        <v>1500</v>
      </c>
      <c r="E33" s="64"/>
      <c r="F33" s="65"/>
      <c r="G33" s="66"/>
      <c r="H33" s="67">
        <f t="shared" ref="H33:H37" si="3">F33*G33</f>
        <v>0</v>
      </c>
      <c r="I33" s="284" t="s">
        <v>317</v>
      </c>
      <c r="J33" s="309"/>
    </row>
    <row r="34" spans="1:10" ht="15.75" customHeight="1" x14ac:dyDescent="0.25">
      <c r="A34" s="61" t="s">
        <v>318</v>
      </c>
      <c r="B34" s="62"/>
      <c r="C34" s="63">
        <v>100</v>
      </c>
      <c r="D34" s="63">
        <v>100</v>
      </c>
      <c r="E34" s="64"/>
      <c r="F34" s="65"/>
      <c r="G34" s="66"/>
      <c r="H34" s="67">
        <f t="shared" si="3"/>
        <v>0</v>
      </c>
      <c r="I34" s="284" t="s">
        <v>319</v>
      </c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si="3"/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64"/>
      <c r="B40" s="62"/>
      <c r="C40" s="63"/>
      <c r="D40" s="63"/>
      <c r="E40" s="71"/>
      <c r="F40" s="73"/>
      <c r="G40" s="74"/>
      <c r="H40" s="75"/>
      <c r="I40" s="1"/>
      <c r="J40" s="1"/>
    </row>
    <row r="41" spans="1:10" ht="15.75" customHeight="1" x14ac:dyDescent="0.25">
      <c r="A41" s="76" t="s">
        <v>108</v>
      </c>
      <c r="B41" s="62"/>
      <c r="C41" s="63">
        <v>2000</v>
      </c>
      <c r="D41" s="63">
        <v>2000</v>
      </c>
      <c r="E41" s="71"/>
      <c r="F41" s="73"/>
      <c r="G41" s="74"/>
      <c r="H41" s="67">
        <f>F41*G41</f>
        <v>0</v>
      </c>
      <c r="I41" s="1"/>
      <c r="J41" s="1"/>
    </row>
    <row r="42" spans="1:10" ht="15.75" customHeight="1" x14ac:dyDescent="0.25">
      <c r="A42" s="76" t="s">
        <v>320</v>
      </c>
      <c r="B42" s="62"/>
      <c r="C42" s="63">
        <v>43100</v>
      </c>
      <c r="D42" s="63">
        <v>43100</v>
      </c>
      <c r="E42" s="71"/>
      <c r="F42" s="73"/>
      <c r="G42" s="74"/>
      <c r="H42" s="67"/>
      <c r="I42" s="1"/>
      <c r="J42" s="1"/>
    </row>
    <row r="43" spans="1:10" ht="15.75" customHeight="1" x14ac:dyDescent="0.25">
      <c r="A43" s="76" t="s">
        <v>321</v>
      </c>
      <c r="B43" s="62"/>
      <c r="C43" s="63">
        <v>28500</v>
      </c>
      <c r="D43" s="63">
        <v>28500</v>
      </c>
      <c r="E43" s="71"/>
      <c r="F43" s="73"/>
      <c r="G43" s="74"/>
      <c r="H43" s="67">
        <f t="shared" ref="H43:H51" si="4">F43*G43</f>
        <v>0</v>
      </c>
      <c r="I43" s="1"/>
      <c r="J43" s="1"/>
    </row>
    <row r="44" spans="1:10" ht="15.75" customHeight="1" x14ac:dyDescent="0.25">
      <c r="A44" s="76"/>
      <c r="B44" s="62"/>
      <c r="C44" s="63"/>
      <c r="D44" s="63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69"/>
      <c r="E46" s="71"/>
      <c r="F46" s="73"/>
      <c r="G46" s="74"/>
      <c r="H46" s="67">
        <f t="shared" si="4"/>
        <v>0</v>
      </c>
      <c r="I46" s="1"/>
      <c r="J46" s="1"/>
    </row>
    <row r="47" spans="1:10" ht="15.75" customHeight="1" x14ac:dyDescent="0.25">
      <c r="A47" s="64"/>
      <c r="B47" s="62"/>
      <c r="C47" s="63"/>
      <c r="D47" s="69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4"/>
        <v>0</v>
      </c>
      <c r="I48" s="309"/>
      <c r="J48" s="1"/>
    </row>
    <row r="49" spans="1:10" ht="15.75" customHeight="1" x14ac:dyDescent="0.25">
      <c r="A49" s="64"/>
      <c r="B49" s="62"/>
      <c r="C49" s="63"/>
      <c r="D49" s="70"/>
      <c r="E49" s="71"/>
      <c r="F49" s="73"/>
      <c r="G49" s="74"/>
      <c r="H49" s="67">
        <f t="shared" si="4"/>
        <v>0</v>
      </c>
      <c r="I49" s="1"/>
      <c r="J49" s="1"/>
    </row>
    <row r="50" spans="1:10" ht="15.75" customHeight="1" x14ac:dyDescent="0.25">
      <c r="A50" s="64"/>
      <c r="B50" s="62"/>
      <c r="C50" s="63"/>
      <c r="D50" s="70"/>
      <c r="E50" s="71"/>
      <c r="F50" s="73"/>
      <c r="G50" s="74"/>
      <c r="H50" s="67">
        <f t="shared" si="4"/>
        <v>0</v>
      </c>
      <c r="I50" s="1"/>
      <c r="J50" s="1"/>
    </row>
    <row r="51" spans="1:10" ht="15.75" customHeight="1" x14ac:dyDescent="0.25">
      <c r="A51" s="78"/>
      <c r="B51" s="62"/>
      <c r="C51" s="63"/>
      <c r="D51" s="79"/>
      <c r="E51" s="80" t="s">
        <v>21</v>
      </c>
      <c r="F51" s="73"/>
      <c r="G51" s="74"/>
      <c r="H51" s="67">
        <f t="shared" si="4"/>
        <v>0</v>
      </c>
      <c r="I51" s="81"/>
      <c r="J51" s="81"/>
    </row>
    <row r="52" spans="1:10" ht="15.75" customHeight="1" x14ac:dyDescent="0.25">
      <c r="A52" s="82" t="s">
        <v>22</v>
      </c>
      <c r="B52" s="83"/>
      <c r="C52" s="84"/>
      <c r="D52" s="85">
        <f>SUM(D33,D34:D37,D32,)-SUM(D40:D51,)</f>
        <v>26848.249999999956</v>
      </c>
      <c r="E52" s="82" t="s">
        <v>22</v>
      </c>
      <c r="F52" s="86"/>
      <c r="G52" s="84"/>
      <c r="H52" s="87">
        <f>SUM(H32+H38-H51)</f>
        <v>0</v>
      </c>
      <c r="I52" s="1"/>
      <c r="J52" s="1"/>
    </row>
    <row r="53" spans="1:10" ht="15.75" customHeight="1" x14ac:dyDescent="0.25">
      <c r="A53" s="88"/>
      <c r="B53" s="89"/>
      <c r="C53" s="40"/>
      <c r="D53" s="38"/>
      <c r="E53" s="38"/>
      <c r="F53" s="38"/>
      <c r="G53" s="1"/>
      <c r="H53" s="1"/>
      <c r="I53" s="1"/>
      <c r="J53" s="1"/>
    </row>
    <row r="54" spans="1:10" ht="15.75" customHeight="1" x14ac:dyDescent="0.25">
      <c r="A54" s="377" t="s">
        <v>23</v>
      </c>
      <c r="B54" s="376"/>
      <c r="C54" s="376"/>
      <c r="D54" s="376"/>
      <c r="E54" s="376"/>
      <c r="F54" s="376"/>
      <c r="G54" s="376"/>
      <c r="H54" s="376"/>
      <c r="I54" s="1"/>
      <c r="J54" s="1"/>
    </row>
    <row r="55" spans="1:10" ht="15.75" customHeight="1" x14ac:dyDescent="0.25">
      <c r="A55" s="90" t="s">
        <v>24</v>
      </c>
      <c r="B55" s="274" t="s">
        <v>24</v>
      </c>
      <c r="C55" s="274"/>
      <c r="D55" s="44"/>
      <c r="E55" s="91" t="s">
        <v>25</v>
      </c>
      <c r="F55" s="51"/>
      <c r="G55" s="51"/>
      <c r="H55" s="44"/>
      <c r="I55" s="341" t="s">
        <v>270</v>
      </c>
    </row>
    <row r="56" spans="1:10" ht="15.75" customHeight="1" x14ac:dyDescent="0.25">
      <c r="A56" s="92" t="s">
        <v>17</v>
      </c>
      <c r="B56" s="275"/>
      <c r="C56" s="285">
        <v>1325869.8999999999</v>
      </c>
      <c r="D56" s="51"/>
      <c r="E56" s="94" t="s">
        <v>17</v>
      </c>
      <c r="F56" s="44"/>
      <c r="G56" s="95">
        <v>2428.5</v>
      </c>
      <c r="H56" s="44"/>
      <c r="I56" s="379" t="s">
        <v>271</v>
      </c>
      <c r="J56" s="381"/>
    </row>
    <row r="57" spans="1:10" ht="15.75" customHeight="1" x14ac:dyDescent="0.25">
      <c r="A57" s="96" t="s">
        <v>26</v>
      </c>
      <c r="B57" s="44"/>
      <c r="C57" s="96" t="s">
        <v>27</v>
      </c>
      <c r="D57" s="44"/>
      <c r="E57" s="96" t="s">
        <v>26</v>
      </c>
      <c r="F57" s="44"/>
      <c r="G57" s="96" t="s">
        <v>27</v>
      </c>
      <c r="H57" s="44"/>
      <c r="I57" s="382" t="s">
        <v>272</v>
      </c>
      <c r="J57" s="381"/>
    </row>
    <row r="58" spans="1:10" ht="15.75" customHeight="1" x14ac:dyDescent="0.25">
      <c r="A58" s="97" t="s">
        <v>28</v>
      </c>
      <c r="B58" s="97" t="s">
        <v>10</v>
      </c>
      <c r="C58" s="97" t="s">
        <v>29</v>
      </c>
      <c r="D58" s="97" t="s">
        <v>10</v>
      </c>
      <c r="E58" s="97" t="s">
        <v>28</v>
      </c>
      <c r="F58" s="97" t="s">
        <v>10</v>
      </c>
      <c r="G58" s="330" t="s">
        <v>30</v>
      </c>
      <c r="H58" s="97" t="s">
        <v>10</v>
      </c>
      <c r="I58" s="331" t="s">
        <v>273</v>
      </c>
      <c r="J58" s="331" t="s">
        <v>274</v>
      </c>
    </row>
    <row r="59" spans="1:10" ht="15.75" customHeight="1" x14ac:dyDescent="0.25">
      <c r="A59" s="98" t="s">
        <v>90</v>
      </c>
      <c r="B59" s="276">
        <v>2043.18</v>
      </c>
      <c r="C59" s="100" t="s">
        <v>91</v>
      </c>
      <c r="D59" s="101">
        <v>400</v>
      </c>
      <c r="E59" s="102"/>
      <c r="F59" s="103"/>
      <c r="G59" s="104"/>
      <c r="H59" s="103"/>
      <c r="I59" s="333"/>
      <c r="J59" s="334"/>
    </row>
    <row r="60" spans="1:10" ht="15.75" customHeight="1" x14ac:dyDescent="0.25">
      <c r="A60" s="277"/>
      <c r="B60" s="276"/>
      <c r="C60" s="106" t="s">
        <v>322</v>
      </c>
      <c r="D60" s="101">
        <v>3750</v>
      </c>
      <c r="E60" s="104"/>
      <c r="F60" s="103"/>
      <c r="G60" s="104"/>
      <c r="H60" s="103"/>
      <c r="I60" s="333"/>
      <c r="J60" s="333"/>
    </row>
    <row r="61" spans="1:10" ht="15.75" customHeight="1" x14ac:dyDescent="0.25">
      <c r="A61" s="105"/>
      <c r="B61" s="278"/>
      <c r="C61" s="107" t="s">
        <v>323</v>
      </c>
      <c r="D61" s="101">
        <v>19666</v>
      </c>
      <c r="E61" s="104"/>
      <c r="F61" s="103"/>
      <c r="G61" s="108"/>
      <c r="H61" s="103"/>
      <c r="I61" s="333"/>
      <c r="J61" s="333"/>
    </row>
    <row r="62" spans="1:10" ht="15.75" customHeight="1" x14ac:dyDescent="0.25">
      <c r="A62" s="109"/>
      <c r="B62" s="278"/>
      <c r="C62" s="107" t="s">
        <v>324</v>
      </c>
      <c r="D62" s="101">
        <v>31680</v>
      </c>
      <c r="E62" s="102"/>
      <c r="F62" s="110"/>
      <c r="G62" s="108"/>
      <c r="H62" s="103"/>
      <c r="I62" s="333"/>
      <c r="J62" s="333"/>
    </row>
    <row r="63" spans="1:10" ht="15.75" customHeight="1" x14ac:dyDescent="0.25">
      <c r="A63" s="111"/>
      <c r="B63" s="278"/>
      <c r="C63" s="107" t="s">
        <v>325</v>
      </c>
      <c r="D63" s="101">
        <v>175721.73</v>
      </c>
      <c r="E63" s="112"/>
      <c r="F63" s="113"/>
      <c r="G63" s="114"/>
      <c r="H63" s="114"/>
      <c r="I63" s="333"/>
      <c r="J63" s="333"/>
    </row>
    <row r="64" spans="1:10" ht="15.75" customHeight="1" x14ac:dyDescent="0.25">
      <c r="A64" s="111"/>
      <c r="B64" s="278"/>
      <c r="C64" s="107" t="s">
        <v>326</v>
      </c>
      <c r="D64" s="101">
        <v>0</v>
      </c>
      <c r="E64" s="112"/>
      <c r="F64" s="113"/>
      <c r="G64" s="115"/>
      <c r="H64" s="114"/>
      <c r="I64" s="333"/>
      <c r="J64" s="333"/>
    </row>
    <row r="65" spans="1:10" ht="15.75" customHeight="1" x14ac:dyDescent="0.25">
      <c r="A65" s="116"/>
      <c r="B65" s="278"/>
      <c r="C65" s="107"/>
      <c r="D65" s="101"/>
      <c r="E65" s="112"/>
      <c r="F65" s="112"/>
      <c r="G65" s="117"/>
      <c r="H65" s="114"/>
      <c r="I65" s="333"/>
      <c r="J65" s="333"/>
    </row>
    <row r="66" spans="1:10" ht="15.75" customHeight="1" x14ac:dyDescent="0.25">
      <c r="A66" s="118"/>
      <c r="B66" s="279"/>
      <c r="C66" s="107"/>
      <c r="D66" s="101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280"/>
      <c r="C67" s="106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18"/>
      <c r="B68" s="280"/>
      <c r="C68" s="106"/>
      <c r="D68" s="120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280"/>
      <c r="C69" s="106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18"/>
      <c r="B70" s="280"/>
      <c r="C70" s="106"/>
      <c r="D70" s="338"/>
      <c r="E70" s="118"/>
      <c r="F70" s="112"/>
      <c r="G70" s="104"/>
      <c r="H70" s="114"/>
      <c r="I70" s="333"/>
      <c r="J70" s="333"/>
    </row>
    <row r="71" spans="1:10" ht="15.75" customHeight="1" x14ac:dyDescent="0.25">
      <c r="A71" s="118"/>
      <c r="B71" s="119"/>
      <c r="C71" s="104"/>
      <c r="D71" s="120"/>
      <c r="E71" s="118"/>
      <c r="F71" s="112"/>
      <c r="G71" s="104"/>
      <c r="H71" s="114"/>
      <c r="I71" s="333"/>
      <c r="J71" s="333"/>
    </row>
    <row r="72" spans="1:10" ht="15.75" customHeight="1" x14ac:dyDescent="0.25">
      <c r="A72" s="121"/>
      <c r="B72" s="122">
        <f>SUM(B59:B71)+C56</f>
        <v>1327913.0799999998</v>
      </c>
      <c r="C72" s="123"/>
      <c r="D72" s="122">
        <f>SUM(D59:D71)</f>
        <v>231217.73</v>
      </c>
      <c r="E72" s="124"/>
      <c r="F72" s="124">
        <f>SUM(F59:F71)</f>
        <v>0</v>
      </c>
      <c r="G72" s="124"/>
      <c r="H72" s="124">
        <f>SUM(H59:H71)</f>
        <v>0</v>
      </c>
      <c r="I72" s="339"/>
      <c r="J72" s="340"/>
    </row>
    <row r="73" spans="1:10" ht="15.75" customHeight="1" x14ac:dyDescent="0.25">
      <c r="A73" s="125" t="s">
        <v>22</v>
      </c>
      <c r="B73" s="126">
        <f>B72-D72</f>
        <v>1096695.3499999999</v>
      </c>
      <c r="C73" s="51"/>
      <c r="D73" s="44"/>
      <c r="E73" s="94" t="s">
        <v>22</v>
      </c>
      <c r="F73" s="95">
        <v>2428.5</v>
      </c>
      <c r="G73" s="51"/>
      <c r="H73" s="44"/>
      <c r="I73" s="341" t="s">
        <v>289</v>
      </c>
      <c r="J73" s="339"/>
    </row>
    <row r="74" spans="1:10" ht="15.75" customHeight="1" x14ac:dyDescent="0.25">
      <c r="A74" s="127" t="s">
        <v>37</v>
      </c>
      <c r="B74" s="44"/>
      <c r="C74" s="128">
        <v>1099123.8500000001</v>
      </c>
      <c r="D74" s="51"/>
      <c r="E74" s="51"/>
      <c r="F74" s="51"/>
      <c r="G74" s="51"/>
      <c r="H74" s="44"/>
      <c r="I74" s="249"/>
      <c r="J74" s="249"/>
    </row>
    <row r="75" spans="1:10" ht="15.75" customHeight="1" x14ac:dyDescent="0.25">
      <c r="A75" s="38"/>
      <c r="B75" s="89"/>
      <c r="C75" s="40"/>
      <c r="D75" s="38"/>
      <c r="E75" s="38"/>
      <c r="F75" s="38"/>
      <c r="G75" s="38"/>
      <c r="H75" s="88"/>
      <c r="I75" s="129"/>
      <c r="J75" s="129"/>
    </row>
    <row r="76" spans="1:10" ht="15.75" customHeight="1" x14ac:dyDescent="0.25">
      <c r="A76" s="130"/>
      <c r="B76" s="131" t="s">
        <v>38</v>
      </c>
      <c r="D76" s="1"/>
      <c r="E76" s="38"/>
      <c r="F76" s="38"/>
      <c r="G76" s="38"/>
      <c r="H76" s="132"/>
      <c r="I76" s="1"/>
      <c r="J76" s="1"/>
    </row>
    <row r="77" spans="1:10" ht="15.75" customHeight="1" x14ac:dyDescent="0.25">
      <c r="A77" s="342" t="s">
        <v>2</v>
      </c>
      <c r="B77" s="343" t="s">
        <v>39</v>
      </c>
      <c r="C77" s="344" t="s">
        <v>4</v>
      </c>
      <c r="D77" s="345" t="s">
        <v>5</v>
      </c>
      <c r="E77" s="346" t="s">
        <v>6</v>
      </c>
      <c r="F77" s="347" t="s">
        <v>7</v>
      </c>
      <c r="G77" s="259" t="s">
        <v>8</v>
      </c>
      <c r="H77" s="348" t="s">
        <v>9</v>
      </c>
      <c r="I77" s="349" t="s">
        <v>10</v>
      </c>
      <c r="J77" s="350" t="s">
        <v>40</v>
      </c>
    </row>
    <row r="78" spans="1:10" ht="15.75" customHeight="1" x14ac:dyDescent="0.25">
      <c r="A78" s="236"/>
      <c r="B78" s="260"/>
      <c r="C78" s="261"/>
      <c r="D78" s="262"/>
      <c r="E78" s="48"/>
      <c r="F78" s="48"/>
      <c r="G78" s="351"/>
      <c r="H78" s="352"/>
      <c r="I78" s="352"/>
      <c r="J78" s="386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7"/>
    </row>
    <row r="80" spans="1:10" ht="15.75" customHeight="1" x14ac:dyDescent="0.25">
      <c r="A80" s="236"/>
      <c r="B80" s="260"/>
      <c r="C80" s="261"/>
      <c r="D80" s="262"/>
      <c r="E80" s="48"/>
      <c r="F80" s="48"/>
      <c r="G80" s="351"/>
      <c r="H80" s="352"/>
      <c r="I80" s="352"/>
      <c r="J80" s="353"/>
    </row>
    <row r="81" spans="1:10" ht="15.75" customHeight="1" x14ac:dyDescent="0.25">
      <c r="A81" s="236"/>
      <c r="B81" s="260"/>
      <c r="C81" s="261"/>
      <c r="D81" s="262"/>
      <c r="E81" s="48"/>
      <c r="F81" s="48"/>
      <c r="G81" s="351"/>
      <c r="H81" s="352"/>
      <c r="I81" s="352"/>
      <c r="J81" s="388"/>
    </row>
    <row r="82" spans="1:10" ht="15.75" customHeight="1" x14ac:dyDescent="0.25">
      <c r="A82" s="236"/>
      <c r="B82" s="236"/>
      <c r="C82" s="261"/>
      <c r="D82" s="262"/>
      <c r="E82" s="48"/>
      <c r="F82" s="48"/>
      <c r="G82" s="351"/>
      <c r="H82" s="352"/>
      <c r="I82" s="352"/>
      <c r="J82" s="387"/>
    </row>
    <row r="83" spans="1:10" ht="15.75" customHeight="1" x14ac:dyDescent="0.25">
      <c r="A83" s="236"/>
      <c r="B83" s="260"/>
      <c r="C83" s="261"/>
      <c r="D83" s="262"/>
      <c r="E83" s="48"/>
      <c r="F83" s="48"/>
      <c r="G83" s="351"/>
      <c r="H83" s="352"/>
      <c r="I83" s="352"/>
      <c r="J83" s="386"/>
    </row>
    <row r="84" spans="1:10" ht="15.75" customHeight="1" x14ac:dyDescent="0.25">
      <c r="A84" s="236"/>
      <c r="B84" s="236"/>
      <c r="C84" s="261"/>
      <c r="D84" s="262"/>
      <c r="E84" s="48"/>
      <c r="F84" s="48"/>
      <c r="G84" s="351"/>
      <c r="H84" s="352"/>
      <c r="I84" s="352"/>
      <c r="J84" s="387"/>
    </row>
    <row r="85" spans="1:10" ht="15.75" customHeight="1" x14ac:dyDescent="0.25">
      <c r="A85" s="355"/>
      <c r="B85" s="356"/>
      <c r="C85" s="357"/>
      <c r="D85" s="358"/>
      <c r="E85" s="359"/>
      <c r="F85" s="360"/>
      <c r="G85" s="361"/>
      <c r="H85" s="362"/>
      <c r="I85" s="363"/>
      <c r="J85" s="155"/>
    </row>
    <row r="86" spans="1:10" ht="15.75" customHeight="1" x14ac:dyDescent="0.25">
      <c r="A86" s="156"/>
      <c r="B86" s="157"/>
      <c r="C86" s="165"/>
      <c r="D86" s="147"/>
      <c r="E86" s="166"/>
      <c r="F86" s="149"/>
      <c r="G86" s="162"/>
      <c r="H86" s="150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56"/>
      <c r="B88" s="157"/>
      <c r="C88" s="165"/>
      <c r="D88" s="147"/>
      <c r="E88" s="166"/>
      <c r="F88" s="149"/>
      <c r="G88" s="162"/>
      <c r="H88" s="150"/>
      <c r="I88" s="164"/>
      <c r="J88" s="155"/>
    </row>
    <row r="89" spans="1:10" ht="15.75" customHeight="1" x14ac:dyDescent="0.25">
      <c r="A89" s="156"/>
      <c r="B89" s="157"/>
      <c r="C89" s="165"/>
      <c r="D89" s="147"/>
      <c r="E89" s="166"/>
      <c r="F89" s="149"/>
      <c r="G89" s="162"/>
      <c r="H89" s="150"/>
      <c r="I89" s="164"/>
      <c r="J89" s="155"/>
    </row>
    <row r="90" spans="1:10" ht="15.75" customHeight="1" x14ac:dyDescent="0.25">
      <c r="A90" s="167"/>
      <c r="B90" s="168"/>
      <c r="C90" s="169"/>
      <c r="D90" s="170"/>
      <c r="E90" s="171"/>
      <c r="F90" s="172"/>
      <c r="G90" s="173"/>
      <c r="H90" s="174"/>
      <c r="I90" s="175"/>
      <c r="J90" s="155"/>
    </row>
    <row r="91" spans="1:10" ht="15.75" customHeight="1" x14ac:dyDescent="0.25">
      <c r="A91" s="176"/>
      <c r="B91" s="157"/>
      <c r="C91" s="177"/>
      <c r="D91" s="178"/>
      <c r="E91" s="160"/>
      <c r="F91" s="161"/>
      <c r="G91" s="179">
        <f t="shared" ref="G91:G92" si="5">D91*F91</f>
        <v>0</v>
      </c>
      <c r="H91" s="180"/>
      <c r="I91" s="180">
        <f t="shared" ref="I91:I92" si="6">F91*H91*E91</f>
        <v>0</v>
      </c>
      <c r="J91" s="181"/>
    </row>
    <row r="92" spans="1:10" ht="15.75" customHeight="1" x14ac:dyDescent="0.25">
      <c r="A92" s="176"/>
      <c r="B92" s="157"/>
      <c r="C92" s="182"/>
      <c r="D92" s="183"/>
      <c r="E92" s="184"/>
      <c r="F92" s="183"/>
      <c r="G92" s="179">
        <f t="shared" si="5"/>
        <v>0</v>
      </c>
      <c r="H92" s="185"/>
      <c r="I92" s="180">
        <f t="shared" si="6"/>
        <v>0</v>
      </c>
      <c r="J92" s="181"/>
    </row>
    <row r="93" spans="1:10" ht="15.75" customHeight="1" x14ac:dyDescent="0.25">
      <c r="A93" s="186" t="s">
        <v>37</v>
      </c>
      <c r="B93" s="187"/>
      <c r="C93" s="188"/>
      <c r="D93" s="189"/>
      <c r="E93" s="190">
        <f>SUM(E78:E92)</f>
        <v>0</v>
      </c>
      <c r="F93" s="191">
        <f>SUM(F78:F90)</f>
        <v>0</v>
      </c>
      <c r="G93" s="192">
        <f>SUM(G78:G85)</f>
        <v>0</v>
      </c>
      <c r="H93" s="193"/>
      <c r="I93" s="193">
        <f>SUM(I78:I86)</f>
        <v>0</v>
      </c>
      <c r="J93" s="194"/>
    </row>
    <row r="94" spans="1:10" ht="15.75" customHeight="1" x14ac:dyDescent="0.25">
      <c r="A94" s="1"/>
      <c r="B94" s="89"/>
      <c r="C94" s="40"/>
      <c r="D94" s="38"/>
      <c r="E94" s="38"/>
      <c r="F94" s="38"/>
      <c r="G94" s="38"/>
      <c r="H94" s="1"/>
      <c r="I94" s="1"/>
      <c r="J94" s="1"/>
    </row>
    <row r="95" spans="1:10" ht="15.75" customHeight="1" x14ac:dyDescent="0.25">
      <c r="A95" s="195" t="s">
        <v>41</v>
      </c>
      <c r="B95" s="196" t="s">
        <v>42</v>
      </c>
      <c r="C95" s="197" t="s">
        <v>43</v>
      </c>
      <c r="D95" s="38"/>
      <c r="E95" s="38"/>
      <c r="F95" s="38"/>
      <c r="G95" s="38"/>
      <c r="H95" s="1"/>
      <c r="I95" s="1"/>
      <c r="J95" s="1"/>
    </row>
    <row r="96" spans="1:10" ht="15.75" customHeight="1" x14ac:dyDescent="0.25">
      <c r="A96" s="198"/>
      <c r="B96" s="199">
        <f>E25+G93</f>
        <v>25</v>
      </c>
      <c r="C96" s="200">
        <f>I25+H93+I93</f>
        <v>1275</v>
      </c>
      <c r="D96" s="38"/>
      <c r="E96" s="38"/>
      <c r="F96" s="38"/>
      <c r="G96" s="38"/>
      <c r="H96" s="1"/>
      <c r="I96" s="1"/>
      <c r="J96" s="1"/>
    </row>
    <row r="97" spans="1:10" ht="15.75" customHeight="1" x14ac:dyDescent="0.25">
      <c r="A97" s="378" t="s">
        <v>44</v>
      </c>
      <c r="B97" s="376"/>
      <c r="C97" s="376"/>
      <c r="D97" s="376"/>
      <c r="E97" s="376"/>
      <c r="F97" s="376"/>
      <c r="G97" s="376"/>
      <c r="H97" s="376"/>
      <c r="I97" s="286"/>
      <c r="J97" s="53"/>
    </row>
    <row r="98" spans="1:10" ht="15.75" customHeight="1" x14ac:dyDescent="0.25">
      <c r="A98" s="202" t="s">
        <v>2</v>
      </c>
      <c r="B98" s="203" t="s">
        <v>45</v>
      </c>
      <c r="C98" s="204" t="s">
        <v>130</v>
      </c>
      <c r="D98" s="205" t="s">
        <v>4</v>
      </c>
      <c r="E98" s="206" t="s">
        <v>47</v>
      </c>
      <c r="F98" s="207" t="s">
        <v>48</v>
      </c>
      <c r="G98" s="206" t="s">
        <v>10</v>
      </c>
      <c r="H98" s="287" t="s">
        <v>49</v>
      </c>
      <c r="I98" s="286"/>
      <c r="J98" s="53"/>
    </row>
    <row r="99" spans="1:10" ht="15.75" customHeight="1" x14ac:dyDescent="0.25">
      <c r="A99" s="208"/>
      <c r="B99" s="55"/>
      <c r="C99" s="58"/>
      <c r="D99" s="219"/>
      <c r="E99" s="313"/>
      <c r="F99" s="57"/>
      <c r="G99" s="211"/>
      <c r="H99" s="301"/>
      <c r="I99" s="286"/>
      <c r="J99" s="53"/>
    </row>
    <row r="100" spans="1:10" ht="15.75" customHeight="1" x14ac:dyDescent="0.25">
      <c r="A100" s="208"/>
      <c r="B100" s="55"/>
      <c r="C100" s="58"/>
      <c r="D100" s="219"/>
      <c r="E100" s="210"/>
      <c r="F100" s="57"/>
      <c r="G100" s="211"/>
      <c r="H100" s="301"/>
      <c r="I100" s="311"/>
      <c r="J100" s="53"/>
    </row>
    <row r="101" spans="1:10" ht="15.75" customHeight="1" x14ac:dyDescent="0.25">
      <c r="A101" s="208"/>
      <c r="B101" s="55"/>
      <c r="C101" s="58"/>
      <c r="D101" s="219"/>
      <c r="E101" s="210"/>
      <c r="F101" s="216"/>
      <c r="G101" s="211"/>
      <c r="H101" s="301"/>
      <c r="I101" s="1"/>
      <c r="J101" s="1"/>
    </row>
    <row r="102" spans="1:10" ht="15.75" customHeight="1" x14ac:dyDescent="0.25">
      <c r="A102" s="208"/>
      <c r="B102" s="55"/>
      <c r="C102" s="58"/>
      <c r="D102" s="215"/>
      <c r="E102" s="269"/>
      <c r="F102" s="216"/>
      <c r="G102" s="211"/>
      <c r="H102" s="212"/>
      <c r="I102" s="1"/>
      <c r="J102" s="1"/>
    </row>
    <row r="103" spans="1:10" ht="15.75" customHeight="1" x14ac:dyDescent="0.25">
      <c r="A103" s="208"/>
      <c r="B103" s="55"/>
      <c r="C103" s="58"/>
      <c r="D103" s="219"/>
      <c r="E103" s="269"/>
      <c r="F103" s="216"/>
      <c r="G103" s="211"/>
      <c r="H103" s="212"/>
      <c r="I103" s="1"/>
      <c r="J103" s="1"/>
    </row>
    <row r="104" spans="1:10" ht="15.75" customHeight="1" x14ac:dyDescent="0.25">
      <c r="A104" s="208"/>
      <c r="B104" s="55"/>
      <c r="C104" s="58"/>
      <c r="D104" s="219"/>
      <c r="E104" s="220"/>
      <c r="F104" s="216"/>
      <c r="G104" s="211">
        <f t="shared" ref="G104:G106" si="7">F104</f>
        <v>0</v>
      </c>
      <c r="H104" s="212"/>
      <c r="I104" s="1"/>
      <c r="J104" s="1"/>
    </row>
    <row r="105" spans="1:10" ht="15.75" customHeight="1" x14ac:dyDescent="0.25">
      <c r="A105" s="213"/>
      <c r="B105" s="55"/>
      <c r="C105" s="214"/>
      <c r="D105" s="219"/>
      <c r="E105" s="220"/>
      <c r="F105" s="216"/>
      <c r="G105" s="211">
        <f t="shared" si="7"/>
        <v>0</v>
      </c>
      <c r="H105" s="212"/>
      <c r="I105" s="1"/>
      <c r="J105" s="1"/>
    </row>
    <row r="106" spans="1:10" ht="15.75" customHeight="1" x14ac:dyDescent="0.25">
      <c r="A106" s="213"/>
      <c r="B106" s="55"/>
      <c r="C106" s="214"/>
      <c r="D106" s="219"/>
      <c r="E106" s="220"/>
      <c r="F106" s="216"/>
      <c r="G106" s="211">
        <f t="shared" si="7"/>
        <v>0</v>
      </c>
      <c r="H106" s="221"/>
      <c r="I106" s="1"/>
      <c r="J106" s="1"/>
    </row>
    <row r="107" spans="1:10" ht="15.75" customHeight="1" x14ac:dyDescent="0.25">
      <c r="A107" s="222" t="s">
        <v>37</v>
      </c>
      <c r="B107" s="223"/>
      <c r="C107" s="224"/>
      <c r="D107" s="225"/>
      <c r="E107" s="226">
        <f>SUM(E99:E106)</f>
        <v>0</v>
      </c>
      <c r="F107" s="227"/>
      <c r="G107" s="228">
        <f>SUM(G99:G106)</f>
        <v>0</v>
      </c>
      <c r="H107" s="228"/>
      <c r="I107" s="1"/>
      <c r="J107" s="1"/>
    </row>
    <row r="108" spans="1:10" ht="15.75" customHeight="1" x14ac:dyDescent="0.25">
      <c r="A108" s="38"/>
      <c r="B108" s="89"/>
      <c r="C108" s="40"/>
      <c r="D108" s="38"/>
      <c r="E108" s="38"/>
      <c r="F108" s="38"/>
      <c r="G108" s="38"/>
      <c r="H108" s="38"/>
      <c r="I108" s="1"/>
      <c r="J108" s="1"/>
    </row>
    <row r="109" spans="1:10" ht="15.75" customHeight="1" x14ac:dyDescent="0.25">
      <c r="A109" s="369" t="s">
        <v>50</v>
      </c>
      <c r="B109" s="370"/>
      <c r="C109" s="370"/>
      <c r="D109" s="370"/>
      <c r="E109" s="370"/>
      <c r="F109" s="370"/>
      <c r="G109" s="370"/>
      <c r="H109" s="370"/>
      <c r="I109" s="229"/>
      <c r="J109" s="1"/>
    </row>
    <row r="110" spans="1:10" ht="15.75" customHeight="1" x14ac:dyDescent="0.25">
      <c r="A110" s="202" t="s">
        <v>2</v>
      </c>
      <c r="B110" s="230" t="s">
        <v>45</v>
      </c>
      <c r="C110" s="231" t="s">
        <v>4</v>
      </c>
      <c r="D110" s="232" t="s">
        <v>51</v>
      </c>
      <c r="E110" s="232" t="s">
        <v>48</v>
      </c>
      <c r="F110" s="232" t="s">
        <v>10</v>
      </c>
      <c r="G110" s="206" t="s">
        <v>52</v>
      </c>
      <c r="H110" s="206"/>
      <c r="I110" s="1"/>
      <c r="J110" s="1"/>
    </row>
    <row r="111" spans="1:10" ht="15.75" customHeight="1" x14ac:dyDescent="0.25">
      <c r="A111" s="270"/>
      <c r="B111" s="271"/>
      <c r="C111" s="235"/>
      <c r="D111" s="236"/>
      <c r="E111" s="272"/>
      <c r="F111" s="273"/>
      <c r="G111" s="239"/>
      <c r="H111" s="240"/>
      <c r="I111" s="1"/>
      <c r="J111" s="1"/>
    </row>
    <row r="112" spans="1:10" ht="15.75" customHeight="1" x14ac:dyDescent="0.25">
      <c r="A112" s="241"/>
      <c r="B112" s="242"/>
      <c r="C112" s="243"/>
      <c r="D112" s="244"/>
      <c r="E112" s="245"/>
      <c r="F112" s="246">
        <f t="shared" ref="F112:F113" si="8">D112*E112</f>
        <v>0</v>
      </c>
      <c r="G112" s="247"/>
      <c r="H112" s="248"/>
      <c r="I112" s="1"/>
      <c r="J112" s="1"/>
    </row>
    <row r="113" spans="1:10" ht="15.75" customHeight="1" x14ac:dyDescent="0.25">
      <c r="A113" s="249"/>
      <c r="B113" s="250"/>
      <c r="C113" s="249"/>
      <c r="D113" s="249"/>
      <c r="E113" s="249"/>
      <c r="F113" s="246">
        <f t="shared" si="8"/>
        <v>0</v>
      </c>
      <c r="G113" s="249"/>
      <c r="H113" s="249"/>
      <c r="I113" s="1"/>
      <c r="J113" s="1"/>
    </row>
    <row r="114" spans="1:10" ht="15.75" customHeight="1" x14ac:dyDescent="0.25">
      <c r="A114" s="241"/>
      <c r="B114" s="250"/>
      <c r="C114" s="249"/>
      <c r="D114" s="251"/>
      <c r="E114" s="249"/>
      <c r="F114" s="252"/>
      <c r="G114" s="249"/>
      <c r="H114" s="249"/>
      <c r="I114" s="1"/>
      <c r="J114" s="1"/>
    </row>
    <row r="115" spans="1:10" ht="15.75" customHeight="1" x14ac:dyDescent="0.25">
      <c r="A115" s="1"/>
      <c r="B115" s="253"/>
      <c r="C115" s="1"/>
      <c r="D115" s="1"/>
      <c r="E115" s="1"/>
      <c r="F115" s="254"/>
      <c r="G115" s="1"/>
      <c r="H115" s="1"/>
      <c r="I115" s="255"/>
      <c r="J115" s="256"/>
    </row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J81:J82"/>
    <mergeCell ref="J83:J84"/>
    <mergeCell ref="A97:H97"/>
    <mergeCell ref="A109:H109"/>
    <mergeCell ref="A1:J1"/>
    <mergeCell ref="A2:J2"/>
    <mergeCell ref="A30:H30"/>
    <mergeCell ref="A54:H54"/>
    <mergeCell ref="I56:J56"/>
    <mergeCell ref="I57:J57"/>
    <mergeCell ref="J78:J7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J1000"/>
  <sheetViews>
    <sheetView topLeftCell="A44" workbookViewId="0">
      <selection activeCell="C79" sqref="C79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2.7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327</v>
      </c>
      <c r="B4" s="260" t="s">
        <v>172</v>
      </c>
      <c r="C4" s="261" t="s">
        <v>54</v>
      </c>
      <c r="D4" s="262">
        <v>0.2</v>
      </c>
      <c r="E4" s="263">
        <v>54</v>
      </c>
      <c r="F4" s="14">
        <v>18</v>
      </c>
      <c r="G4" s="264">
        <f t="shared" ref="G4:G5" si="0">E4*D4</f>
        <v>10.8</v>
      </c>
      <c r="H4" s="16">
        <v>85</v>
      </c>
      <c r="I4" s="16">
        <f t="shared" ref="I4:I5" si="1">H4*E4</f>
        <v>4590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72</v>
      </c>
      <c r="F5" s="14">
        <v>18</v>
      </c>
      <c r="G5" s="264">
        <f t="shared" si="0"/>
        <v>14.4</v>
      </c>
      <c r="H5" s="16">
        <v>95</v>
      </c>
      <c r="I5" s="16">
        <f t="shared" si="1"/>
        <v>6840</v>
      </c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2">SUM(E4:E24)</f>
        <v>126</v>
      </c>
      <c r="F25" s="33">
        <f t="shared" si="2"/>
        <v>36</v>
      </c>
      <c r="G25" s="34">
        <f t="shared" si="2"/>
        <v>25.200000000000003</v>
      </c>
      <c r="H25" s="35"/>
      <c r="I25" s="36">
        <f>SUM(I4:I24)</f>
        <v>11430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26848.249999999956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327</v>
      </c>
      <c r="B33" s="62"/>
      <c r="C33" s="63">
        <v>11430</v>
      </c>
      <c r="D33" s="63">
        <v>11430</v>
      </c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3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3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3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328</v>
      </c>
      <c r="B40" s="62"/>
      <c r="C40" s="63">
        <v>7000</v>
      </c>
      <c r="D40" s="63">
        <v>7000</v>
      </c>
      <c r="E40" s="71"/>
      <c r="F40" s="73"/>
      <c r="G40" s="74"/>
      <c r="H40" s="67"/>
      <c r="I40" s="1"/>
      <c r="J40" s="1"/>
    </row>
    <row r="41" spans="1:10" ht="15.75" customHeight="1" x14ac:dyDescent="0.25">
      <c r="A41" s="76" t="s">
        <v>329</v>
      </c>
      <c r="B41" s="62"/>
      <c r="C41" s="63">
        <v>5000</v>
      </c>
      <c r="D41" s="63">
        <v>5000</v>
      </c>
      <c r="E41" s="71"/>
      <c r="F41" s="73"/>
      <c r="G41" s="74"/>
      <c r="H41" s="67">
        <f t="shared" ref="H41:H49" si="4">F41*G41</f>
        <v>0</v>
      </c>
      <c r="I41" s="1"/>
      <c r="J41" s="1"/>
    </row>
    <row r="42" spans="1:10" ht="15.75" customHeight="1" x14ac:dyDescent="0.25">
      <c r="A42" s="76" t="s">
        <v>108</v>
      </c>
      <c r="B42" s="62"/>
      <c r="C42" s="63">
        <v>2000</v>
      </c>
      <c r="D42" s="63">
        <v>2000</v>
      </c>
      <c r="E42" s="71"/>
      <c r="F42" s="73"/>
      <c r="G42" s="74"/>
      <c r="H42" s="67">
        <f t="shared" si="4"/>
        <v>0</v>
      </c>
      <c r="I42" s="1"/>
      <c r="J42" s="1"/>
    </row>
    <row r="43" spans="1:10" ht="15.75" customHeight="1" x14ac:dyDescent="0.25">
      <c r="A43" s="64"/>
      <c r="B43" s="62"/>
      <c r="C43" s="63"/>
      <c r="D43" s="69"/>
      <c r="E43" s="71"/>
      <c r="F43" s="73"/>
      <c r="G43" s="74"/>
      <c r="H43" s="67">
        <f t="shared" si="4"/>
        <v>0</v>
      </c>
      <c r="I43" s="1"/>
      <c r="J43" s="1"/>
    </row>
    <row r="44" spans="1:10" ht="15.75" customHeight="1" x14ac:dyDescent="0.25">
      <c r="A44" s="64"/>
      <c r="B44" s="62"/>
      <c r="C44" s="63"/>
      <c r="D44" s="69"/>
      <c r="E44" s="71"/>
      <c r="F44" s="73"/>
      <c r="G44" s="74"/>
      <c r="H44" s="67">
        <f t="shared" si="4"/>
        <v>0</v>
      </c>
      <c r="I44" s="1"/>
      <c r="J44" s="1"/>
    </row>
    <row r="45" spans="1:10" ht="15.75" customHeight="1" x14ac:dyDescent="0.25">
      <c r="A45" s="64"/>
      <c r="B45" s="62"/>
      <c r="C45" s="63"/>
      <c r="D45" s="69"/>
      <c r="E45" s="71"/>
      <c r="F45" s="73"/>
      <c r="G45" s="74"/>
      <c r="H45" s="67">
        <f t="shared" si="4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4"/>
        <v>0</v>
      </c>
      <c r="I46" s="309"/>
      <c r="J46" s="1"/>
    </row>
    <row r="47" spans="1:10" ht="15.75" customHeight="1" x14ac:dyDescent="0.25">
      <c r="A47" s="64"/>
      <c r="B47" s="62"/>
      <c r="C47" s="63"/>
      <c r="D47" s="70"/>
      <c r="E47" s="71"/>
      <c r="F47" s="73"/>
      <c r="G47" s="74"/>
      <c r="H47" s="67">
        <f t="shared" si="4"/>
        <v>0</v>
      </c>
      <c r="I47" s="1"/>
      <c r="J47" s="1"/>
    </row>
    <row r="48" spans="1:10" ht="15.75" customHeight="1" x14ac:dyDescent="0.25">
      <c r="A48" s="64"/>
      <c r="B48" s="62"/>
      <c r="C48" s="63"/>
      <c r="D48" s="70"/>
      <c r="E48" s="71"/>
      <c r="F48" s="73"/>
      <c r="G48" s="74"/>
      <c r="H48" s="67">
        <f t="shared" si="4"/>
        <v>0</v>
      </c>
      <c r="I48" s="1"/>
      <c r="J48" s="1"/>
    </row>
    <row r="49" spans="1:10" ht="15.75" customHeight="1" x14ac:dyDescent="0.25">
      <c r="A49" s="78"/>
      <c r="B49" s="62"/>
      <c r="C49" s="63"/>
      <c r="D49" s="79"/>
      <c r="E49" s="80" t="s">
        <v>21</v>
      </c>
      <c r="F49" s="73"/>
      <c r="G49" s="74"/>
      <c r="H49" s="67">
        <f t="shared" si="4"/>
        <v>0</v>
      </c>
      <c r="I49" s="81"/>
      <c r="J49" s="81"/>
    </row>
    <row r="50" spans="1:10" ht="15.75" customHeight="1" x14ac:dyDescent="0.25">
      <c r="A50" s="82" t="s">
        <v>22</v>
      </c>
      <c r="B50" s="83"/>
      <c r="C50" s="84"/>
      <c r="D50" s="298">
        <f>SUM(D33,D34:D37,D32,)-SUM(D40:D49,)</f>
        <v>24278.249999999956</v>
      </c>
      <c r="E50" s="307" t="s">
        <v>22</v>
      </c>
      <c r="F50" s="364"/>
      <c r="G50" s="308"/>
      <c r="H50" s="305">
        <f>SUM(H32+H38-H49)</f>
        <v>0</v>
      </c>
      <c r="I50" s="284" t="s">
        <v>330</v>
      </c>
      <c r="J50" s="284"/>
    </row>
    <row r="51" spans="1:10" ht="15.75" customHeight="1" x14ac:dyDescent="0.25">
      <c r="A51" s="88"/>
      <c r="B51" s="89"/>
      <c r="C51" s="40"/>
      <c r="D51" s="38"/>
      <c r="E51" s="38"/>
      <c r="F51" s="38"/>
      <c r="G51" s="1"/>
      <c r="H51" s="1"/>
      <c r="I51" s="1"/>
      <c r="J51" s="1"/>
    </row>
    <row r="52" spans="1:10" ht="15.75" customHeight="1" x14ac:dyDescent="0.25">
      <c r="A52" s="377" t="s">
        <v>23</v>
      </c>
      <c r="B52" s="376"/>
      <c r="C52" s="376"/>
      <c r="D52" s="376"/>
      <c r="E52" s="376"/>
      <c r="F52" s="376"/>
      <c r="G52" s="376"/>
      <c r="H52" s="376"/>
      <c r="I52" s="1"/>
      <c r="J52" s="1"/>
    </row>
    <row r="53" spans="1:10" ht="15.75" customHeight="1" x14ac:dyDescent="0.25">
      <c r="A53" s="90" t="s">
        <v>24</v>
      </c>
      <c r="B53" s="274" t="s">
        <v>24</v>
      </c>
      <c r="C53" s="274"/>
      <c r="D53" s="44"/>
      <c r="E53" s="91" t="s">
        <v>25</v>
      </c>
      <c r="F53" s="51"/>
      <c r="G53" s="51"/>
      <c r="H53" s="44"/>
      <c r="I53" s="341" t="s">
        <v>270</v>
      </c>
    </row>
    <row r="54" spans="1:10" ht="15.75" customHeight="1" x14ac:dyDescent="0.25">
      <c r="A54" s="92" t="s">
        <v>17</v>
      </c>
      <c r="B54" s="275"/>
      <c r="C54" s="285">
        <v>1096695.3500000001</v>
      </c>
      <c r="D54" s="51"/>
      <c r="E54" s="94" t="s">
        <v>17</v>
      </c>
      <c r="F54" s="44"/>
      <c r="G54" s="95">
        <v>2428.5</v>
      </c>
      <c r="H54" s="44"/>
      <c r="I54" s="379" t="s">
        <v>271</v>
      </c>
      <c r="J54" s="381"/>
    </row>
    <row r="55" spans="1:10" ht="15.75" customHeight="1" x14ac:dyDescent="0.25">
      <c r="A55" s="96" t="s">
        <v>26</v>
      </c>
      <c r="B55" s="44"/>
      <c r="C55" s="96" t="s">
        <v>27</v>
      </c>
      <c r="D55" s="44"/>
      <c r="E55" s="96" t="s">
        <v>26</v>
      </c>
      <c r="F55" s="44"/>
      <c r="G55" s="96" t="s">
        <v>27</v>
      </c>
      <c r="H55" s="44"/>
      <c r="I55" s="382" t="s">
        <v>272</v>
      </c>
      <c r="J55" s="381"/>
    </row>
    <row r="56" spans="1:10" ht="15.75" customHeight="1" x14ac:dyDescent="0.25">
      <c r="A56" s="97" t="s">
        <v>28</v>
      </c>
      <c r="B56" s="97" t="s">
        <v>10</v>
      </c>
      <c r="C56" s="97" t="s">
        <v>29</v>
      </c>
      <c r="D56" s="97" t="s">
        <v>10</v>
      </c>
      <c r="E56" s="97" t="s">
        <v>28</v>
      </c>
      <c r="F56" s="97" t="s">
        <v>10</v>
      </c>
      <c r="G56" s="330" t="s">
        <v>30</v>
      </c>
      <c r="H56" s="97" t="s">
        <v>10</v>
      </c>
      <c r="I56" s="331" t="s">
        <v>273</v>
      </c>
      <c r="J56" s="331" t="s">
        <v>274</v>
      </c>
    </row>
    <row r="57" spans="1:10" ht="15.75" customHeight="1" x14ac:dyDescent="0.25">
      <c r="A57" s="98" t="s">
        <v>90</v>
      </c>
      <c r="B57" s="276">
        <v>563.01</v>
      </c>
      <c r="C57" s="100" t="s">
        <v>118</v>
      </c>
      <c r="D57" s="101">
        <v>2000</v>
      </c>
      <c r="E57" s="102"/>
      <c r="F57" s="103"/>
      <c r="G57" s="104"/>
      <c r="H57" s="103"/>
      <c r="I57" s="333"/>
      <c r="J57" s="334"/>
    </row>
    <row r="58" spans="1:10" ht="15.75" customHeight="1" x14ac:dyDescent="0.25">
      <c r="A58" s="277" t="s">
        <v>231</v>
      </c>
      <c r="B58" s="276">
        <v>98000</v>
      </c>
      <c r="C58" s="106" t="s">
        <v>331</v>
      </c>
      <c r="D58" s="101">
        <v>2236</v>
      </c>
      <c r="E58" s="104"/>
      <c r="F58" s="103"/>
      <c r="G58" s="104"/>
      <c r="H58" s="103"/>
      <c r="I58" s="333"/>
      <c r="J58" s="333"/>
    </row>
    <row r="59" spans="1:10" ht="15.75" customHeight="1" x14ac:dyDescent="0.25">
      <c r="A59" s="105"/>
      <c r="B59" s="278"/>
      <c r="C59" s="107" t="s">
        <v>332</v>
      </c>
      <c r="D59" s="101">
        <v>2499</v>
      </c>
      <c r="E59" s="104"/>
      <c r="F59" s="103"/>
      <c r="G59" s="108"/>
      <c r="H59" s="103"/>
      <c r="I59" s="333"/>
      <c r="J59" s="333"/>
    </row>
    <row r="60" spans="1:10" ht="15.75" customHeight="1" x14ac:dyDescent="0.25">
      <c r="A60" s="109"/>
      <c r="B60" s="278"/>
      <c r="C60" s="107" t="s">
        <v>333</v>
      </c>
      <c r="D60" s="101">
        <v>11290</v>
      </c>
      <c r="E60" s="102"/>
      <c r="F60" s="110"/>
      <c r="G60" s="108"/>
      <c r="H60" s="103"/>
      <c r="I60" s="333"/>
      <c r="J60" s="333"/>
    </row>
    <row r="61" spans="1:10" ht="15.75" customHeight="1" x14ac:dyDescent="0.25">
      <c r="A61" s="111"/>
      <c r="B61" s="278"/>
      <c r="C61" s="107" t="s">
        <v>334</v>
      </c>
      <c r="D61" s="101">
        <v>14900</v>
      </c>
      <c r="E61" s="112"/>
      <c r="F61" s="113"/>
      <c r="G61" s="114"/>
      <c r="H61" s="114"/>
      <c r="I61" s="333"/>
      <c r="J61" s="333"/>
    </row>
    <row r="62" spans="1:10" ht="15.75" customHeight="1" x14ac:dyDescent="0.25">
      <c r="A62" s="111"/>
      <c r="B62" s="278"/>
      <c r="C62" s="107" t="s">
        <v>335</v>
      </c>
      <c r="D62" s="101">
        <v>28000.98</v>
      </c>
      <c r="E62" s="112"/>
      <c r="F62" s="113"/>
      <c r="G62" s="115"/>
      <c r="H62" s="114"/>
      <c r="I62" s="333"/>
      <c r="J62" s="333"/>
    </row>
    <row r="63" spans="1:10" ht="15.75" customHeight="1" x14ac:dyDescent="0.25">
      <c r="A63" s="116"/>
      <c r="B63" s="278"/>
      <c r="C63" s="107" t="s">
        <v>336</v>
      </c>
      <c r="D63" s="101">
        <v>30000</v>
      </c>
      <c r="E63" s="112"/>
      <c r="F63" s="112"/>
      <c r="G63" s="117"/>
      <c r="H63" s="114"/>
      <c r="I63" s="333"/>
      <c r="J63" s="333"/>
    </row>
    <row r="64" spans="1:10" ht="15.75" customHeight="1" x14ac:dyDescent="0.25">
      <c r="A64" s="118"/>
      <c r="B64" s="279"/>
      <c r="C64" s="107" t="s">
        <v>337</v>
      </c>
      <c r="D64" s="101">
        <v>100000</v>
      </c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 t="s">
        <v>35</v>
      </c>
      <c r="D65" s="120">
        <v>126031</v>
      </c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 t="s">
        <v>338</v>
      </c>
      <c r="D66" s="120">
        <v>0</v>
      </c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280"/>
      <c r="C67" s="106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18"/>
      <c r="B68" s="280"/>
      <c r="C68" s="106"/>
      <c r="D68" s="338"/>
      <c r="E68" s="118"/>
      <c r="F68" s="112"/>
      <c r="G68" s="104"/>
      <c r="H68" s="114"/>
      <c r="I68" s="333"/>
      <c r="J68" s="333"/>
    </row>
    <row r="69" spans="1:10" ht="15.75" customHeight="1" x14ac:dyDescent="0.25">
      <c r="A69" s="118"/>
      <c r="B69" s="119"/>
      <c r="C69" s="104"/>
      <c r="D69" s="120"/>
      <c r="E69" s="118"/>
      <c r="F69" s="112"/>
      <c r="G69" s="104"/>
      <c r="H69" s="114"/>
      <c r="I69" s="333"/>
      <c r="J69" s="333"/>
    </row>
    <row r="70" spans="1:10" ht="15.75" customHeight="1" x14ac:dyDescent="0.25">
      <c r="A70" s="121"/>
      <c r="B70" s="122">
        <f>SUM(B57:B69)+C54</f>
        <v>1195258.3600000001</v>
      </c>
      <c r="C70" s="123"/>
      <c r="D70" s="122">
        <f>SUM(D57:D69)</f>
        <v>316956.98</v>
      </c>
      <c r="E70" s="124"/>
      <c r="F70" s="124">
        <f>SUM(F57:F69)</f>
        <v>0</v>
      </c>
      <c r="G70" s="124"/>
      <c r="H70" s="124">
        <f>SUM(H57:H69)</f>
        <v>0</v>
      </c>
      <c r="I70" s="339"/>
      <c r="J70" s="340"/>
    </row>
    <row r="71" spans="1:10" ht="15.75" customHeight="1" x14ac:dyDescent="0.25">
      <c r="A71" s="125" t="s">
        <v>22</v>
      </c>
      <c r="B71" s="126">
        <f>B70-D70</f>
        <v>878301.38000000012</v>
      </c>
      <c r="C71" s="51"/>
      <c r="D71" s="44"/>
      <c r="E71" s="94" t="s">
        <v>22</v>
      </c>
      <c r="F71" s="95">
        <v>2428.5</v>
      </c>
      <c r="G71" s="51"/>
      <c r="H71" s="44"/>
      <c r="I71" s="341" t="s">
        <v>289</v>
      </c>
      <c r="J71" s="339"/>
    </row>
    <row r="72" spans="1:10" ht="15.75" customHeight="1" x14ac:dyDescent="0.25">
      <c r="A72" s="127" t="s">
        <v>37</v>
      </c>
      <c r="B72" s="44"/>
      <c r="C72" s="128">
        <v>880729.88</v>
      </c>
      <c r="D72" s="51"/>
      <c r="E72" s="51"/>
      <c r="F72" s="51"/>
      <c r="G72" s="51"/>
      <c r="H72" s="44"/>
      <c r="I72" s="249"/>
      <c r="J72" s="249"/>
    </row>
    <row r="73" spans="1:10" ht="15.75" customHeight="1" x14ac:dyDescent="0.25">
      <c r="A73" s="38"/>
      <c r="B73" s="89"/>
      <c r="C73" s="40"/>
      <c r="D73" s="38"/>
      <c r="E73" s="38"/>
      <c r="F73" s="38"/>
      <c r="G73" s="38"/>
      <c r="H73" s="88"/>
      <c r="I73" s="129"/>
      <c r="J73" s="129"/>
    </row>
    <row r="74" spans="1:10" ht="15.75" customHeight="1" x14ac:dyDescent="0.25">
      <c r="A74" s="130"/>
      <c r="B74" s="131" t="s">
        <v>38</v>
      </c>
      <c r="D74" s="1"/>
      <c r="E74" s="38"/>
      <c r="F74" s="38"/>
      <c r="G74" s="38"/>
      <c r="H74" s="132"/>
      <c r="I74" s="1"/>
      <c r="J74" s="1"/>
    </row>
    <row r="75" spans="1:10" ht="15.75" customHeight="1" x14ac:dyDescent="0.25">
      <c r="A75" s="342" t="s">
        <v>2</v>
      </c>
      <c r="B75" s="343" t="s">
        <v>39</v>
      </c>
      <c r="C75" s="344" t="s">
        <v>4</v>
      </c>
      <c r="D75" s="345" t="s">
        <v>5</v>
      </c>
      <c r="E75" s="346" t="s">
        <v>6</v>
      </c>
      <c r="F75" s="347" t="s">
        <v>7</v>
      </c>
      <c r="G75" s="259" t="s">
        <v>8</v>
      </c>
      <c r="H75" s="348" t="s">
        <v>9</v>
      </c>
      <c r="I75" s="349" t="s">
        <v>10</v>
      </c>
      <c r="J75" s="350" t="s">
        <v>40</v>
      </c>
    </row>
    <row r="76" spans="1:10" ht="15.75" customHeight="1" x14ac:dyDescent="0.25">
      <c r="A76" s="236" t="s">
        <v>339</v>
      </c>
      <c r="B76" s="260" t="s">
        <v>172</v>
      </c>
      <c r="C76" s="261" t="s">
        <v>340</v>
      </c>
      <c r="D76" s="262">
        <v>1</v>
      </c>
      <c r="E76" s="48">
        <v>50</v>
      </c>
      <c r="F76" s="48">
        <v>10</v>
      </c>
      <c r="G76" s="351">
        <f t="shared" ref="G76:G78" si="5">E76*F76</f>
        <v>500</v>
      </c>
      <c r="H76" s="352">
        <v>190</v>
      </c>
      <c r="I76" s="352">
        <f t="shared" ref="I76:I78" si="6">G76*H76</f>
        <v>95000</v>
      </c>
      <c r="J76" s="386"/>
    </row>
    <row r="77" spans="1:10" ht="15.75" customHeight="1" x14ac:dyDescent="0.25">
      <c r="A77" s="236"/>
      <c r="B77" s="260"/>
      <c r="C77" s="261" t="s">
        <v>341</v>
      </c>
      <c r="D77" s="262">
        <v>1</v>
      </c>
      <c r="E77" s="48">
        <v>100</v>
      </c>
      <c r="F77" s="48">
        <v>10</v>
      </c>
      <c r="G77" s="351">
        <f t="shared" si="5"/>
        <v>1000</v>
      </c>
      <c r="H77" s="352">
        <v>190</v>
      </c>
      <c r="I77" s="352">
        <f t="shared" si="6"/>
        <v>190000</v>
      </c>
      <c r="J77" s="387"/>
    </row>
    <row r="78" spans="1:10" ht="15.75" customHeight="1" x14ac:dyDescent="0.25">
      <c r="A78" s="236"/>
      <c r="B78" s="260"/>
      <c r="C78" s="261" t="s">
        <v>342</v>
      </c>
      <c r="D78" s="262">
        <v>1</v>
      </c>
      <c r="E78" s="48">
        <v>100</v>
      </c>
      <c r="F78" s="48">
        <v>10</v>
      </c>
      <c r="G78" s="351">
        <f t="shared" si="5"/>
        <v>1000</v>
      </c>
      <c r="H78" s="352">
        <v>190</v>
      </c>
      <c r="I78" s="352">
        <f t="shared" si="6"/>
        <v>190000</v>
      </c>
      <c r="J78" s="353"/>
    </row>
    <row r="79" spans="1:10" ht="15.75" customHeight="1" x14ac:dyDescent="0.25">
      <c r="A79" s="236" t="s">
        <v>70</v>
      </c>
      <c r="B79" s="260" t="s">
        <v>172</v>
      </c>
      <c r="C79" s="261" t="s">
        <v>203</v>
      </c>
      <c r="D79" s="262">
        <v>0.2</v>
      </c>
      <c r="E79" s="48">
        <v>80</v>
      </c>
      <c r="F79" s="48">
        <v>18</v>
      </c>
      <c r="G79" s="351">
        <f>F79*E79*D79</f>
        <v>288</v>
      </c>
      <c r="H79" s="352">
        <v>68</v>
      </c>
      <c r="I79" s="352">
        <f>H79*F79*E79</f>
        <v>97920</v>
      </c>
      <c r="J79" s="354" t="s">
        <v>343</v>
      </c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65"/>
    </row>
    <row r="81" spans="1:10" ht="15.75" customHeight="1" x14ac:dyDescent="0.25">
      <c r="A81" s="236"/>
      <c r="B81" s="260"/>
      <c r="C81" s="261"/>
      <c r="D81" s="262"/>
      <c r="E81" s="48"/>
      <c r="F81" s="48"/>
      <c r="G81" s="351"/>
      <c r="H81" s="352"/>
      <c r="I81" s="352"/>
      <c r="J81" s="386"/>
    </row>
    <row r="82" spans="1:10" ht="15.75" customHeight="1" x14ac:dyDescent="0.25">
      <c r="A82" s="236"/>
      <c r="B82" s="236"/>
      <c r="C82" s="261"/>
      <c r="D82" s="262"/>
      <c r="E82" s="48"/>
      <c r="F82" s="48"/>
      <c r="G82" s="351"/>
      <c r="H82" s="352"/>
      <c r="I82" s="352"/>
      <c r="J82" s="387"/>
    </row>
    <row r="83" spans="1:10" ht="15.75" customHeight="1" x14ac:dyDescent="0.25">
      <c r="A83" s="355"/>
      <c r="B83" s="356"/>
      <c r="C83" s="357"/>
      <c r="D83" s="358"/>
      <c r="E83" s="359"/>
      <c r="F83" s="360"/>
      <c r="G83" s="361"/>
      <c r="H83" s="362"/>
      <c r="I83" s="363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56"/>
      <c r="B86" s="157"/>
      <c r="C86" s="165"/>
      <c r="D86" s="147"/>
      <c r="E86" s="166"/>
      <c r="F86" s="149"/>
      <c r="G86" s="162"/>
      <c r="H86" s="150"/>
      <c r="I86" s="164"/>
      <c r="J86" s="155"/>
    </row>
    <row r="87" spans="1:10" ht="15.75" customHeight="1" x14ac:dyDescent="0.25">
      <c r="A87" s="156"/>
      <c r="B87" s="157"/>
      <c r="C87" s="165"/>
      <c r="D87" s="147"/>
      <c r="E87" s="166"/>
      <c r="F87" s="149"/>
      <c r="G87" s="162"/>
      <c r="H87" s="150"/>
      <c r="I87" s="164"/>
      <c r="J87" s="155"/>
    </row>
    <row r="88" spans="1:10" ht="15.75" customHeight="1" x14ac:dyDescent="0.25">
      <c r="A88" s="167"/>
      <c r="B88" s="168"/>
      <c r="C88" s="169"/>
      <c r="D88" s="170"/>
      <c r="E88" s="171"/>
      <c r="F88" s="172"/>
      <c r="G88" s="173"/>
      <c r="H88" s="174"/>
      <c r="I88" s="175"/>
      <c r="J88" s="155"/>
    </row>
    <row r="89" spans="1:10" ht="15.75" customHeight="1" x14ac:dyDescent="0.25">
      <c r="A89" s="176"/>
      <c r="B89" s="157"/>
      <c r="C89" s="177"/>
      <c r="D89" s="178"/>
      <c r="E89" s="160"/>
      <c r="F89" s="161"/>
      <c r="G89" s="179">
        <f t="shared" ref="G89:G90" si="7">D89*F89</f>
        <v>0</v>
      </c>
      <c r="H89" s="180"/>
      <c r="I89" s="180">
        <f t="shared" ref="I89:I90" si="8">F89*H89*E89</f>
        <v>0</v>
      </c>
      <c r="J89" s="181"/>
    </row>
    <row r="90" spans="1:10" ht="15.75" customHeight="1" x14ac:dyDescent="0.25">
      <c r="A90" s="176"/>
      <c r="B90" s="157"/>
      <c r="C90" s="182"/>
      <c r="D90" s="183"/>
      <c r="E90" s="184"/>
      <c r="F90" s="183"/>
      <c r="G90" s="179">
        <f t="shared" si="7"/>
        <v>0</v>
      </c>
      <c r="H90" s="185"/>
      <c r="I90" s="180">
        <f t="shared" si="8"/>
        <v>0</v>
      </c>
      <c r="J90" s="181"/>
    </row>
    <row r="91" spans="1:10" ht="15.75" customHeight="1" x14ac:dyDescent="0.25">
      <c r="A91" s="186" t="s">
        <v>37</v>
      </c>
      <c r="B91" s="187"/>
      <c r="C91" s="188"/>
      <c r="D91" s="189"/>
      <c r="E91" s="190">
        <f>SUM(E76:E90)</f>
        <v>330</v>
      </c>
      <c r="F91" s="191">
        <f>SUM(F76:F88)</f>
        <v>48</v>
      </c>
      <c r="G91" s="192">
        <f>SUM(G76:G83)</f>
        <v>2788</v>
      </c>
      <c r="H91" s="193"/>
      <c r="I91" s="193">
        <f>SUM(I76:I84)</f>
        <v>572920</v>
      </c>
      <c r="J91" s="194"/>
    </row>
    <row r="92" spans="1:10" ht="15.75" customHeight="1" x14ac:dyDescent="0.25">
      <c r="A92" s="1"/>
      <c r="B92" s="89"/>
      <c r="C92" s="40"/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195" t="s">
        <v>41</v>
      </c>
      <c r="B93" s="196" t="s">
        <v>42</v>
      </c>
      <c r="C93" s="197" t="s">
        <v>43</v>
      </c>
      <c r="D93" s="38"/>
      <c r="E93" s="38"/>
      <c r="F93" s="38"/>
      <c r="G93" s="38"/>
      <c r="H93" s="1"/>
      <c r="I93" s="1"/>
      <c r="J93" s="1"/>
    </row>
    <row r="94" spans="1:10" ht="15.75" customHeight="1" x14ac:dyDescent="0.25">
      <c r="A94" s="198"/>
      <c r="B94" s="199">
        <f>E25+G91</f>
        <v>2914</v>
      </c>
      <c r="C94" s="200">
        <f>I25+H91+I91</f>
        <v>584350</v>
      </c>
      <c r="D94" s="38"/>
      <c r="E94" s="38"/>
      <c r="F94" s="38"/>
      <c r="G94" s="38"/>
      <c r="H94" s="1"/>
      <c r="I94" s="1"/>
      <c r="J94" s="1"/>
    </row>
    <row r="95" spans="1:10" ht="15.75" customHeight="1" x14ac:dyDescent="0.25">
      <c r="A95" s="378" t="s">
        <v>44</v>
      </c>
      <c r="B95" s="376"/>
      <c r="C95" s="376"/>
      <c r="D95" s="376"/>
      <c r="E95" s="376"/>
      <c r="F95" s="376"/>
      <c r="G95" s="376"/>
      <c r="H95" s="376"/>
      <c r="I95" s="286"/>
      <c r="J95" s="53"/>
    </row>
    <row r="96" spans="1:10" ht="15.75" customHeight="1" x14ac:dyDescent="0.25">
      <c r="A96" s="202" t="s">
        <v>2</v>
      </c>
      <c r="B96" s="203" t="s">
        <v>45</v>
      </c>
      <c r="C96" s="204" t="s">
        <v>130</v>
      </c>
      <c r="D96" s="205" t="s">
        <v>4</v>
      </c>
      <c r="E96" s="206" t="s">
        <v>47</v>
      </c>
      <c r="F96" s="207" t="s">
        <v>48</v>
      </c>
      <c r="G96" s="206" t="s">
        <v>10</v>
      </c>
      <c r="H96" s="287" t="s">
        <v>49</v>
      </c>
      <c r="I96" s="286"/>
      <c r="J96" s="53"/>
    </row>
    <row r="97" spans="1:10" ht="15.75" customHeight="1" x14ac:dyDescent="0.25">
      <c r="A97" s="208" t="s">
        <v>294</v>
      </c>
      <c r="B97" s="55" t="s">
        <v>76</v>
      </c>
      <c r="C97" s="58" t="s">
        <v>291</v>
      </c>
      <c r="D97" s="219"/>
      <c r="E97" s="313" t="s">
        <v>343</v>
      </c>
      <c r="F97" s="57">
        <v>6240</v>
      </c>
      <c r="G97" s="211">
        <v>6240</v>
      </c>
      <c r="H97" s="301"/>
      <c r="I97" s="286"/>
      <c r="J97" s="53"/>
    </row>
    <row r="98" spans="1:10" ht="15.75" customHeight="1" x14ac:dyDescent="0.25">
      <c r="A98" s="208"/>
      <c r="B98" s="55"/>
      <c r="C98" s="58"/>
      <c r="D98" s="219"/>
      <c r="E98" s="210"/>
      <c r="F98" s="57"/>
      <c r="G98" s="211"/>
      <c r="H98" s="301"/>
      <c r="I98" s="311"/>
      <c r="J98" s="53"/>
    </row>
    <row r="99" spans="1:10" ht="15.75" customHeight="1" x14ac:dyDescent="0.25">
      <c r="A99" s="208"/>
      <c r="B99" s="55"/>
      <c r="C99" s="58"/>
      <c r="D99" s="219"/>
      <c r="E99" s="210"/>
      <c r="F99" s="216"/>
      <c r="G99" s="211"/>
      <c r="H99" s="301"/>
      <c r="I99" s="1"/>
      <c r="J99" s="1"/>
    </row>
    <row r="100" spans="1:10" ht="15.75" customHeight="1" x14ac:dyDescent="0.25">
      <c r="A100" s="208"/>
      <c r="B100" s="55"/>
      <c r="C100" s="58"/>
      <c r="D100" s="215"/>
      <c r="E100" s="269"/>
      <c r="F100" s="216"/>
      <c r="G100" s="211"/>
      <c r="H100" s="212"/>
      <c r="I100" s="1"/>
      <c r="J100" s="1"/>
    </row>
    <row r="101" spans="1:10" ht="15.75" customHeight="1" x14ac:dyDescent="0.25">
      <c r="A101" s="208"/>
      <c r="B101" s="55"/>
      <c r="C101" s="58"/>
      <c r="D101" s="219"/>
      <c r="E101" s="269"/>
      <c r="F101" s="216"/>
      <c r="G101" s="211"/>
      <c r="H101" s="212"/>
      <c r="I101" s="1"/>
      <c r="J101" s="1"/>
    </row>
    <row r="102" spans="1:10" ht="15.75" customHeight="1" x14ac:dyDescent="0.25">
      <c r="A102" s="208"/>
      <c r="B102" s="55"/>
      <c r="C102" s="58"/>
      <c r="D102" s="219"/>
      <c r="E102" s="220"/>
      <c r="F102" s="216"/>
      <c r="G102" s="211">
        <f t="shared" ref="G102:G104" si="9">F102</f>
        <v>0</v>
      </c>
      <c r="H102" s="212"/>
      <c r="I102" s="1"/>
      <c r="J102" s="1"/>
    </row>
    <row r="103" spans="1:10" ht="15.75" customHeight="1" x14ac:dyDescent="0.25">
      <c r="A103" s="213"/>
      <c r="B103" s="55"/>
      <c r="C103" s="214"/>
      <c r="D103" s="219"/>
      <c r="E103" s="220"/>
      <c r="F103" s="216"/>
      <c r="G103" s="211">
        <f t="shared" si="9"/>
        <v>0</v>
      </c>
      <c r="H103" s="212"/>
      <c r="I103" s="1"/>
      <c r="J103" s="1"/>
    </row>
    <row r="104" spans="1:10" ht="15.75" customHeight="1" x14ac:dyDescent="0.25">
      <c r="A104" s="213"/>
      <c r="B104" s="55"/>
      <c r="C104" s="214"/>
      <c r="D104" s="219"/>
      <c r="E104" s="220"/>
      <c r="F104" s="216"/>
      <c r="G104" s="211">
        <f t="shared" si="9"/>
        <v>0</v>
      </c>
      <c r="H104" s="221"/>
      <c r="I104" s="1"/>
      <c r="J104" s="1"/>
    </row>
    <row r="105" spans="1:10" ht="15.75" customHeight="1" x14ac:dyDescent="0.25">
      <c r="A105" s="222" t="s">
        <v>37</v>
      </c>
      <c r="B105" s="223"/>
      <c r="C105" s="224"/>
      <c r="D105" s="225"/>
      <c r="E105" s="226">
        <f>SUM(E97:E104)</f>
        <v>0</v>
      </c>
      <c r="F105" s="227"/>
      <c r="G105" s="228">
        <f>SUM(G97:G104)</f>
        <v>6240</v>
      </c>
      <c r="H105" s="228"/>
      <c r="I105" s="1"/>
      <c r="J105" s="1"/>
    </row>
    <row r="106" spans="1:10" ht="15.75" customHeight="1" x14ac:dyDescent="0.25">
      <c r="A106" s="38"/>
      <c r="B106" s="89"/>
      <c r="C106" s="40"/>
      <c r="D106" s="38"/>
      <c r="E106" s="38"/>
      <c r="F106" s="38"/>
      <c r="G106" s="38"/>
      <c r="H106" s="38"/>
      <c r="I106" s="1"/>
      <c r="J106" s="1"/>
    </row>
    <row r="107" spans="1:10" ht="15.75" customHeight="1" x14ac:dyDescent="0.25">
      <c r="A107" s="369" t="s">
        <v>50</v>
      </c>
      <c r="B107" s="370"/>
      <c r="C107" s="370"/>
      <c r="D107" s="370"/>
      <c r="E107" s="370"/>
      <c r="F107" s="370"/>
      <c r="G107" s="370"/>
      <c r="H107" s="370"/>
      <c r="I107" s="229"/>
      <c r="J107" s="1"/>
    </row>
    <row r="108" spans="1:10" ht="15.75" customHeight="1" x14ac:dyDescent="0.25">
      <c r="A108" s="202" t="s">
        <v>2</v>
      </c>
      <c r="B108" s="230" t="s">
        <v>45</v>
      </c>
      <c r="C108" s="231" t="s">
        <v>4</v>
      </c>
      <c r="D108" s="232" t="s">
        <v>51</v>
      </c>
      <c r="E108" s="232" t="s">
        <v>48</v>
      </c>
      <c r="F108" s="232" t="s">
        <v>10</v>
      </c>
      <c r="G108" s="206" t="s">
        <v>52</v>
      </c>
      <c r="H108" s="206"/>
      <c r="I108" s="1"/>
      <c r="J108" s="1"/>
    </row>
    <row r="109" spans="1:10" ht="15.75" customHeight="1" x14ac:dyDescent="0.25">
      <c r="A109" s="270"/>
      <c r="B109" s="271"/>
      <c r="C109" s="235"/>
      <c r="D109" s="236"/>
      <c r="E109" s="272"/>
      <c r="F109" s="273"/>
      <c r="G109" s="239"/>
      <c r="H109" s="240"/>
      <c r="I109" s="1"/>
      <c r="J109" s="1"/>
    </row>
    <row r="110" spans="1:10" ht="15.75" customHeight="1" x14ac:dyDescent="0.25">
      <c r="A110" s="241"/>
      <c r="B110" s="242"/>
      <c r="C110" s="243"/>
      <c r="D110" s="244"/>
      <c r="E110" s="245"/>
      <c r="F110" s="246">
        <f t="shared" ref="F110:F111" si="10">D110*E110</f>
        <v>0</v>
      </c>
      <c r="G110" s="247"/>
      <c r="H110" s="248"/>
      <c r="I110" s="1"/>
      <c r="J110" s="1"/>
    </row>
    <row r="111" spans="1:10" ht="15.75" customHeight="1" x14ac:dyDescent="0.25">
      <c r="A111" s="249"/>
      <c r="B111" s="250"/>
      <c r="C111" s="249"/>
      <c r="D111" s="249"/>
      <c r="E111" s="249"/>
      <c r="F111" s="246">
        <f t="shared" si="10"/>
        <v>0</v>
      </c>
      <c r="G111" s="249"/>
      <c r="H111" s="249"/>
      <c r="I111" s="1"/>
      <c r="J111" s="1"/>
    </row>
    <row r="112" spans="1:10" ht="15.75" customHeight="1" x14ac:dyDescent="0.25">
      <c r="A112" s="241"/>
      <c r="B112" s="250"/>
      <c r="C112" s="249"/>
      <c r="D112" s="251"/>
      <c r="E112" s="249"/>
      <c r="F112" s="252"/>
      <c r="G112" s="249"/>
      <c r="H112" s="249"/>
      <c r="I112" s="1"/>
      <c r="J112" s="1"/>
    </row>
    <row r="113" spans="1:10" ht="15.75" customHeight="1" x14ac:dyDescent="0.25">
      <c r="A113" s="1"/>
      <c r="B113" s="253"/>
      <c r="C113" s="1"/>
      <c r="D113" s="1"/>
      <c r="E113" s="1"/>
      <c r="F113" s="254"/>
      <c r="G113" s="1"/>
      <c r="H113" s="1"/>
      <c r="I113" s="255"/>
      <c r="J113" s="256"/>
    </row>
    <row r="114" spans="1:10" ht="15.75" customHeight="1" x14ac:dyDescent="0.25"/>
    <row r="115" spans="1:10" ht="15.75" customHeight="1" x14ac:dyDescent="0.25"/>
    <row r="116" spans="1:10" ht="15.75" customHeight="1" x14ac:dyDescent="0.25"/>
    <row r="117" spans="1:10" ht="15.75" customHeight="1" x14ac:dyDescent="0.25"/>
    <row r="118" spans="1:10" ht="15.75" customHeight="1" x14ac:dyDescent="0.25"/>
    <row r="119" spans="1:10" ht="15.75" customHeight="1" x14ac:dyDescent="0.25"/>
    <row r="120" spans="1:10" ht="15.75" customHeight="1" x14ac:dyDescent="0.25"/>
    <row r="121" spans="1:10" ht="15.75" customHeight="1" x14ac:dyDescent="0.25"/>
    <row r="122" spans="1:10" ht="15.75" customHeight="1" x14ac:dyDescent="0.25"/>
    <row r="123" spans="1:10" ht="15.75" customHeight="1" x14ac:dyDescent="0.25"/>
    <row r="124" spans="1:10" ht="15.75" customHeight="1" x14ac:dyDescent="0.25"/>
    <row r="125" spans="1:10" ht="15.75" customHeight="1" x14ac:dyDescent="0.25"/>
    <row r="126" spans="1:10" ht="15.75" customHeight="1" x14ac:dyDescent="0.25"/>
    <row r="127" spans="1:10" ht="15.75" customHeight="1" x14ac:dyDescent="0.25"/>
    <row r="128" spans="1:10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81:J82"/>
    <mergeCell ref="A95:H95"/>
    <mergeCell ref="A107:H107"/>
    <mergeCell ref="A1:J1"/>
    <mergeCell ref="A2:J2"/>
    <mergeCell ref="A30:H30"/>
    <mergeCell ref="A52:H52"/>
    <mergeCell ref="I54:J54"/>
    <mergeCell ref="I55:J55"/>
    <mergeCell ref="J76:J7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J1000"/>
  <sheetViews>
    <sheetView topLeftCell="A47" workbookViewId="0">
      <selection activeCell="C61" sqref="C61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6.12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0">SUM(E4:E24)</f>
        <v>0</v>
      </c>
      <c r="F25" s="33">
        <f t="shared" si="0"/>
        <v>0</v>
      </c>
      <c r="G25" s="34">
        <f t="shared" si="0"/>
        <v>0</v>
      </c>
      <c r="H25" s="35"/>
      <c r="I25" s="36">
        <f>SUM(I4:I24)</f>
        <v>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298">
        <v>24278.249999999956</v>
      </c>
      <c r="E32" s="307" t="s">
        <v>17</v>
      </c>
      <c r="F32" s="290"/>
      <c r="G32" s="308"/>
      <c r="H32" s="305">
        <v>0</v>
      </c>
      <c r="I32" s="366" t="s">
        <v>344</v>
      </c>
      <c r="J32" s="1"/>
    </row>
    <row r="33" spans="1:10" ht="15.75" customHeight="1" x14ac:dyDescent="0.25">
      <c r="A33" s="61"/>
      <c r="B33" s="62"/>
      <c r="C33" s="63"/>
      <c r="D33" s="63"/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1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>
        <v>2000</v>
      </c>
      <c r="D40" s="63">
        <v>2000</v>
      </c>
      <c r="E40" s="71"/>
      <c r="F40" s="73"/>
      <c r="G40" s="74"/>
      <c r="H40" s="67">
        <f t="shared" ref="H40:H47" si="2">F40*G40</f>
        <v>0</v>
      </c>
      <c r="I40" s="1"/>
      <c r="J40" s="1"/>
    </row>
    <row r="41" spans="1:10" ht="15.75" customHeight="1" x14ac:dyDescent="0.25">
      <c r="A41" s="64" t="s">
        <v>345</v>
      </c>
      <c r="B41" s="62"/>
      <c r="C41" s="63">
        <v>890</v>
      </c>
      <c r="D41" s="69">
        <v>890</v>
      </c>
      <c r="E41" s="71"/>
      <c r="F41" s="73"/>
      <c r="G41" s="74"/>
      <c r="H41" s="67">
        <f t="shared" si="2"/>
        <v>0</v>
      </c>
      <c r="I41" s="1"/>
      <c r="J41" s="1"/>
    </row>
    <row r="42" spans="1:10" ht="15.75" customHeight="1" x14ac:dyDescent="0.25">
      <c r="A42" s="64"/>
      <c r="B42" s="62"/>
      <c r="C42" s="63"/>
      <c r="D42" s="69"/>
      <c r="E42" s="71"/>
      <c r="F42" s="73"/>
      <c r="G42" s="74"/>
      <c r="H42" s="67">
        <f t="shared" si="2"/>
        <v>0</v>
      </c>
      <c r="I42" s="1"/>
      <c r="J42" s="1"/>
    </row>
    <row r="43" spans="1:10" ht="15.75" customHeight="1" x14ac:dyDescent="0.25">
      <c r="A43" s="64"/>
      <c r="B43" s="62"/>
      <c r="C43" s="63"/>
      <c r="D43" s="69"/>
      <c r="E43" s="71"/>
      <c r="F43" s="73"/>
      <c r="G43" s="74"/>
      <c r="H43" s="67">
        <f t="shared" si="2"/>
        <v>0</v>
      </c>
      <c r="I43" s="1"/>
      <c r="J43" s="1"/>
    </row>
    <row r="44" spans="1:10" ht="15.75" customHeight="1" x14ac:dyDescent="0.25">
      <c r="A44" s="64"/>
      <c r="B44" s="62"/>
      <c r="C44" s="63"/>
      <c r="D44" s="70"/>
      <c r="E44" s="71"/>
      <c r="F44" s="73"/>
      <c r="G44" s="74"/>
      <c r="H44" s="67">
        <f t="shared" si="2"/>
        <v>0</v>
      </c>
      <c r="I44" s="309"/>
      <c r="J44" s="1"/>
    </row>
    <row r="45" spans="1:10" ht="15.75" customHeight="1" x14ac:dyDescent="0.25">
      <c r="A45" s="64"/>
      <c r="B45" s="62"/>
      <c r="C45" s="63"/>
      <c r="D45" s="70"/>
      <c r="E45" s="71"/>
      <c r="F45" s="73"/>
      <c r="G45" s="74"/>
      <c r="H45" s="67">
        <f t="shared" si="2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78"/>
      <c r="B47" s="62"/>
      <c r="C47" s="63"/>
      <c r="D47" s="79"/>
      <c r="E47" s="80" t="s">
        <v>21</v>
      </c>
      <c r="F47" s="73"/>
      <c r="G47" s="74"/>
      <c r="H47" s="67">
        <f t="shared" si="2"/>
        <v>0</v>
      </c>
      <c r="I47" s="81"/>
      <c r="J47" s="81"/>
    </row>
    <row r="48" spans="1:10" ht="15.75" customHeight="1" x14ac:dyDescent="0.25">
      <c r="A48" s="82" t="s">
        <v>22</v>
      </c>
      <c r="B48" s="83"/>
      <c r="C48" s="84"/>
      <c r="D48" s="85">
        <f>SUM(D33,D34:D37,D32,)-SUM(D40:D47,)</f>
        <v>21388.249999999956</v>
      </c>
      <c r="E48" s="82" t="s">
        <v>22</v>
      </c>
      <c r="F48" s="86"/>
      <c r="G48" s="84"/>
      <c r="H48" s="87">
        <f>SUM(H32+H38-H47)</f>
        <v>0</v>
      </c>
      <c r="I48" s="1"/>
      <c r="J48" s="1"/>
    </row>
    <row r="49" spans="1:10" ht="15.75" customHeight="1" x14ac:dyDescent="0.25">
      <c r="A49" s="88"/>
      <c r="B49" s="89"/>
      <c r="C49" s="40"/>
      <c r="D49" s="38"/>
      <c r="E49" s="38"/>
      <c r="F49" s="38"/>
      <c r="G49" s="1"/>
      <c r="H49" s="1"/>
      <c r="I49" s="1"/>
      <c r="J49" s="1"/>
    </row>
    <row r="50" spans="1:10" ht="15.75" customHeight="1" x14ac:dyDescent="0.25">
      <c r="A50" s="377" t="s">
        <v>23</v>
      </c>
      <c r="B50" s="376"/>
      <c r="C50" s="376"/>
      <c r="D50" s="376"/>
      <c r="E50" s="376"/>
      <c r="F50" s="376"/>
      <c r="G50" s="376"/>
      <c r="H50" s="376"/>
      <c r="I50" s="1"/>
      <c r="J50" s="1"/>
    </row>
    <row r="51" spans="1:10" ht="15.75" customHeight="1" x14ac:dyDescent="0.25">
      <c r="A51" s="90" t="s">
        <v>24</v>
      </c>
      <c r="B51" s="274" t="s">
        <v>24</v>
      </c>
      <c r="C51" s="274"/>
      <c r="D51" s="44"/>
      <c r="E51" s="91" t="s">
        <v>25</v>
      </c>
      <c r="F51" s="51"/>
      <c r="G51" s="51"/>
      <c r="H51" s="44"/>
      <c r="I51" s="341" t="s">
        <v>270</v>
      </c>
    </row>
    <row r="52" spans="1:10" ht="15.75" customHeight="1" x14ac:dyDescent="0.25">
      <c r="A52" s="92" t="s">
        <v>17</v>
      </c>
      <c r="B52" s="275"/>
      <c r="C52" s="285">
        <v>878301.38</v>
      </c>
      <c r="D52" s="51"/>
      <c r="E52" s="94" t="s">
        <v>17</v>
      </c>
      <c r="F52" s="44"/>
      <c r="G52" s="95">
        <v>2428.5</v>
      </c>
      <c r="H52" s="44"/>
      <c r="I52" s="379" t="s">
        <v>271</v>
      </c>
      <c r="J52" s="381"/>
    </row>
    <row r="53" spans="1:10" ht="15.75" customHeight="1" x14ac:dyDescent="0.25">
      <c r="A53" s="96" t="s">
        <v>26</v>
      </c>
      <c r="B53" s="44"/>
      <c r="C53" s="96" t="s">
        <v>27</v>
      </c>
      <c r="D53" s="44"/>
      <c r="E53" s="96" t="s">
        <v>26</v>
      </c>
      <c r="F53" s="44"/>
      <c r="G53" s="96" t="s">
        <v>27</v>
      </c>
      <c r="H53" s="44"/>
      <c r="I53" s="382" t="s">
        <v>272</v>
      </c>
      <c r="J53" s="381"/>
    </row>
    <row r="54" spans="1:10" ht="15.75" customHeight="1" x14ac:dyDescent="0.25">
      <c r="A54" s="97" t="s">
        <v>28</v>
      </c>
      <c r="B54" s="97" t="s">
        <v>10</v>
      </c>
      <c r="C54" s="97" t="s">
        <v>29</v>
      </c>
      <c r="D54" s="97" t="s">
        <v>10</v>
      </c>
      <c r="E54" s="97" t="s">
        <v>28</v>
      </c>
      <c r="F54" s="97" t="s">
        <v>10</v>
      </c>
      <c r="G54" s="330" t="s">
        <v>30</v>
      </c>
      <c r="H54" s="97" t="s">
        <v>10</v>
      </c>
      <c r="I54" s="331" t="s">
        <v>273</v>
      </c>
      <c r="J54" s="331" t="s">
        <v>274</v>
      </c>
    </row>
    <row r="55" spans="1:10" ht="15.75" customHeight="1" x14ac:dyDescent="0.25">
      <c r="A55" s="98" t="s">
        <v>90</v>
      </c>
      <c r="B55" s="276">
        <v>451.03</v>
      </c>
      <c r="C55" s="100" t="s">
        <v>91</v>
      </c>
      <c r="D55" s="101">
        <v>250</v>
      </c>
      <c r="E55" s="102"/>
      <c r="F55" s="103"/>
      <c r="G55" s="104"/>
      <c r="H55" s="103"/>
      <c r="I55" s="333"/>
      <c r="J55" s="334"/>
    </row>
    <row r="56" spans="1:10" ht="15.75" customHeight="1" x14ac:dyDescent="0.25">
      <c r="A56" s="277"/>
      <c r="B56" s="276"/>
      <c r="C56" s="106" t="s">
        <v>346</v>
      </c>
      <c r="D56" s="101">
        <v>1800</v>
      </c>
      <c r="E56" s="104"/>
      <c r="F56" s="103"/>
      <c r="G56" s="104"/>
      <c r="H56" s="103"/>
      <c r="I56" s="333"/>
      <c r="J56" s="333"/>
    </row>
    <row r="57" spans="1:10" ht="15.75" customHeight="1" x14ac:dyDescent="0.25">
      <c r="A57" s="105"/>
      <c r="B57" s="278"/>
      <c r="C57" s="107" t="s">
        <v>347</v>
      </c>
      <c r="D57" s="101">
        <v>2434</v>
      </c>
      <c r="E57" s="104"/>
      <c r="F57" s="103"/>
      <c r="G57" s="108"/>
      <c r="H57" s="103"/>
      <c r="I57" s="333"/>
      <c r="J57" s="333"/>
    </row>
    <row r="58" spans="1:10" ht="15.75" customHeight="1" x14ac:dyDescent="0.25">
      <c r="A58" s="109"/>
      <c r="B58" s="278"/>
      <c r="C58" s="107" t="s">
        <v>348</v>
      </c>
      <c r="D58" s="101">
        <v>21440</v>
      </c>
      <c r="E58" s="102"/>
      <c r="F58" s="110"/>
      <c r="G58" s="108"/>
      <c r="H58" s="103"/>
      <c r="I58" s="333"/>
      <c r="J58" s="333"/>
    </row>
    <row r="59" spans="1:10" ht="15.75" customHeight="1" x14ac:dyDescent="0.25">
      <c r="A59" s="111"/>
      <c r="B59" s="278"/>
      <c r="C59" s="107" t="s">
        <v>349</v>
      </c>
      <c r="D59" s="101">
        <v>101021</v>
      </c>
      <c r="E59" s="112"/>
      <c r="F59" s="113"/>
      <c r="G59" s="114"/>
      <c r="H59" s="114"/>
      <c r="I59" s="333"/>
      <c r="J59" s="333"/>
    </row>
    <row r="60" spans="1:10" ht="15.75" customHeight="1" x14ac:dyDescent="0.25">
      <c r="A60" s="111"/>
      <c r="B60" s="278"/>
      <c r="C60" s="107" t="s">
        <v>350</v>
      </c>
      <c r="D60" s="101">
        <v>473424</v>
      </c>
      <c r="E60" s="112"/>
      <c r="F60" s="113"/>
      <c r="G60" s="115"/>
      <c r="H60" s="114"/>
      <c r="I60" s="333"/>
      <c r="J60" s="333"/>
    </row>
    <row r="61" spans="1:10" ht="15.75" customHeight="1" x14ac:dyDescent="0.25">
      <c r="A61" s="116"/>
      <c r="B61" s="278"/>
      <c r="C61" s="107" t="s">
        <v>351</v>
      </c>
      <c r="D61" s="101">
        <v>0</v>
      </c>
      <c r="E61" s="112"/>
      <c r="F61" s="112"/>
      <c r="G61" s="117"/>
      <c r="H61" s="114"/>
      <c r="I61" s="333"/>
      <c r="J61" s="333"/>
    </row>
    <row r="62" spans="1:10" ht="15.75" customHeight="1" x14ac:dyDescent="0.25">
      <c r="A62" s="118"/>
      <c r="B62" s="279"/>
      <c r="C62" s="107"/>
      <c r="D62" s="101"/>
      <c r="E62" s="118"/>
      <c r="F62" s="112"/>
      <c r="G62" s="104"/>
      <c r="H62" s="114"/>
      <c r="I62" s="333"/>
      <c r="J62" s="333"/>
    </row>
    <row r="63" spans="1:10" ht="15.75" customHeight="1" x14ac:dyDescent="0.25">
      <c r="A63" s="118"/>
      <c r="B63" s="280"/>
      <c r="C63" s="106"/>
      <c r="D63" s="120"/>
      <c r="E63" s="118"/>
      <c r="F63" s="112"/>
      <c r="G63" s="104"/>
      <c r="H63" s="114"/>
      <c r="I63" s="333"/>
      <c r="J63" s="333"/>
    </row>
    <row r="64" spans="1:10" ht="15.75" customHeight="1" x14ac:dyDescent="0.25">
      <c r="A64" s="118"/>
      <c r="B64" s="280"/>
      <c r="C64" s="106"/>
      <c r="D64" s="120"/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/>
      <c r="D65" s="120"/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/>
      <c r="D66" s="338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119"/>
      <c r="C67" s="104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21"/>
      <c r="B68" s="122">
        <f>SUM(B55:B67)+C52</f>
        <v>878752.41</v>
      </c>
      <c r="C68" s="123"/>
      <c r="D68" s="122">
        <f>SUM(D55:D67)</f>
        <v>600369</v>
      </c>
      <c r="E68" s="124"/>
      <c r="F68" s="124">
        <f>SUM(F55:F67)</f>
        <v>0</v>
      </c>
      <c r="G68" s="124"/>
      <c r="H68" s="124">
        <f>SUM(H55:H67)</f>
        <v>0</v>
      </c>
      <c r="I68" s="339"/>
      <c r="J68" s="340"/>
    </row>
    <row r="69" spans="1:10" ht="15.75" customHeight="1" x14ac:dyDescent="0.25">
      <c r="A69" s="125" t="s">
        <v>22</v>
      </c>
      <c r="B69" s="126">
        <f>B68-D68</f>
        <v>278383.41000000003</v>
      </c>
      <c r="C69" s="51"/>
      <c r="D69" s="44"/>
      <c r="E69" s="94" t="s">
        <v>22</v>
      </c>
      <c r="F69" s="95">
        <v>2428.5</v>
      </c>
      <c r="G69" s="51"/>
      <c r="H69" s="44"/>
      <c r="I69" s="341" t="s">
        <v>289</v>
      </c>
      <c r="J69" s="339"/>
    </row>
    <row r="70" spans="1:10" ht="15.75" customHeight="1" x14ac:dyDescent="0.25">
      <c r="A70" s="127" t="s">
        <v>37</v>
      </c>
      <c r="B70" s="44"/>
      <c r="C70" s="128">
        <v>280811.90999999997</v>
      </c>
      <c r="D70" s="51"/>
      <c r="E70" s="51"/>
      <c r="F70" s="51"/>
      <c r="G70" s="51"/>
      <c r="H70" s="44"/>
      <c r="I70" s="249"/>
      <c r="J70" s="249"/>
    </row>
    <row r="71" spans="1:10" ht="15.75" customHeight="1" x14ac:dyDescent="0.25">
      <c r="A71" s="38"/>
      <c r="B71" s="89"/>
      <c r="C71" s="40"/>
      <c r="D71" s="38"/>
      <c r="E71" s="38"/>
      <c r="F71" s="38"/>
      <c r="G71" s="38"/>
      <c r="H71" s="88"/>
      <c r="I71" s="129"/>
      <c r="J71" s="129"/>
    </row>
    <row r="72" spans="1:10" ht="15.75" customHeight="1" x14ac:dyDescent="0.25">
      <c r="A72" s="130"/>
      <c r="B72" s="131" t="s">
        <v>38</v>
      </c>
      <c r="D72" s="1"/>
      <c r="E72" s="38"/>
      <c r="F72" s="38"/>
      <c r="G72" s="38"/>
      <c r="H72" s="132"/>
      <c r="I72" s="1"/>
      <c r="J72" s="1"/>
    </row>
    <row r="73" spans="1:10" ht="15.75" customHeight="1" x14ac:dyDescent="0.25">
      <c r="A73" s="342" t="s">
        <v>2</v>
      </c>
      <c r="B73" s="343" t="s">
        <v>39</v>
      </c>
      <c r="C73" s="344" t="s">
        <v>4</v>
      </c>
      <c r="D73" s="345" t="s">
        <v>5</v>
      </c>
      <c r="E73" s="346" t="s">
        <v>6</v>
      </c>
      <c r="F73" s="347" t="s">
        <v>7</v>
      </c>
      <c r="G73" s="259" t="s">
        <v>8</v>
      </c>
      <c r="H73" s="348" t="s">
        <v>9</v>
      </c>
      <c r="I73" s="349" t="s">
        <v>10</v>
      </c>
      <c r="J73" s="350" t="s">
        <v>40</v>
      </c>
    </row>
    <row r="74" spans="1:10" ht="15.75" customHeight="1" x14ac:dyDescent="0.25">
      <c r="A74" s="236" t="s">
        <v>291</v>
      </c>
      <c r="B74" s="260" t="s">
        <v>172</v>
      </c>
      <c r="C74" s="261" t="s">
        <v>203</v>
      </c>
      <c r="D74" s="262">
        <v>0.2</v>
      </c>
      <c r="E74" s="48">
        <v>80</v>
      </c>
      <c r="F74" s="48">
        <v>18</v>
      </c>
      <c r="G74" s="351">
        <f t="shared" ref="G74:G76" si="3">D74*E74*F74</f>
        <v>288</v>
      </c>
      <c r="H74" s="352">
        <v>68</v>
      </c>
      <c r="I74" s="352">
        <f t="shared" ref="I74:I75" si="4">H74*F74*E74</f>
        <v>97920</v>
      </c>
      <c r="J74" s="386"/>
    </row>
    <row r="75" spans="1:10" ht="15.75" customHeight="1" x14ac:dyDescent="0.25">
      <c r="A75" s="236"/>
      <c r="B75" s="260"/>
      <c r="C75" s="261" t="s">
        <v>129</v>
      </c>
      <c r="D75" s="262">
        <v>0.2</v>
      </c>
      <c r="E75" s="48">
        <v>80</v>
      </c>
      <c r="F75" s="48">
        <v>18</v>
      </c>
      <c r="G75" s="351">
        <f t="shared" si="3"/>
        <v>288</v>
      </c>
      <c r="H75" s="352">
        <v>94.1</v>
      </c>
      <c r="I75" s="352">
        <f t="shared" si="4"/>
        <v>135504</v>
      </c>
      <c r="J75" s="387"/>
    </row>
    <row r="76" spans="1:10" ht="15.75" customHeight="1" x14ac:dyDescent="0.25">
      <c r="A76" s="236" t="s">
        <v>352</v>
      </c>
      <c r="B76" s="260" t="s">
        <v>172</v>
      </c>
      <c r="C76" s="261" t="s">
        <v>340</v>
      </c>
      <c r="D76" s="262">
        <v>1</v>
      </c>
      <c r="E76" s="48">
        <v>150</v>
      </c>
      <c r="F76" s="48">
        <v>10</v>
      </c>
      <c r="G76" s="351">
        <f t="shared" si="3"/>
        <v>1500</v>
      </c>
      <c r="H76" s="352">
        <v>190</v>
      </c>
      <c r="I76" s="352">
        <f t="shared" ref="I76:I77" si="5">H76*G76</f>
        <v>285000</v>
      </c>
      <c r="J76" s="353"/>
    </row>
    <row r="77" spans="1:10" ht="15.75" customHeight="1" x14ac:dyDescent="0.25">
      <c r="A77" s="236"/>
      <c r="B77" s="260"/>
      <c r="C77" s="261" t="s">
        <v>353</v>
      </c>
      <c r="D77" s="262">
        <v>1</v>
      </c>
      <c r="E77" s="48">
        <v>100</v>
      </c>
      <c r="F77" s="48">
        <v>10</v>
      </c>
      <c r="G77" s="351">
        <f>F77*E77</f>
        <v>1000</v>
      </c>
      <c r="H77" s="352">
        <v>190</v>
      </c>
      <c r="I77" s="352">
        <f t="shared" si="5"/>
        <v>190000</v>
      </c>
      <c r="J77" s="354"/>
    </row>
    <row r="78" spans="1:10" ht="15.75" customHeight="1" x14ac:dyDescent="0.25">
      <c r="A78" s="236"/>
      <c r="B78" s="236"/>
      <c r="C78" s="261"/>
      <c r="D78" s="262"/>
      <c r="E78" s="48"/>
      <c r="F78" s="48"/>
      <c r="G78" s="351"/>
      <c r="H78" s="352"/>
      <c r="I78" s="352"/>
      <c r="J78" s="365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6"/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87"/>
    </row>
    <row r="81" spans="1:10" ht="15.75" customHeight="1" x14ac:dyDescent="0.25">
      <c r="A81" s="355"/>
      <c r="B81" s="356"/>
      <c r="C81" s="357"/>
      <c r="D81" s="358"/>
      <c r="E81" s="359"/>
      <c r="F81" s="360"/>
      <c r="G81" s="361"/>
      <c r="H81" s="362"/>
      <c r="I81" s="363"/>
      <c r="J81" s="155"/>
    </row>
    <row r="82" spans="1:10" ht="15.75" customHeight="1" x14ac:dyDescent="0.25">
      <c r="A82" s="156"/>
      <c r="B82" s="157"/>
      <c r="C82" s="165"/>
      <c r="D82" s="147"/>
      <c r="E82" s="166"/>
      <c r="F82" s="149"/>
      <c r="G82" s="162"/>
      <c r="H82" s="150"/>
      <c r="I82" s="164"/>
      <c r="J82" s="155"/>
    </row>
    <row r="83" spans="1:10" ht="15.75" customHeight="1" x14ac:dyDescent="0.25">
      <c r="A83" s="156"/>
      <c r="B83" s="157"/>
      <c r="C83" s="165"/>
      <c r="D83" s="147"/>
      <c r="E83" s="166"/>
      <c r="F83" s="149"/>
      <c r="G83" s="162"/>
      <c r="H83" s="150"/>
      <c r="I83" s="164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67"/>
      <c r="B86" s="168"/>
      <c r="C86" s="169"/>
      <c r="D86" s="170"/>
      <c r="E86" s="171"/>
      <c r="F86" s="172"/>
      <c r="G86" s="173"/>
      <c r="H86" s="174"/>
      <c r="I86" s="175"/>
      <c r="J86" s="155"/>
    </row>
    <row r="87" spans="1:10" ht="15.75" customHeight="1" x14ac:dyDescent="0.25">
      <c r="A87" s="176"/>
      <c r="B87" s="157"/>
      <c r="C87" s="177"/>
      <c r="D87" s="178"/>
      <c r="E87" s="160"/>
      <c r="F87" s="161"/>
      <c r="G87" s="179">
        <f t="shared" ref="G87:G88" si="6">D87*F87</f>
        <v>0</v>
      </c>
      <c r="H87" s="180"/>
      <c r="I87" s="180">
        <f t="shared" ref="I87:I88" si="7">F87*H87*E87</f>
        <v>0</v>
      </c>
      <c r="J87" s="181"/>
    </row>
    <row r="88" spans="1:10" ht="15.75" customHeight="1" x14ac:dyDescent="0.25">
      <c r="A88" s="176"/>
      <c r="B88" s="157"/>
      <c r="C88" s="182"/>
      <c r="D88" s="183"/>
      <c r="E88" s="184"/>
      <c r="F88" s="183"/>
      <c r="G88" s="179">
        <f t="shared" si="6"/>
        <v>0</v>
      </c>
      <c r="H88" s="185"/>
      <c r="I88" s="180">
        <f t="shared" si="7"/>
        <v>0</v>
      </c>
      <c r="J88" s="181"/>
    </row>
    <row r="89" spans="1:10" ht="15.75" customHeight="1" x14ac:dyDescent="0.25">
      <c r="A89" s="186" t="s">
        <v>37</v>
      </c>
      <c r="B89" s="187"/>
      <c r="C89" s="188"/>
      <c r="D89" s="189"/>
      <c r="E89" s="190">
        <f>SUM(E74:E88)</f>
        <v>410</v>
      </c>
      <c r="F89" s="191">
        <f>SUM(F74:F86)</f>
        <v>56</v>
      </c>
      <c r="G89" s="192">
        <f>SUM(G74:G81)</f>
        <v>3076</v>
      </c>
      <c r="H89" s="193"/>
      <c r="I89" s="193">
        <f>SUM(I74:I82)</f>
        <v>708424</v>
      </c>
      <c r="J89" s="194"/>
    </row>
    <row r="90" spans="1:10" ht="15.75" customHeight="1" x14ac:dyDescent="0.25">
      <c r="A90" s="1"/>
      <c r="B90" s="89"/>
      <c r="C90" s="40"/>
      <c r="D90" s="38"/>
      <c r="E90" s="38"/>
      <c r="F90" s="38"/>
      <c r="G90" s="38"/>
      <c r="H90" s="1"/>
      <c r="I90" s="1"/>
      <c r="J90" s="1"/>
    </row>
    <row r="91" spans="1:10" ht="15.75" customHeight="1" x14ac:dyDescent="0.25">
      <c r="A91" s="195" t="s">
        <v>41</v>
      </c>
      <c r="B91" s="196" t="s">
        <v>42</v>
      </c>
      <c r="C91" s="197" t="s">
        <v>43</v>
      </c>
      <c r="D91" s="38"/>
      <c r="E91" s="38"/>
      <c r="F91" s="38"/>
      <c r="G91" s="38"/>
      <c r="H91" s="1"/>
      <c r="I91" s="1"/>
      <c r="J91" s="1"/>
    </row>
    <row r="92" spans="1:10" ht="15.75" customHeight="1" x14ac:dyDescent="0.25">
      <c r="A92" s="198"/>
      <c r="B92" s="199">
        <f>E25+G89</f>
        <v>3076</v>
      </c>
      <c r="C92" s="200">
        <f>I25+H89+I89</f>
        <v>708424</v>
      </c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378" t="s">
        <v>44</v>
      </c>
      <c r="B93" s="376"/>
      <c r="C93" s="376"/>
      <c r="D93" s="376"/>
      <c r="E93" s="376"/>
      <c r="F93" s="376"/>
      <c r="G93" s="376"/>
      <c r="H93" s="376"/>
      <c r="I93" s="286"/>
      <c r="J93" s="53"/>
    </row>
    <row r="94" spans="1:10" ht="15.75" customHeight="1" x14ac:dyDescent="0.25">
      <c r="A94" s="202" t="s">
        <v>2</v>
      </c>
      <c r="B94" s="203" t="s">
        <v>45</v>
      </c>
      <c r="C94" s="204" t="s">
        <v>130</v>
      </c>
      <c r="D94" s="205" t="s">
        <v>4</v>
      </c>
      <c r="E94" s="206" t="s">
        <v>47</v>
      </c>
      <c r="F94" s="207" t="s">
        <v>48</v>
      </c>
      <c r="G94" s="206" t="s">
        <v>10</v>
      </c>
      <c r="H94" s="287" t="s">
        <v>49</v>
      </c>
      <c r="I94" s="286"/>
      <c r="J94" s="53"/>
    </row>
    <row r="95" spans="1:10" ht="15.75" customHeight="1" x14ac:dyDescent="0.25">
      <c r="A95" s="208" t="s">
        <v>294</v>
      </c>
      <c r="B95" s="55" t="s">
        <v>177</v>
      </c>
      <c r="C95" s="58" t="s">
        <v>354</v>
      </c>
      <c r="D95" s="219"/>
      <c r="E95" s="313" t="s">
        <v>292</v>
      </c>
      <c r="F95" s="57">
        <v>12000</v>
      </c>
      <c r="G95" s="211">
        <v>12000</v>
      </c>
      <c r="H95" s="301"/>
      <c r="I95" s="286"/>
      <c r="J95" s="53"/>
    </row>
    <row r="96" spans="1:10" ht="15.75" customHeight="1" x14ac:dyDescent="0.25">
      <c r="A96" s="208"/>
      <c r="B96" s="55"/>
      <c r="C96" s="58"/>
      <c r="D96" s="219"/>
      <c r="E96" s="210"/>
      <c r="F96" s="57"/>
      <c r="G96" s="211"/>
      <c r="H96" s="301"/>
      <c r="I96" s="311"/>
      <c r="J96" s="53"/>
    </row>
    <row r="97" spans="1:10" ht="15.75" customHeight="1" x14ac:dyDescent="0.25">
      <c r="A97" s="208"/>
      <c r="B97" s="55"/>
      <c r="C97" s="58"/>
      <c r="D97" s="219"/>
      <c r="E97" s="210"/>
      <c r="F97" s="216"/>
      <c r="G97" s="211"/>
      <c r="H97" s="301"/>
      <c r="I97" s="1"/>
      <c r="J97" s="1"/>
    </row>
    <row r="98" spans="1:10" ht="15.75" customHeight="1" x14ac:dyDescent="0.25">
      <c r="A98" s="208"/>
      <c r="B98" s="55"/>
      <c r="C98" s="58"/>
      <c r="D98" s="215"/>
      <c r="E98" s="269"/>
      <c r="F98" s="216"/>
      <c r="G98" s="211"/>
      <c r="H98" s="212"/>
      <c r="I98" s="1"/>
      <c r="J98" s="1"/>
    </row>
    <row r="99" spans="1:10" ht="15.75" customHeight="1" x14ac:dyDescent="0.25">
      <c r="A99" s="208"/>
      <c r="B99" s="55"/>
      <c r="C99" s="58"/>
      <c r="D99" s="219"/>
      <c r="E99" s="269"/>
      <c r="F99" s="216"/>
      <c r="G99" s="211"/>
      <c r="H99" s="212"/>
      <c r="I99" s="1"/>
      <c r="J99" s="1"/>
    </row>
    <row r="100" spans="1:10" ht="15.75" customHeight="1" x14ac:dyDescent="0.25">
      <c r="A100" s="208"/>
      <c r="B100" s="55"/>
      <c r="C100" s="58"/>
      <c r="D100" s="219"/>
      <c r="E100" s="220"/>
      <c r="F100" s="216"/>
      <c r="G100" s="211">
        <f t="shared" ref="G100:G102" si="8">F100</f>
        <v>0</v>
      </c>
      <c r="H100" s="212"/>
      <c r="I100" s="1"/>
      <c r="J100" s="1"/>
    </row>
    <row r="101" spans="1:10" ht="15.75" customHeight="1" x14ac:dyDescent="0.25">
      <c r="A101" s="213"/>
      <c r="B101" s="55"/>
      <c r="C101" s="214"/>
      <c r="D101" s="219"/>
      <c r="E101" s="220"/>
      <c r="F101" s="216"/>
      <c r="G101" s="211">
        <f t="shared" si="8"/>
        <v>0</v>
      </c>
      <c r="H101" s="212"/>
      <c r="I101" s="1"/>
      <c r="J101" s="1"/>
    </row>
    <row r="102" spans="1:10" ht="15.75" customHeight="1" x14ac:dyDescent="0.25">
      <c r="A102" s="213"/>
      <c r="B102" s="55"/>
      <c r="C102" s="214"/>
      <c r="D102" s="219"/>
      <c r="E102" s="220"/>
      <c r="F102" s="216"/>
      <c r="G102" s="211">
        <f t="shared" si="8"/>
        <v>0</v>
      </c>
      <c r="H102" s="221"/>
      <c r="I102" s="1"/>
      <c r="J102" s="1"/>
    </row>
    <row r="103" spans="1:10" ht="15.75" customHeight="1" x14ac:dyDescent="0.25">
      <c r="A103" s="222" t="s">
        <v>37</v>
      </c>
      <c r="B103" s="223"/>
      <c r="C103" s="224"/>
      <c r="D103" s="225"/>
      <c r="E103" s="226">
        <f>SUM(E95:E102)</f>
        <v>0</v>
      </c>
      <c r="F103" s="227"/>
      <c r="G103" s="228">
        <f>SUM(G95:G102)</f>
        <v>12000</v>
      </c>
      <c r="H103" s="228"/>
      <c r="I103" s="1"/>
      <c r="J103" s="1"/>
    </row>
    <row r="104" spans="1:10" ht="15.75" customHeight="1" x14ac:dyDescent="0.25">
      <c r="A104" s="38"/>
      <c r="B104" s="89"/>
      <c r="C104" s="40"/>
      <c r="D104" s="38"/>
      <c r="E104" s="38"/>
      <c r="F104" s="38"/>
      <c r="G104" s="38"/>
      <c r="H104" s="38"/>
      <c r="I104" s="1"/>
      <c r="J104" s="1"/>
    </row>
    <row r="105" spans="1:10" ht="15.75" customHeight="1" x14ac:dyDescent="0.25">
      <c r="A105" s="369" t="s">
        <v>50</v>
      </c>
      <c r="B105" s="370"/>
      <c r="C105" s="370"/>
      <c r="D105" s="370"/>
      <c r="E105" s="370"/>
      <c r="F105" s="370"/>
      <c r="G105" s="370"/>
      <c r="H105" s="370"/>
      <c r="I105" s="229"/>
      <c r="J105" s="1"/>
    </row>
    <row r="106" spans="1:10" ht="15.75" customHeight="1" x14ac:dyDescent="0.25">
      <c r="A106" s="202" t="s">
        <v>2</v>
      </c>
      <c r="B106" s="230" t="s">
        <v>45</v>
      </c>
      <c r="C106" s="231" t="s">
        <v>4</v>
      </c>
      <c r="D106" s="232" t="s">
        <v>51</v>
      </c>
      <c r="E106" s="232" t="s">
        <v>48</v>
      </c>
      <c r="F106" s="232" t="s">
        <v>10</v>
      </c>
      <c r="G106" s="206" t="s">
        <v>52</v>
      </c>
      <c r="H106" s="206"/>
      <c r="I106" s="1"/>
      <c r="J106" s="1"/>
    </row>
    <row r="107" spans="1:10" ht="15.75" customHeight="1" x14ac:dyDescent="0.25">
      <c r="A107" s="270"/>
      <c r="B107" s="271"/>
      <c r="C107" s="235"/>
      <c r="D107" s="236"/>
      <c r="E107" s="272"/>
      <c r="F107" s="273"/>
      <c r="G107" s="239"/>
      <c r="H107" s="240"/>
      <c r="I107" s="1"/>
      <c r="J107" s="1"/>
    </row>
    <row r="108" spans="1:10" ht="15.75" customHeight="1" x14ac:dyDescent="0.25">
      <c r="A108" s="241"/>
      <c r="B108" s="242"/>
      <c r="C108" s="243"/>
      <c r="D108" s="244"/>
      <c r="E108" s="245"/>
      <c r="F108" s="246">
        <f t="shared" ref="F108:F109" si="9">D108*E108</f>
        <v>0</v>
      </c>
      <c r="G108" s="247"/>
      <c r="H108" s="248"/>
      <c r="I108" s="1"/>
      <c r="J108" s="1"/>
    </row>
    <row r="109" spans="1:10" ht="15.75" customHeight="1" x14ac:dyDescent="0.25">
      <c r="A109" s="249"/>
      <c r="B109" s="250"/>
      <c r="C109" s="249"/>
      <c r="D109" s="249"/>
      <c r="E109" s="249"/>
      <c r="F109" s="246">
        <f t="shared" si="9"/>
        <v>0</v>
      </c>
      <c r="G109" s="249"/>
      <c r="H109" s="249"/>
      <c r="I109" s="1"/>
      <c r="J109" s="1"/>
    </row>
    <row r="110" spans="1:10" ht="15.75" customHeight="1" x14ac:dyDescent="0.25">
      <c r="A110" s="241"/>
      <c r="B110" s="250"/>
      <c r="C110" s="249"/>
      <c r="D110" s="251"/>
      <c r="E110" s="249"/>
      <c r="F110" s="252"/>
      <c r="G110" s="249"/>
      <c r="H110" s="249"/>
      <c r="I110" s="1"/>
      <c r="J110" s="1"/>
    </row>
    <row r="111" spans="1:10" ht="15.75" customHeight="1" x14ac:dyDescent="0.25">
      <c r="A111" s="1"/>
      <c r="B111" s="253"/>
      <c r="C111" s="1"/>
      <c r="D111" s="1"/>
      <c r="E111" s="1"/>
      <c r="F111" s="254"/>
      <c r="G111" s="1"/>
      <c r="H111" s="1"/>
      <c r="I111" s="255"/>
      <c r="J111" s="256"/>
    </row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79:J80"/>
    <mergeCell ref="A93:H93"/>
    <mergeCell ref="A105:H105"/>
    <mergeCell ref="A1:J1"/>
    <mergeCell ref="A2:J2"/>
    <mergeCell ref="A30:H30"/>
    <mergeCell ref="A50:H50"/>
    <mergeCell ref="I52:J52"/>
    <mergeCell ref="I53:J53"/>
    <mergeCell ref="J74:J7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J1000"/>
  <sheetViews>
    <sheetView topLeftCell="A22" workbookViewId="0">
      <selection activeCell="J79" sqref="J79:J80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3.125" customWidth="1"/>
    <col min="7" max="7" width="13.7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/>
      <c r="B4" s="260"/>
      <c r="C4" s="261"/>
      <c r="D4" s="262"/>
      <c r="E4" s="263"/>
      <c r="F4" s="14"/>
      <c r="G4" s="264"/>
      <c r="H4" s="16"/>
      <c r="I4" s="16"/>
      <c r="J4" s="17"/>
    </row>
    <row r="5" spans="1:10" ht="15.75" x14ac:dyDescent="0.25">
      <c r="A5" s="10"/>
      <c r="B5" s="260"/>
      <c r="C5" s="261"/>
      <c r="D5" s="262"/>
      <c r="E5" s="263"/>
      <c r="F5" s="14"/>
      <c r="G5" s="264"/>
      <c r="H5" s="16"/>
      <c r="I5" s="16"/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10"/>
      <c r="B13" s="27"/>
      <c r="C13" s="261"/>
      <c r="D13" s="262"/>
      <c r="E13" s="263"/>
      <c r="F13" s="14"/>
      <c r="G13" s="264"/>
      <c r="H13" s="16"/>
      <c r="I13" s="16"/>
      <c r="J13" s="17"/>
    </row>
    <row r="14" spans="1:10" ht="15.75" x14ac:dyDescent="0.25">
      <c r="A14" s="326"/>
      <c r="B14" s="27"/>
      <c r="C14" s="261"/>
      <c r="D14" s="262"/>
      <c r="E14" s="263"/>
      <c r="F14" s="14"/>
      <c r="G14" s="264"/>
      <c r="H14" s="16"/>
      <c r="I14" s="16"/>
      <c r="J14" s="327"/>
    </row>
    <row r="15" spans="1:10" ht="15.75" x14ac:dyDescent="0.25">
      <c r="A15" s="326"/>
      <c r="B15" s="27"/>
      <c r="C15" s="261"/>
      <c r="D15" s="262"/>
      <c r="E15" s="13"/>
      <c r="F15" s="14"/>
      <c r="G15" s="264"/>
      <c r="H15" s="16"/>
      <c r="I15" s="16"/>
      <c r="J15" s="327"/>
    </row>
    <row r="16" spans="1:10" ht="15.75" x14ac:dyDescent="0.25">
      <c r="A16" s="326"/>
      <c r="B16" s="27"/>
      <c r="C16" s="261"/>
      <c r="D16" s="262"/>
      <c r="E16" s="13"/>
      <c r="F16" s="14"/>
      <c r="G16" s="264"/>
      <c r="H16" s="16"/>
      <c r="I16" s="16"/>
      <c r="J16" s="327"/>
    </row>
    <row r="17" spans="1:10" ht="15.75" x14ac:dyDescent="0.25">
      <c r="A17" s="326"/>
      <c r="B17" s="27"/>
      <c r="C17" s="261"/>
      <c r="D17" s="262"/>
      <c r="E17" s="13"/>
      <c r="F17" s="14"/>
      <c r="G17" s="264"/>
      <c r="H17" s="16"/>
      <c r="I17" s="16"/>
      <c r="J17" s="327"/>
    </row>
    <row r="18" spans="1:10" ht="15.75" x14ac:dyDescent="0.25">
      <c r="A18" s="326"/>
      <c r="B18" s="27"/>
      <c r="C18" s="261"/>
      <c r="D18" s="262"/>
      <c r="E18" s="13"/>
      <c r="F18" s="14"/>
      <c r="G18" s="264"/>
      <c r="H18" s="16"/>
      <c r="I18" s="16"/>
      <c r="J18" s="327"/>
    </row>
    <row r="19" spans="1:10" ht="15.75" x14ac:dyDescent="0.25">
      <c r="A19" s="326"/>
      <c r="B19" s="27"/>
      <c r="C19" s="261"/>
      <c r="D19" s="262"/>
      <c r="E19" s="13"/>
      <c r="F19" s="14"/>
      <c r="G19" s="264"/>
      <c r="H19" s="16"/>
      <c r="I19" s="16"/>
      <c r="J19" s="327"/>
    </row>
    <row r="20" spans="1:10" ht="15.75" x14ac:dyDescent="0.25">
      <c r="A20" s="326"/>
      <c r="B20" s="27"/>
      <c r="C20" s="261"/>
      <c r="D20" s="262"/>
      <c r="E20" s="13"/>
      <c r="F20" s="14"/>
      <c r="G20" s="264"/>
      <c r="H20" s="16"/>
      <c r="I20" s="16"/>
      <c r="J20" s="327"/>
    </row>
    <row r="21" spans="1:10" ht="15.75" customHeight="1" x14ac:dyDescent="0.25">
      <c r="A21" s="326"/>
      <c r="B21" s="27"/>
      <c r="C21" s="261"/>
      <c r="D21" s="266"/>
      <c r="E21" s="13"/>
      <c r="F21" s="14"/>
      <c r="G21" s="264"/>
      <c r="H21" s="16"/>
      <c r="I21" s="16"/>
      <c r="J21" s="327"/>
    </row>
    <row r="22" spans="1:10" ht="15.75" customHeight="1" x14ac:dyDescent="0.25">
      <c r="A22" s="326"/>
      <c r="B22" s="27"/>
      <c r="C22" s="328"/>
      <c r="D22" s="266"/>
      <c r="E22" s="13"/>
      <c r="F22" s="14"/>
      <c r="G22" s="264"/>
      <c r="H22" s="16"/>
      <c r="I22" s="16"/>
      <c r="J22" s="327"/>
    </row>
    <row r="23" spans="1:10" ht="15.75" customHeight="1" x14ac:dyDescent="0.25">
      <c r="A23" s="326"/>
      <c r="B23" s="27"/>
      <c r="C23" s="328"/>
      <c r="D23" s="266"/>
      <c r="E23" s="13"/>
      <c r="F23" s="14"/>
      <c r="G23" s="264"/>
      <c r="H23" s="16"/>
      <c r="I23" s="16"/>
      <c r="J23" s="327"/>
    </row>
    <row r="24" spans="1:10" ht="15.75" customHeight="1" x14ac:dyDescent="0.25">
      <c r="A24" s="26"/>
      <c r="B24" s="27"/>
      <c r="C24" s="18"/>
      <c r="D24" s="266"/>
      <c r="E24" s="13"/>
      <c r="F24" s="14"/>
      <c r="G24" s="264">
        <f>D24*F24</f>
        <v>0</v>
      </c>
      <c r="H24" s="16"/>
      <c r="I24" s="16">
        <f>H24*E24</f>
        <v>0</v>
      </c>
      <c r="J24" s="29"/>
    </row>
    <row r="25" spans="1:10" ht="15.75" customHeight="1" x14ac:dyDescent="0.25">
      <c r="A25" s="30"/>
      <c r="B25" s="31"/>
      <c r="C25" s="32"/>
      <c r="D25" s="30"/>
      <c r="E25" s="33">
        <f t="shared" ref="E25:G25" si="0">SUM(E4:E24)</f>
        <v>0</v>
      </c>
      <c r="F25" s="33">
        <f t="shared" si="0"/>
        <v>0</v>
      </c>
      <c r="G25" s="34">
        <f t="shared" si="0"/>
        <v>0</v>
      </c>
      <c r="H25" s="35"/>
      <c r="I25" s="36">
        <f>SUM(I4:I24)</f>
        <v>0</v>
      </c>
      <c r="J25" s="37"/>
    </row>
    <row r="26" spans="1:10" ht="15.75" customHeight="1" x14ac:dyDescent="0.25">
      <c r="A26" s="38"/>
      <c r="B26" s="39"/>
      <c r="C26" s="40"/>
      <c r="D26" s="38"/>
      <c r="E26" s="38"/>
      <c r="F26" s="38"/>
      <c r="G26" s="38"/>
      <c r="H26" s="38"/>
      <c r="I26" s="1"/>
      <c r="J26" s="1"/>
    </row>
    <row r="27" spans="1:10" ht="15.75" customHeight="1" x14ac:dyDescent="0.25">
      <c r="A27" s="41" t="s">
        <v>12</v>
      </c>
      <c r="B27" s="42" t="s">
        <v>10</v>
      </c>
      <c r="C27" s="43" t="s">
        <v>13</v>
      </c>
      <c r="D27" s="44"/>
      <c r="E27" s="38"/>
      <c r="F27" s="38"/>
      <c r="G27" s="38"/>
      <c r="H27" s="38"/>
      <c r="I27" s="1"/>
      <c r="J27" s="1"/>
    </row>
    <row r="28" spans="1:10" ht="15.75" customHeight="1" x14ac:dyDescent="0.25">
      <c r="A28" s="45"/>
      <c r="B28" s="46"/>
      <c r="C28" s="47"/>
      <c r="D28" s="44"/>
      <c r="E28" s="38"/>
      <c r="F28" s="38"/>
      <c r="G28" s="38"/>
      <c r="H28" s="38"/>
      <c r="I28" s="1"/>
      <c r="J28" s="1"/>
    </row>
    <row r="29" spans="1:10" ht="15.75" customHeight="1" x14ac:dyDescent="0.25">
      <c r="A29" s="26"/>
      <c r="B29" s="48"/>
      <c r="C29" s="49"/>
      <c r="D29" s="44"/>
      <c r="E29" s="38"/>
      <c r="F29" s="38"/>
      <c r="G29" s="38"/>
      <c r="H29" s="38"/>
      <c r="I29" s="1"/>
      <c r="J29" s="1"/>
    </row>
    <row r="30" spans="1:10" ht="15.75" customHeight="1" x14ac:dyDescent="0.3">
      <c r="A30" s="375" t="s">
        <v>14</v>
      </c>
      <c r="B30" s="376"/>
      <c r="C30" s="376"/>
      <c r="D30" s="376"/>
      <c r="E30" s="376"/>
      <c r="F30" s="376"/>
      <c r="G30" s="376"/>
      <c r="H30" s="376"/>
      <c r="I30" s="1"/>
      <c r="J30" s="1"/>
    </row>
    <row r="31" spans="1:10" ht="15.75" customHeight="1" x14ac:dyDescent="0.25">
      <c r="A31" s="50" t="s">
        <v>15</v>
      </c>
      <c r="B31" s="51"/>
      <c r="C31" s="51"/>
      <c r="D31" s="44"/>
      <c r="E31" s="50" t="s">
        <v>16</v>
      </c>
      <c r="F31" s="51"/>
      <c r="G31" s="51"/>
      <c r="H31" s="44"/>
      <c r="I31" s="52"/>
      <c r="J31" s="53"/>
    </row>
    <row r="32" spans="1:10" ht="15.75" customHeight="1" x14ac:dyDescent="0.25">
      <c r="A32" s="54" t="s">
        <v>17</v>
      </c>
      <c r="B32" s="55"/>
      <c r="C32" s="56"/>
      <c r="D32" s="57">
        <v>21388.249999999956</v>
      </c>
      <c r="E32" s="54" t="s">
        <v>17</v>
      </c>
      <c r="F32" s="58"/>
      <c r="G32" s="56"/>
      <c r="H32" s="59">
        <v>0</v>
      </c>
      <c r="I32" s="60"/>
      <c r="J32" s="1"/>
    </row>
    <row r="33" spans="1:10" ht="15.75" customHeight="1" x14ac:dyDescent="0.25">
      <c r="A33" s="61" t="s">
        <v>355</v>
      </c>
      <c r="B33" s="62"/>
      <c r="C33" s="63">
        <v>20000</v>
      </c>
      <c r="D33" s="63">
        <v>20000</v>
      </c>
      <c r="E33" s="64"/>
      <c r="F33" s="65"/>
      <c r="G33" s="66"/>
      <c r="H33" s="67"/>
      <c r="I33" s="309"/>
      <c r="J33" s="309"/>
    </row>
    <row r="34" spans="1:10" ht="15.75" customHeight="1" x14ac:dyDescent="0.25">
      <c r="A34" s="61"/>
      <c r="B34" s="62"/>
      <c r="C34" s="63"/>
      <c r="D34" s="63"/>
      <c r="E34" s="64"/>
      <c r="F34" s="65"/>
      <c r="G34" s="66"/>
      <c r="H34" s="67"/>
      <c r="I34" s="309"/>
      <c r="J34" s="1"/>
    </row>
    <row r="35" spans="1:10" ht="15.75" customHeight="1" x14ac:dyDescent="0.25">
      <c r="A35" s="61"/>
      <c r="B35" s="62"/>
      <c r="C35" s="63"/>
      <c r="D35" s="63"/>
      <c r="E35" s="64"/>
      <c r="F35" s="65"/>
      <c r="G35" s="66"/>
      <c r="H35" s="67">
        <f t="shared" ref="H35:H37" si="1">F35*G35</f>
        <v>0</v>
      </c>
      <c r="I35" s="1"/>
      <c r="J35" s="1"/>
    </row>
    <row r="36" spans="1:10" ht="15.75" customHeight="1" x14ac:dyDescent="0.25">
      <c r="A36" s="61"/>
      <c r="B36" s="62"/>
      <c r="C36" s="63"/>
      <c r="D36" s="63"/>
      <c r="E36" s="64"/>
      <c r="F36" s="65"/>
      <c r="G36" s="66"/>
      <c r="H36" s="67">
        <f t="shared" si="1"/>
        <v>0</v>
      </c>
      <c r="I36" s="1"/>
      <c r="J36" s="1"/>
    </row>
    <row r="37" spans="1:10" ht="15.75" customHeight="1" x14ac:dyDescent="0.25">
      <c r="A37" s="61"/>
      <c r="B37" s="68"/>
      <c r="C37" s="69"/>
      <c r="D37" s="70"/>
      <c r="E37" s="64"/>
      <c r="F37" s="65"/>
      <c r="G37" s="66"/>
      <c r="H37" s="67">
        <f t="shared" si="1"/>
        <v>0</v>
      </c>
      <c r="I37" s="1"/>
      <c r="J37" s="1"/>
    </row>
    <row r="38" spans="1:10" ht="15.75" customHeight="1" x14ac:dyDescent="0.25">
      <c r="A38" s="71"/>
      <c r="B38" s="62"/>
      <c r="C38" s="63"/>
      <c r="D38" s="70"/>
      <c r="E38" s="72" t="s">
        <v>18</v>
      </c>
      <c r="F38" s="73"/>
      <c r="G38" s="74"/>
      <c r="H38" s="75">
        <f>SUM(H33:H34)</f>
        <v>0</v>
      </c>
      <c r="I38" s="1"/>
      <c r="J38" s="1"/>
    </row>
    <row r="39" spans="1:10" ht="15.75" customHeight="1" x14ac:dyDescent="0.25">
      <c r="A39" s="71" t="s">
        <v>19</v>
      </c>
      <c r="B39" s="62"/>
      <c r="C39" s="74"/>
      <c r="D39" s="75"/>
      <c r="E39" s="71" t="s">
        <v>19</v>
      </c>
      <c r="F39" s="73"/>
      <c r="G39" s="74"/>
      <c r="H39" s="75"/>
      <c r="I39" s="1"/>
      <c r="J39" s="1"/>
    </row>
    <row r="40" spans="1:10" ht="15.75" customHeight="1" x14ac:dyDescent="0.25">
      <c r="A40" s="76" t="s">
        <v>108</v>
      </c>
      <c r="B40" s="62"/>
      <c r="C40" s="63"/>
      <c r="D40" s="63">
        <v>0</v>
      </c>
      <c r="E40" s="71"/>
      <c r="F40" s="73"/>
      <c r="G40" s="74"/>
      <c r="H40" s="67">
        <f t="shared" ref="H40:H47" si="2">F40*G40</f>
        <v>0</v>
      </c>
      <c r="I40" s="1"/>
      <c r="J40" s="1"/>
    </row>
    <row r="41" spans="1:10" ht="15.75" customHeight="1" x14ac:dyDescent="0.25">
      <c r="A41" s="64" t="s">
        <v>356</v>
      </c>
      <c r="B41" s="62"/>
      <c r="C41" s="63">
        <v>5000</v>
      </c>
      <c r="D41" s="69">
        <v>5000</v>
      </c>
      <c r="E41" s="71"/>
      <c r="F41" s="73"/>
      <c r="G41" s="74"/>
      <c r="H41" s="67">
        <f t="shared" si="2"/>
        <v>0</v>
      </c>
      <c r="I41" s="1"/>
      <c r="J41" s="1"/>
    </row>
    <row r="42" spans="1:10" ht="15.75" customHeight="1" x14ac:dyDescent="0.25">
      <c r="A42" s="64" t="s">
        <v>357</v>
      </c>
      <c r="B42" s="62"/>
      <c r="C42" s="63">
        <v>5000</v>
      </c>
      <c r="D42" s="69">
        <v>5000</v>
      </c>
      <c r="E42" s="71"/>
      <c r="F42" s="73"/>
      <c r="G42" s="74"/>
      <c r="H42" s="67">
        <f t="shared" si="2"/>
        <v>0</v>
      </c>
      <c r="I42" s="1"/>
      <c r="J42" s="1"/>
    </row>
    <row r="43" spans="1:10" ht="15.75" customHeight="1" x14ac:dyDescent="0.25">
      <c r="A43" s="64" t="s">
        <v>358</v>
      </c>
      <c r="B43" s="62"/>
      <c r="C43" s="63">
        <v>5000</v>
      </c>
      <c r="D43" s="69">
        <v>5000</v>
      </c>
      <c r="E43" s="71"/>
      <c r="F43" s="73"/>
      <c r="G43" s="74"/>
      <c r="H43" s="67">
        <f t="shared" si="2"/>
        <v>0</v>
      </c>
      <c r="I43" s="1"/>
      <c r="J43" s="1"/>
    </row>
    <row r="44" spans="1:10" ht="15.75" customHeight="1" x14ac:dyDescent="0.25">
      <c r="A44" s="64" t="s">
        <v>359</v>
      </c>
      <c r="B44" s="62"/>
      <c r="C44" s="63">
        <v>5000</v>
      </c>
      <c r="D44" s="63">
        <v>5000</v>
      </c>
      <c r="E44" s="71"/>
      <c r="F44" s="73"/>
      <c r="G44" s="74"/>
      <c r="H44" s="67">
        <f t="shared" si="2"/>
        <v>0</v>
      </c>
      <c r="I44" s="309"/>
      <c r="J44" s="1"/>
    </row>
    <row r="45" spans="1:10" ht="15.75" customHeight="1" x14ac:dyDescent="0.25">
      <c r="A45" s="64" t="s">
        <v>360</v>
      </c>
      <c r="B45" s="62"/>
      <c r="C45" s="63">
        <v>3148</v>
      </c>
      <c r="D45" s="63">
        <v>3148</v>
      </c>
      <c r="E45" s="71"/>
      <c r="F45" s="73"/>
      <c r="G45" s="74"/>
      <c r="H45" s="67">
        <f t="shared" si="2"/>
        <v>0</v>
      </c>
      <c r="I45" s="1"/>
      <c r="J45" s="1"/>
    </row>
    <row r="46" spans="1:10" ht="15.75" customHeight="1" x14ac:dyDescent="0.25">
      <c r="A46" s="64"/>
      <c r="B46" s="62"/>
      <c r="C46" s="63"/>
      <c r="D46" s="70"/>
      <c r="E46" s="71"/>
      <c r="F46" s="73"/>
      <c r="G46" s="74"/>
      <c r="H46" s="67">
        <f t="shared" si="2"/>
        <v>0</v>
      </c>
      <c r="I46" s="1"/>
      <c r="J46" s="1"/>
    </row>
    <row r="47" spans="1:10" ht="15.75" customHeight="1" x14ac:dyDescent="0.25">
      <c r="A47" s="78"/>
      <c r="B47" s="62"/>
      <c r="C47" s="63"/>
      <c r="D47" s="79"/>
      <c r="E47" s="80" t="s">
        <v>21</v>
      </c>
      <c r="F47" s="73"/>
      <c r="G47" s="74"/>
      <c r="H47" s="67">
        <f t="shared" si="2"/>
        <v>0</v>
      </c>
      <c r="I47" s="81"/>
      <c r="J47" s="81"/>
    </row>
    <row r="48" spans="1:10" ht="15.75" customHeight="1" x14ac:dyDescent="0.25">
      <c r="A48" s="82" t="s">
        <v>22</v>
      </c>
      <c r="B48" s="83"/>
      <c r="C48" s="84"/>
      <c r="D48" s="85">
        <f>SUM(D33,D34:D37,D32,)-SUM(D40:D47,)</f>
        <v>18240.249999999956</v>
      </c>
      <c r="E48" s="82" t="s">
        <v>22</v>
      </c>
      <c r="F48" s="86"/>
      <c r="G48" s="84"/>
      <c r="H48" s="87">
        <f>SUM(H32+H38-H47)</f>
        <v>0</v>
      </c>
      <c r="I48" s="1"/>
      <c r="J48" s="1"/>
    </row>
    <row r="49" spans="1:10" ht="15.75" customHeight="1" x14ac:dyDescent="0.25">
      <c r="A49" s="88"/>
      <c r="B49" s="89"/>
      <c r="C49" s="40"/>
      <c r="D49" s="38"/>
      <c r="E49" s="38"/>
      <c r="F49" s="38"/>
      <c r="G49" s="1"/>
      <c r="H49" s="1"/>
      <c r="I49" s="1"/>
      <c r="J49" s="1"/>
    </row>
    <row r="50" spans="1:10" ht="15.75" customHeight="1" x14ac:dyDescent="0.25">
      <c r="A50" s="377" t="s">
        <v>23</v>
      </c>
      <c r="B50" s="376"/>
      <c r="C50" s="376"/>
      <c r="D50" s="376"/>
      <c r="E50" s="376"/>
      <c r="F50" s="376"/>
      <c r="G50" s="376"/>
      <c r="H50" s="376"/>
      <c r="I50" s="1"/>
      <c r="J50" s="1"/>
    </row>
    <row r="51" spans="1:10" ht="15.75" customHeight="1" x14ac:dyDescent="0.25">
      <c r="A51" s="90" t="s">
        <v>24</v>
      </c>
      <c r="B51" s="274" t="s">
        <v>24</v>
      </c>
      <c r="C51" s="274"/>
      <c r="D51" s="44"/>
      <c r="E51" s="91" t="s">
        <v>25</v>
      </c>
      <c r="F51" s="51"/>
      <c r="G51" s="51"/>
      <c r="H51" s="44"/>
      <c r="I51" s="341" t="s">
        <v>270</v>
      </c>
    </row>
    <row r="52" spans="1:10" ht="15.75" customHeight="1" x14ac:dyDescent="0.25">
      <c r="A52" s="92" t="s">
        <v>17</v>
      </c>
      <c r="B52" s="275"/>
      <c r="C52" s="285">
        <v>278383.40999999997</v>
      </c>
      <c r="D52" s="51"/>
      <c r="E52" s="94" t="s">
        <v>17</v>
      </c>
      <c r="F52" s="44"/>
      <c r="G52" s="95">
        <v>2428.5</v>
      </c>
      <c r="H52" s="44"/>
      <c r="I52" s="379" t="s">
        <v>271</v>
      </c>
      <c r="J52" s="381"/>
    </row>
    <row r="53" spans="1:10" ht="15.75" customHeight="1" x14ac:dyDescent="0.25">
      <c r="A53" s="96" t="s">
        <v>26</v>
      </c>
      <c r="B53" s="44"/>
      <c r="C53" s="96" t="s">
        <v>27</v>
      </c>
      <c r="D53" s="44"/>
      <c r="E53" s="96" t="s">
        <v>26</v>
      </c>
      <c r="F53" s="44"/>
      <c r="G53" s="96" t="s">
        <v>27</v>
      </c>
      <c r="H53" s="44"/>
      <c r="I53" s="382" t="s">
        <v>272</v>
      </c>
      <c r="J53" s="381"/>
    </row>
    <row r="54" spans="1:10" ht="15.75" customHeight="1" x14ac:dyDescent="0.25">
      <c r="A54" s="97" t="s">
        <v>28</v>
      </c>
      <c r="B54" s="97" t="s">
        <v>10</v>
      </c>
      <c r="C54" s="97" t="s">
        <v>29</v>
      </c>
      <c r="D54" s="97" t="s">
        <v>10</v>
      </c>
      <c r="E54" s="97" t="s">
        <v>28</v>
      </c>
      <c r="F54" s="97" t="s">
        <v>10</v>
      </c>
      <c r="G54" s="330" t="s">
        <v>30</v>
      </c>
      <c r="H54" s="97" t="s">
        <v>10</v>
      </c>
      <c r="I54" s="331" t="s">
        <v>273</v>
      </c>
      <c r="J54" s="331" t="s">
        <v>274</v>
      </c>
    </row>
    <row r="55" spans="1:10" ht="15.75" customHeight="1" x14ac:dyDescent="0.25">
      <c r="A55" s="98"/>
      <c r="B55" s="276"/>
      <c r="C55" s="100"/>
      <c r="D55" s="101"/>
      <c r="E55" s="102"/>
      <c r="F55" s="103"/>
      <c r="G55" s="104"/>
      <c r="H55" s="103"/>
      <c r="I55" s="333"/>
      <c r="J55" s="334"/>
    </row>
    <row r="56" spans="1:10" ht="30.75" customHeight="1" x14ac:dyDescent="0.25">
      <c r="A56" s="277" t="s">
        <v>90</v>
      </c>
      <c r="B56" s="276">
        <v>142.81</v>
      </c>
      <c r="C56" s="106" t="s">
        <v>32</v>
      </c>
      <c r="D56" s="101">
        <v>150</v>
      </c>
      <c r="E56" s="104" t="s">
        <v>361</v>
      </c>
      <c r="F56" s="103">
        <v>542016</v>
      </c>
      <c r="G56" s="104" t="s">
        <v>362</v>
      </c>
      <c r="H56" s="103">
        <v>542000</v>
      </c>
      <c r="I56" s="333"/>
      <c r="J56" s="333"/>
    </row>
    <row r="57" spans="1:10" ht="15.75" customHeight="1" x14ac:dyDescent="0.25">
      <c r="A57" s="105" t="s">
        <v>119</v>
      </c>
      <c r="B57" s="278">
        <v>100000</v>
      </c>
      <c r="C57" s="107" t="s">
        <v>363</v>
      </c>
      <c r="D57" s="101">
        <v>7000</v>
      </c>
      <c r="E57" s="104"/>
      <c r="F57" s="103"/>
      <c r="G57" s="108"/>
      <c r="H57" s="103"/>
      <c r="I57" s="333"/>
      <c r="J57" s="333"/>
    </row>
    <row r="58" spans="1:10" ht="15.75" customHeight="1" x14ac:dyDescent="0.25">
      <c r="A58" s="109" t="s">
        <v>98</v>
      </c>
      <c r="B58" s="278">
        <v>542000</v>
      </c>
      <c r="C58" s="107" t="s">
        <v>166</v>
      </c>
      <c r="D58" s="101">
        <v>20000</v>
      </c>
      <c r="E58" s="102"/>
      <c r="F58" s="110"/>
      <c r="G58" s="108"/>
      <c r="H58" s="103"/>
      <c r="I58" s="333"/>
      <c r="J58" s="333"/>
    </row>
    <row r="59" spans="1:10" ht="15.75" customHeight="1" x14ac:dyDescent="0.25">
      <c r="A59" s="111"/>
      <c r="B59" s="278"/>
      <c r="C59" s="107" t="s">
        <v>364</v>
      </c>
      <c r="D59" s="101">
        <v>31411</v>
      </c>
      <c r="E59" s="112"/>
      <c r="F59" s="113"/>
      <c r="G59" s="114"/>
      <c r="H59" s="114"/>
      <c r="I59" s="333"/>
      <c r="J59" s="333"/>
    </row>
    <row r="60" spans="1:10" ht="15.75" customHeight="1" x14ac:dyDescent="0.25">
      <c r="A60" s="111"/>
      <c r="B60" s="278"/>
      <c r="C60" s="107" t="s">
        <v>365</v>
      </c>
      <c r="D60" s="101">
        <v>400000</v>
      </c>
      <c r="E60" s="112"/>
      <c r="F60" s="113"/>
      <c r="G60" s="115"/>
      <c r="H60" s="114"/>
      <c r="I60" s="333"/>
      <c r="J60" s="333"/>
    </row>
    <row r="61" spans="1:10" ht="15.75" customHeight="1" x14ac:dyDescent="0.25">
      <c r="A61" s="116"/>
      <c r="B61" s="278"/>
      <c r="C61" s="107" t="s">
        <v>366</v>
      </c>
      <c r="D61" s="101">
        <v>0</v>
      </c>
      <c r="E61" s="112"/>
      <c r="F61" s="112"/>
      <c r="G61" s="117"/>
      <c r="H61" s="114"/>
      <c r="I61" s="333"/>
      <c r="J61" s="333"/>
    </row>
    <row r="62" spans="1:10" ht="15.75" customHeight="1" x14ac:dyDescent="0.25">
      <c r="A62" s="118"/>
      <c r="B62" s="279"/>
      <c r="C62" s="107"/>
      <c r="D62" s="101"/>
      <c r="E62" s="118"/>
      <c r="F62" s="112"/>
      <c r="G62" s="104"/>
      <c r="H62" s="114"/>
      <c r="I62" s="333"/>
      <c r="J62" s="333"/>
    </row>
    <row r="63" spans="1:10" ht="15.75" customHeight="1" x14ac:dyDescent="0.25">
      <c r="A63" s="118"/>
      <c r="B63" s="280"/>
      <c r="C63" s="106"/>
      <c r="D63" s="120"/>
      <c r="E63" s="118"/>
      <c r="F63" s="112"/>
      <c r="G63" s="104"/>
      <c r="H63" s="114"/>
      <c r="I63" s="333"/>
      <c r="J63" s="333"/>
    </row>
    <row r="64" spans="1:10" ht="15.75" customHeight="1" x14ac:dyDescent="0.25">
      <c r="A64" s="118"/>
      <c r="B64" s="280"/>
      <c r="C64" s="106"/>
      <c r="D64" s="120"/>
      <c r="E64" s="118"/>
      <c r="F64" s="112"/>
      <c r="G64" s="104"/>
      <c r="H64" s="114"/>
      <c r="I64" s="333"/>
      <c r="J64" s="333"/>
    </row>
    <row r="65" spans="1:10" ht="15.75" customHeight="1" x14ac:dyDescent="0.25">
      <c r="A65" s="118"/>
      <c r="B65" s="280"/>
      <c r="C65" s="106"/>
      <c r="D65" s="120"/>
      <c r="E65" s="118"/>
      <c r="F65" s="112"/>
      <c r="G65" s="104"/>
      <c r="H65" s="114"/>
      <c r="I65" s="333"/>
      <c r="J65" s="333"/>
    </row>
    <row r="66" spans="1:10" ht="15.75" customHeight="1" x14ac:dyDescent="0.25">
      <c r="A66" s="118"/>
      <c r="B66" s="280"/>
      <c r="C66" s="106"/>
      <c r="D66" s="338"/>
      <c r="E66" s="118"/>
      <c r="F66" s="112"/>
      <c r="G66" s="104"/>
      <c r="H66" s="114"/>
      <c r="I66" s="333"/>
      <c r="J66" s="333"/>
    </row>
    <row r="67" spans="1:10" ht="15.75" customHeight="1" x14ac:dyDescent="0.25">
      <c r="A67" s="118"/>
      <c r="B67" s="119"/>
      <c r="C67" s="104"/>
      <c r="D67" s="120"/>
      <c r="E67" s="118"/>
      <c r="F67" s="112"/>
      <c r="G67" s="104"/>
      <c r="H67" s="114"/>
      <c r="I67" s="333"/>
      <c r="J67" s="333"/>
    </row>
    <row r="68" spans="1:10" ht="15.75" customHeight="1" x14ac:dyDescent="0.25">
      <c r="A68" s="121"/>
      <c r="B68" s="122">
        <f>SUM(B55:B67)+C52</f>
        <v>920526.22</v>
      </c>
      <c r="C68" s="123"/>
      <c r="D68" s="122">
        <f>SUM(D55:D67)</f>
        <v>458561</v>
      </c>
      <c r="E68" s="124"/>
      <c r="F68" s="124">
        <f>SUM(F55:F67)</f>
        <v>542016</v>
      </c>
      <c r="G68" s="124"/>
      <c r="H68" s="124">
        <f>SUM(H55:H67)</f>
        <v>542000</v>
      </c>
      <c r="I68" s="339"/>
      <c r="J68" s="340"/>
    </row>
    <row r="69" spans="1:10" ht="15.75" customHeight="1" x14ac:dyDescent="0.25">
      <c r="A69" s="125" t="s">
        <v>22</v>
      </c>
      <c r="B69" s="126">
        <f>B68-D68</f>
        <v>461965.22</v>
      </c>
      <c r="C69" s="51"/>
      <c r="D69" s="44"/>
      <c r="E69" s="94" t="s">
        <v>22</v>
      </c>
      <c r="F69" s="95">
        <v>2444.5</v>
      </c>
      <c r="G69" s="51"/>
      <c r="H69" s="44"/>
      <c r="I69" s="341" t="s">
        <v>289</v>
      </c>
      <c r="J69" s="339"/>
    </row>
    <row r="70" spans="1:10" ht="15.75" customHeight="1" x14ac:dyDescent="0.25">
      <c r="A70" s="127" t="s">
        <v>37</v>
      </c>
      <c r="B70" s="44"/>
      <c r="C70" s="128">
        <v>464409.72</v>
      </c>
      <c r="D70" s="51"/>
      <c r="E70" s="51"/>
      <c r="F70" s="51"/>
      <c r="G70" s="51"/>
      <c r="H70" s="44"/>
      <c r="I70" s="249"/>
      <c r="J70" s="249"/>
    </row>
    <row r="71" spans="1:10" ht="15.75" customHeight="1" x14ac:dyDescent="0.25">
      <c r="A71" s="38"/>
      <c r="B71" s="89"/>
      <c r="C71" s="40"/>
      <c r="D71" s="38"/>
      <c r="E71" s="38"/>
      <c r="F71" s="38"/>
      <c r="G71" s="38"/>
      <c r="H71" s="88"/>
      <c r="I71" s="129"/>
      <c r="J71" s="129"/>
    </row>
    <row r="72" spans="1:10" ht="15.75" customHeight="1" x14ac:dyDescent="0.25">
      <c r="A72" s="130"/>
      <c r="B72" s="131" t="s">
        <v>38</v>
      </c>
      <c r="D72" s="1"/>
      <c r="E72" s="38"/>
      <c r="F72" s="38"/>
      <c r="G72" s="38"/>
      <c r="H72" s="132"/>
      <c r="I72" s="1"/>
      <c r="J72" s="1"/>
    </row>
    <row r="73" spans="1:10" ht="15.75" customHeight="1" x14ac:dyDescent="0.25">
      <c r="A73" s="342" t="s">
        <v>2</v>
      </c>
      <c r="B73" s="343" t="s">
        <v>39</v>
      </c>
      <c r="C73" s="344" t="s">
        <v>4</v>
      </c>
      <c r="D73" s="345" t="s">
        <v>5</v>
      </c>
      <c r="E73" s="346" t="s">
        <v>6</v>
      </c>
      <c r="F73" s="347" t="s">
        <v>7</v>
      </c>
      <c r="G73" s="259" t="s">
        <v>8</v>
      </c>
      <c r="H73" s="348" t="s">
        <v>9</v>
      </c>
      <c r="I73" s="349" t="s">
        <v>10</v>
      </c>
      <c r="J73" s="350" t="s">
        <v>40</v>
      </c>
    </row>
    <row r="74" spans="1:10" ht="15.75" customHeight="1" x14ac:dyDescent="0.25">
      <c r="A74" s="236" t="s">
        <v>291</v>
      </c>
      <c r="B74" s="260" t="s">
        <v>172</v>
      </c>
      <c r="C74" s="261" t="s">
        <v>203</v>
      </c>
      <c r="D74" s="262">
        <v>0.2</v>
      </c>
      <c r="E74" s="48">
        <v>80</v>
      </c>
      <c r="F74" s="48">
        <v>18</v>
      </c>
      <c r="G74" s="351">
        <f t="shared" ref="G74:G75" si="3">F74*E74*D74</f>
        <v>288</v>
      </c>
      <c r="H74" s="352">
        <v>68</v>
      </c>
      <c r="I74" s="352">
        <f t="shared" ref="I74:I76" si="4">H74*F74*E74</f>
        <v>97920</v>
      </c>
      <c r="J74" s="386" t="s">
        <v>367</v>
      </c>
    </row>
    <row r="75" spans="1:10" ht="15.75" customHeight="1" x14ac:dyDescent="0.25">
      <c r="A75" s="236"/>
      <c r="B75" s="260"/>
      <c r="C75" s="261" t="s">
        <v>129</v>
      </c>
      <c r="D75" s="262">
        <v>0.2</v>
      </c>
      <c r="E75" s="48">
        <v>80</v>
      </c>
      <c r="F75" s="48">
        <v>18</v>
      </c>
      <c r="G75" s="351">
        <f t="shared" si="3"/>
        <v>288</v>
      </c>
      <c r="H75" s="352">
        <v>94.1</v>
      </c>
      <c r="I75" s="352">
        <f t="shared" si="4"/>
        <v>135504</v>
      </c>
      <c r="J75" s="387"/>
    </row>
    <row r="76" spans="1:10" ht="15.75" customHeight="1" x14ac:dyDescent="0.25">
      <c r="A76" s="236"/>
      <c r="B76" s="260"/>
      <c r="C76" s="261"/>
      <c r="D76" s="262"/>
      <c r="E76" s="48"/>
      <c r="F76" s="48"/>
      <c r="G76" s="351"/>
      <c r="H76" s="352"/>
      <c r="I76" s="352">
        <f t="shared" si="4"/>
        <v>0</v>
      </c>
      <c r="J76" s="353"/>
    </row>
    <row r="77" spans="1:10" ht="15.75" customHeight="1" x14ac:dyDescent="0.25">
      <c r="A77" s="236"/>
      <c r="B77" s="260"/>
      <c r="C77" s="261"/>
      <c r="D77" s="262"/>
      <c r="E77" s="48"/>
      <c r="F77" s="48"/>
      <c r="G77" s="351"/>
      <c r="H77" s="352"/>
      <c r="I77" s="352"/>
      <c r="J77" s="354"/>
    </row>
    <row r="78" spans="1:10" ht="15.75" customHeight="1" x14ac:dyDescent="0.25">
      <c r="A78" s="236"/>
      <c r="B78" s="236"/>
      <c r="C78" s="261"/>
      <c r="D78" s="262"/>
      <c r="E78" s="48"/>
      <c r="F78" s="48"/>
      <c r="G78" s="351"/>
      <c r="H78" s="352"/>
      <c r="I78" s="352"/>
      <c r="J78" s="365"/>
    </row>
    <row r="79" spans="1:10" ht="15.75" customHeight="1" x14ac:dyDescent="0.25">
      <c r="A79" s="236"/>
      <c r="B79" s="260"/>
      <c r="C79" s="261"/>
      <c r="D79" s="262"/>
      <c r="E79" s="48"/>
      <c r="F79" s="48"/>
      <c r="G79" s="351"/>
      <c r="H79" s="352"/>
      <c r="I79" s="352"/>
      <c r="J79" s="386"/>
    </row>
    <row r="80" spans="1:10" ht="15.75" customHeight="1" x14ac:dyDescent="0.25">
      <c r="A80" s="236"/>
      <c r="B80" s="236"/>
      <c r="C80" s="261"/>
      <c r="D80" s="262"/>
      <c r="E80" s="48"/>
      <c r="F80" s="48"/>
      <c r="G80" s="351"/>
      <c r="H80" s="352"/>
      <c r="I80" s="352"/>
      <c r="J80" s="387"/>
    </row>
    <row r="81" spans="1:10" ht="15.75" customHeight="1" x14ac:dyDescent="0.25">
      <c r="A81" s="355"/>
      <c r="B81" s="356"/>
      <c r="C81" s="357"/>
      <c r="D81" s="358"/>
      <c r="E81" s="359"/>
      <c r="F81" s="360"/>
      <c r="G81" s="361"/>
      <c r="H81" s="362"/>
      <c r="I81" s="363"/>
      <c r="J81" s="155"/>
    </row>
    <row r="82" spans="1:10" ht="15.75" customHeight="1" x14ac:dyDescent="0.25">
      <c r="A82" s="156"/>
      <c r="B82" s="157"/>
      <c r="C82" s="165"/>
      <c r="D82" s="147"/>
      <c r="E82" s="166"/>
      <c r="F82" s="149"/>
      <c r="G82" s="162"/>
      <c r="H82" s="150"/>
      <c r="I82" s="164"/>
      <c r="J82" s="155"/>
    </row>
    <row r="83" spans="1:10" ht="15.75" customHeight="1" x14ac:dyDescent="0.25">
      <c r="A83" s="156"/>
      <c r="B83" s="157"/>
      <c r="C83" s="165"/>
      <c r="D83" s="147"/>
      <c r="E83" s="166"/>
      <c r="F83" s="149"/>
      <c r="G83" s="162"/>
      <c r="H83" s="150"/>
      <c r="I83" s="164"/>
      <c r="J83" s="155"/>
    </row>
    <row r="84" spans="1:10" ht="15.75" customHeight="1" x14ac:dyDescent="0.25">
      <c r="A84" s="156"/>
      <c r="B84" s="157"/>
      <c r="C84" s="165"/>
      <c r="D84" s="147"/>
      <c r="E84" s="166"/>
      <c r="F84" s="149"/>
      <c r="G84" s="162"/>
      <c r="H84" s="150"/>
      <c r="I84" s="164"/>
      <c r="J84" s="155"/>
    </row>
    <row r="85" spans="1:10" ht="15.75" customHeight="1" x14ac:dyDescent="0.25">
      <c r="A85" s="156"/>
      <c r="B85" s="157"/>
      <c r="C85" s="165"/>
      <c r="D85" s="147"/>
      <c r="E85" s="166"/>
      <c r="F85" s="149"/>
      <c r="G85" s="162"/>
      <c r="H85" s="150"/>
      <c r="I85" s="164"/>
      <c r="J85" s="155"/>
    </row>
    <row r="86" spans="1:10" ht="15.75" customHeight="1" x14ac:dyDescent="0.25">
      <c r="A86" s="167"/>
      <c r="B86" s="168"/>
      <c r="C86" s="169"/>
      <c r="D86" s="170"/>
      <c r="E86" s="171"/>
      <c r="F86" s="172"/>
      <c r="G86" s="173"/>
      <c r="H86" s="174"/>
      <c r="I86" s="175"/>
      <c r="J86" s="155"/>
    </row>
    <row r="87" spans="1:10" ht="15.75" customHeight="1" x14ac:dyDescent="0.25">
      <c r="A87" s="176"/>
      <c r="B87" s="157"/>
      <c r="C87" s="177"/>
      <c r="D87" s="178"/>
      <c r="E87" s="160"/>
      <c r="F87" s="161"/>
      <c r="G87" s="179">
        <f t="shared" ref="G87:G88" si="5">D87*F87</f>
        <v>0</v>
      </c>
      <c r="H87" s="180"/>
      <c r="I87" s="180">
        <f t="shared" ref="I87:I88" si="6">F87*H87*E87</f>
        <v>0</v>
      </c>
      <c r="J87" s="181"/>
    </row>
    <row r="88" spans="1:10" ht="15.75" customHeight="1" x14ac:dyDescent="0.25">
      <c r="A88" s="176"/>
      <c r="B88" s="157"/>
      <c r="C88" s="182"/>
      <c r="D88" s="183"/>
      <c r="E88" s="184"/>
      <c r="F88" s="183"/>
      <c r="G88" s="179">
        <f t="shared" si="5"/>
        <v>0</v>
      </c>
      <c r="H88" s="185"/>
      <c r="I88" s="180">
        <f t="shared" si="6"/>
        <v>0</v>
      </c>
      <c r="J88" s="181"/>
    </row>
    <row r="89" spans="1:10" ht="15.75" customHeight="1" x14ac:dyDescent="0.25">
      <c r="A89" s="186" t="s">
        <v>37</v>
      </c>
      <c r="B89" s="187"/>
      <c r="C89" s="188"/>
      <c r="D89" s="189"/>
      <c r="E89" s="190">
        <f>SUM(E74:E88)</f>
        <v>160</v>
      </c>
      <c r="F89" s="191">
        <f>SUM(F74:F86)</f>
        <v>36</v>
      </c>
      <c r="G89" s="192">
        <f>SUM(G74:G81)</f>
        <v>576</v>
      </c>
      <c r="H89" s="193"/>
      <c r="I89" s="193">
        <f>SUM(I74:I82)</f>
        <v>233424</v>
      </c>
      <c r="J89" s="194"/>
    </row>
    <row r="90" spans="1:10" ht="15.75" customHeight="1" x14ac:dyDescent="0.25">
      <c r="A90" s="1"/>
      <c r="B90" s="89"/>
      <c r="C90" s="40"/>
      <c r="D90" s="38"/>
      <c r="E90" s="38"/>
      <c r="F90" s="38"/>
      <c r="G90" s="38"/>
      <c r="H90" s="1"/>
      <c r="I90" s="1"/>
      <c r="J90" s="1"/>
    </row>
    <row r="91" spans="1:10" ht="15.75" customHeight="1" x14ac:dyDescent="0.25">
      <c r="A91" s="195" t="s">
        <v>41</v>
      </c>
      <c r="B91" s="196" t="s">
        <v>42</v>
      </c>
      <c r="C91" s="197" t="s">
        <v>43</v>
      </c>
      <c r="D91" s="38"/>
      <c r="E91" s="38"/>
      <c r="F91" s="38"/>
      <c r="G91" s="38"/>
      <c r="H91" s="1"/>
      <c r="I91" s="1"/>
      <c r="J91" s="1"/>
    </row>
    <row r="92" spans="1:10" ht="15.75" customHeight="1" x14ac:dyDescent="0.25">
      <c r="A92" s="198"/>
      <c r="B92" s="199">
        <f>E25+G89</f>
        <v>576</v>
      </c>
      <c r="C92" s="200">
        <f>I25+H89+I89</f>
        <v>233424</v>
      </c>
      <c r="D92" s="38"/>
      <c r="E92" s="38"/>
      <c r="F92" s="38"/>
      <c r="G92" s="38"/>
      <c r="H92" s="1"/>
      <c r="I92" s="1"/>
      <c r="J92" s="1"/>
    </row>
    <row r="93" spans="1:10" ht="15.75" customHeight="1" x14ac:dyDescent="0.25">
      <c r="A93" s="378" t="s">
        <v>44</v>
      </c>
      <c r="B93" s="376"/>
      <c r="C93" s="376"/>
      <c r="D93" s="376"/>
      <c r="E93" s="376"/>
      <c r="F93" s="376"/>
      <c r="G93" s="376"/>
      <c r="H93" s="376"/>
      <c r="I93" s="286"/>
      <c r="J93" s="53"/>
    </row>
    <row r="94" spans="1:10" ht="15.75" customHeight="1" x14ac:dyDescent="0.25">
      <c r="A94" s="202" t="s">
        <v>2</v>
      </c>
      <c r="B94" s="203" t="s">
        <v>45</v>
      </c>
      <c r="C94" s="204" t="s">
        <v>130</v>
      </c>
      <c r="D94" s="205" t="s">
        <v>4</v>
      </c>
      <c r="E94" s="206" t="s">
        <v>47</v>
      </c>
      <c r="F94" s="207" t="s">
        <v>48</v>
      </c>
      <c r="G94" s="206" t="s">
        <v>10</v>
      </c>
      <c r="H94" s="287" t="s">
        <v>49</v>
      </c>
      <c r="I94" s="286"/>
      <c r="J94" s="53"/>
    </row>
    <row r="95" spans="1:10" ht="15.75" customHeight="1" x14ac:dyDescent="0.25">
      <c r="A95" s="208" t="s">
        <v>294</v>
      </c>
      <c r="B95" s="55" t="s">
        <v>177</v>
      </c>
      <c r="C95" s="58" t="s">
        <v>354</v>
      </c>
      <c r="D95" s="219"/>
      <c r="E95" s="313" t="s">
        <v>72</v>
      </c>
      <c r="F95" s="57">
        <v>14520</v>
      </c>
      <c r="G95" s="211">
        <v>14520</v>
      </c>
      <c r="H95" s="301"/>
      <c r="I95" s="286"/>
      <c r="J95" s="53"/>
    </row>
    <row r="96" spans="1:10" ht="15.75" customHeight="1" x14ac:dyDescent="0.25">
      <c r="A96" s="208" t="s">
        <v>75</v>
      </c>
      <c r="B96" s="55" t="s">
        <v>177</v>
      </c>
      <c r="C96" s="58" t="s">
        <v>80</v>
      </c>
      <c r="D96" s="219"/>
      <c r="E96" s="210" t="s">
        <v>368</v>
      </c>
      <c r="F96" s="57">
        <v>40000</v>
      </c>
      <c r="G96" s="211">
        <v>40000</v>
      </c>
      <c r="H96" s="301"/>
      <c r="I96" s="311"/>
      <c r="J96" s="53"/>
    </row>
    <row r="97" spans="1:10" ht="15.75" customHeight="1" x14ac:dyDescent="0.25">
      <c r="A97" s="208"/>
      <c r="B97" s="55"/>
      <c r="C97" s="58"/>
      <c r="D97" s="219"/>
      <c r="E97" s="210"/>
      <c r="F97" s="216"/>
      <c r="G97" s="211"/>
      <c r="H97" s="301"/>
      <c r="I97" s="1"/>
      <c r="J97" s="1"/>
    </row>
    <row r="98" spans="1:10" ht="15.75" customHeight="1" x14ac:dyDescent="0.25">
      <c r="A98" s="208"/>
      <c r="B98" s="55"/>
      <c r="C98" s="58"/>
      <c r="D98" s="215"/>
      <c r="E98" s="269"/>
      <c r="F98" s="216"/>
      <c r="G98" s="211"/>
      <c r="H98" s="212"/>
      <c r="I98" s="1"/>
      <c r="J98" s="1"/>
    </row>
    <row r="99" spans="1:10" ht="15.75" customHeight="1" x14ac:dyDescent="0.25">
      <c r="A99" s="208"/>
      <c r="B99" s="55"/>
      <c r="C99" s="58"/>
      <c r="D99" s="219"/>
      <c r="E99" s="269"/>
      <c r="F99" s="216"/>
      <c r="G99" s="211"/>
      <c r="H99" s="212"/>
      <c r="I99" s="1"/>
      <c r="J99" s="1"/>
    </row>
    <row r="100" spans="1:10" ht="15.75" customHeight="1" x14ac:dyDescent="0.25">
      <c r="A100" s="208"/>
      <c r="B100" s="55"/>
      <c r="C100" s="58"/>
      <c r="D100" s="219"/>
      <c r="E100" s="220"/>
      <c r="F100" s="216"/>
      <c r="G100" s="211">
        <f t="shared" ref="G100:G102" si="7">F100</f>
        <v>0</v>
      </c>
      <c r="H100" s="212"/>
      <c r="I100" s="1"/>
      <c r="J100" s="1"/>
    </row>
    <row r="101" spans="1:10" ht="15.75" customHeight="1" x14ac:dyDescent="0.25">
      <c r="A101" s="213"/>
      <c r="B101" s="55"/>
      <c r="C101" s="214"/>
      <c r="D101" s="219"/>
      <c r="E101" s="220"/>
      <c r="F101" s="216"/>
      <c r="G101" s="211">
        <f t="shared" si="7"/>
        <v>0</v>
      </c>
      <c r="H101" s="212"/>
      <c r="I101" s="1"/>
      <c r="J101" s="1"/>
    </row>
    <row r="102" spans="1:10" ht="15.75" customHeight="1" x14ac:dyDescent="0.25">
      <c r="A102" s="213"/>
      <c r="B102" s="55"/>
      <c r="C102" s="214"/>
      <c r="D102" s="219"/>
      <c r="E102" s="220"/>
      <c r="F102" s="216"/>
      <c r="G102" s="211">
        <f t="shared" si="7"/>
        <v>0</v>
      </c>
      <c r="H102" s="221"/>
      <c r="I102" s="1"/>
      <c r="J102" s="1"/>
    </row>
    <row r="103" spans="1:10" ht="15.75" customHeight="1" x14ac:dyDescent="0.25">
      <c r="A103" s="222" t="s">
        <v>37</v>
      </c>
      <c r="B103" s="223"/>
      <c r="C103" s="224"/>
      <c r="D103" s="225"/>
      <c r="E103" s="226">
        <f>SUM(E95:E102)</f>
        <v>0</v>
      </c>
      <c r="F103" s="227"/>
      <c r="G103" s="228">
        <f>SUM(G95:G102)</f>
        <v>54520</v>
      </c>
      <c r="H103" s="228"/>
      <c r="I103" s="1"/>
      <c r="J103" s="1"/>
    </row>
    <row r="104" spans="1:10" ht="15.75" customHeight="1" x14ac:dyDescent="0.25">
      <c r="A104" s="38"/>
      <c r="B104" s="89"/>
      <c r="C104" s="40"/>
      <c r="D104" s="38"/>
      <c r="E104" s="38"/>
      <c r="F104" s="38"/>
      <c r="G104" s="38"/>
      <c r="H104" s="38"/>
      <c r="I104" s="1"/>
      <c r="J104" s="1"/>
    </row>
    <row r="105" spans="1:10" ht="15.75" customHeight="1" x14ac:dyDescent="0.25">
      <c r="A105" s="369" t="s">
        <v>50</v>
      </c>
      <c r="B105" s="370"/>
      <c r="C105" s="370"/>
      <c r="D105" s="370"/>
      <c r="E105" s="370"/>
      <c r="F105" s="370"/>
      <c r="G105" s="370"/>
      <c r="H105" s="370"/>
      <c r="I105" s="229"/>
      <c r="J105" s="1"/>
    </row>
    <row r="106" spans="1:10" ht="15.75" customHeight="1" x14ac:dyDescent="0.25">
      <c r="A106" s="202" t="s">
        <v>2</v>
      </c>
      <c r="B106" s="230" t="s">
        <v>45</v>
      </c>
      <c r="C106" s="231" t="s">
        <v>4</v>
      </c>
      <c r="D106" s="232" t="s">
        <v>51</v>
      </c>
      <c r="E106" s="232" t="s">
        <v>48</v>
      </c>
      <c r="F106" s="232" t="s">
        <v>10</v>
      </c>
      <c r="G106" s="206" t="s">
        <v>52</v>
      </c>
      <c r="H106" s="206"/>
      <c r="I106" s="1"/>
      <c r="J106" s="1"/>
    </row>
    <row r="107" spans="1:10" ht="15.75" customHeight="1" x14ac:dyDescent="0.25">
      <c r="A107" s="270"/>
      <c r="B107" s="271"/>
      <c r="C107" s="235"/>
      <c r="D107" s="236"/>
      <c r="E107" s="272"/>
      <c r="F107" s="273"/>
      <c r="G107" s="239"/>
      <c r="H107" s="240"/>
      <c r="I107" s="1"/>
      <c r="J107" s="1"/>
    </row>
    <row r="108" spans="1:10" ht="15.75" customHeight="1" x14ac:dyDescent="0.25">
      <c r="A108" s="241" t="s">
        <v>80</v>
      </c>
      <c r="B108" s="242" t="s">
        <v>369</v>
      </c>
      <c r="C108" s="243" t="s">
        <v>370</v>
      </c>
      <c r="D108" s="244">
        <v>20000</v>
      </c>
      <c r="E108" s="245">
        <v>14</v>
      </c>
      <c r="F108" s="246">
        <f t="shared" ref="F108:F109" si="8">D108*E108</f>
        <v>280000</v>
      </c>
      <c r="G108" s="247">
        <v>5</v>
      </c>
      <c r="H108" s="248"/>
      <c r="I108" s="1"/>
      <c r="J108" s="1"/>
    </row>
    <row r="109" spans="1:10" ht="15.75" customHeight="1" x14ac:dyDescent="0.25">
      <c r="A109" s="249"/>
      <c r="B109" s="250"/>
      <c r="C109" s="249"/>
      <c r="D109" s="249"/>
      <c r="E109" s="249"/>
      <c r="F109" s="246">
        <f t="shared" si="8"/>
        <v>0</v>
      </c>
      <c r="G109" s="249"/>
      <c r="H109" s="249"/>
      <c r="I109" s="1"/>
      <c r="J109" s="1"/>
    </row>
    <row r="110" spans="1:10" ht="15.75" customHeight="1" x14ac:dyDescent="0.25">
      <c r="A110" s="241"/>
      <c r="B110" s="250"/>
      <c r="C110" s="249"/>
      <c r="D110" s="251"/>
      <c r="E110" s="249"/>
      <c r="F110" s="252"/>
      <c r="G110" s="249"/>
      <c r="H110" s="249"/>
      <c r="I110" s="1"/>
      <c r="J110" s="1"/>
    </row>
    <row r="111" spans="1:10" ht="15.75" customHeight="1" x14ac:dyDescent="0.25">
      <c r="A111" s="1"/>
      <c r="B111" s="253"/>
      <c r="C111" s="1"/>
      <c r="D111" s="1"/>
      <c r="E111" s="1"/>
      <c r="F111" s="254"/>
      <c r="G111" s="1"/>
      <c r="H111" s="1"/>
      <c r="I111" s="255"/>
      <c r="J111" s="256"/>
    </row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79:J80"/>
    <mergeCell ref="A93:H93"/>
    <mergeCell ref="A105:H105"/>
    <mergeCell ref="A1:J1"/>
    <mergeCell ref="A2:J2"/>
    <mergeCell ref="A30:H30"/>
    <mergeCell ref="A50:H50"/>
    <mergeCell ref="I52:J52"/>
    <mergeCell ref="I53:J53"/>
    <mergeCell ref="J74:J7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J1000"/>
  <sheetViews>
    <sheetView topLeftCell="A76" workbookViewId="0">
      <selection activeCell="F83" sqref="F83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21.25" customWidth="1"/>
    <col min="6" max="6" width="12.875" customWidth="1"/>
    <col min="7" max="7" width="13" customWidth="1"/>
    <col min="8" max="8" width="16.6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42.75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371</v>
      </c>
      <c r="B4" s="260" t="s">
        <v>68</v>
      </c>
      <c r="C4" s="261" t="s">
        <v>54</v>
      </c>
      <c r="D4" s="262">
        <v>0.2</v>
      </c>
      <c r="E4" s="263">
        <v>5</v>
      </c>
      <c r="F4" s="14">
        <v>18</v>
      </c>
      <c r="G4" s="264">
        <f t="shared" ref="G4:G9" si="0">E4*D4</f>
        <v>1</v>
      </c>
      <c r="H4" s="16">
        <v>75</v>
      </c>
      <c r="I4" s="16">
        <f t="shared" ref="I4:I9" si="1">H4*E4</f>
        <v>375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5</v>
      </c>
      <c r="F5" s="14">
        <v>18</v>
      </c>
      <c r="G5" s="264">
        <f t="shared" si="0"/>
        <v>1</v>
      </c>
      <c r="H5" s="16">
        <v>85</v>
      </c>
      <c r="I5" s="16">
        <f t="shared" si="1"/>
        <v>425</v>
      </c>
      <c r="J5" s="17"/>
    </row>
    <row r="6" spans="1:10" ht="15.75" x14ac:dyDescent="0.25">
      <c r="A6" s="10"/>
      <c r="B6" s="260"/>
      <c r="C6" s="261" t="s">
        <v>56</v>
      </c>
      <c r="D6" s="262">
        <v>0.11</v>
      </c>
      <c r="E6" s="263">
        <v>4</v>
      </c>
      <c r="F6" s="14">
        <v>10</v>
      </c>
      <c r="G6" s="264">
        <f t="shared" si="0"/>
        <v>0.44</v>
      </c>
      <c r="H6" s="16">
        <v>35</v>
      </c>
      <c r="I6" s="16">
        <f t="shared" si="1"/>
        <v>140</v>
      </c>
      <c r="J6" s="17"/>
    </row>
    <row r="7" spans="1:10" ht="15.75" x14ac:dyDescent="0.25">
      <c r="A7" s="10"/>
      <c r="B7" s="27"/>
      <c r="C7" s="261" t="s">
        <v>57</v>
      </c>
      <c r="D7" s="262">
        <v>0.11</v>
      </c>
      <c r="E7" s="263">
        <v>4</v>
      </c>
      <c r="F7" s="14">
        <v>10</v>
      </c>
      <c r="G7" s="264">
        <f t="shared" si="0"/>
        <v>0.44</v>
      </c>
      <c r="H7" s="16">
        <v>35</v>
      </c>
      <c r="I7" s="16">
        <f t="shared" si="1"/>
        <v>140</v>
      </c>
      <c r="J7" s="17"/>
    </row>
    <row r="8" spans="1:10" ht="15.75" x14ac:dyDescent="0.25">
      <c r="A8" s="10"/>
      <c r="B8" s="27"/>
      <c r="C8" s="261" t="s">
        <v>58</v>
      </c>
      <c r="D8" s="262">
        <v>0.11</v>
      </c>
      <c r="E8" s="263">
        <v>4</v>
      </c>
      <c r="F8" s="14">
        <v>10</v>
      </c>
      <c r="G8" s="264">
        <f t="shared" si="0"/>
        <v>0.44</v>
      </c>
      <c r="H8" s="16">
        <v>35</v>
      </c>
      <c r="I8" s="16">
        <f t="shared" si="1"/>
        <v>140</v>
      </c>
      <c r="J8" s="17"/>
    </row>
    <row r="9" spans="1:10" ht="15.75" x14ac:dyDescent="0.25">
      <c r="A9" s="10"/>
      <c r="B9" s="27"/>
      <c r="C9" s="261" t="s">
        <v>59</v>
      </c>
      <c r="D9" s="262">
        <v>0.11</v>
      </c>
      <c r="E9" s="13">
        <v>4</v>
      </c>
      <c r="F9" s="14">
        <v>10</v>
      </c>
      <c r="G9" s="264">
        <f t="shared" si="0"/>
        <v>0.44</v>
      </c>
      <c r="H9" s="16">
        <v>35</v>
      </c>
      <c r="I9" s="16">
        <f t="shared" si="1"/>
        <v>140</v>
      </c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30"/>
      <c r="B13" s="31"/>
      <c r="C13" s="32"/>
      <c r="D13" s="30"/>
      <c r="E13" s="33">
        <f t="shared" ref="E13:G13" si="2">SUM(E4:E12)</f>
        <v>26</v>
      </c>
      <c r="F13" s="33">
        <f t="shared" si="2"/>
        <v>76</v>
      </c>
      <c r="G13" s="34">
        <f t="shared" si="2"/>
        <v>3.76</v>
      </c>
      <c r="H13" s="35"/>
      <c r="I13" s="36">
        <f>SUM(I4:I12)</f>
        <v>1360</v>
      </c>
      <c r="J13" s="37"/>
    </row>
    <row r="14" spans="1:10" ht="15.75" x14ac:dyDescent="0.25">
      <c r="A14" s="38"/>
      <c r="B14" s="39"/>
      <c r="C14" s="40"/>
      <c r="D14" s="38"/>
      <c r="E14" s="38"/>
      <c r="F14" s="38"/>
      <c r="G14" s="38"/>
      <c r="H14" s="38"/>
      <c r="I14" s="1"/>
      <c r="J14" s="1"/>
    </row>
    <row r="15" spans="1:10" ht="15.75" x14ac:dyDescent="0.25">
      <c r="A15" s="41" t="s">
        <v>12</v>
      </c>
      <c r="B15" s="42" t="s">
        <v>10</v>
      </c>
      <c r="C15" s="43" t="s">
        <v>13</v>
      </c>
      <c r="D15" s="44"/>
      <c r="E15" s="38"/>
      <c r="F15" s="38"/>
      <c r="G15" s="38"/>
      <c r="H15" s="38"/>
      <c r="I15" s="1"/>
      <c r="J15" s="1"/>
    </row>
    <row r="16" spans="1:10" ht="15.75" x14ac:dyDescent="0.25">
      <c r="A16" s="45"/>
      <c r="B16" s="46"/>
      <c r="C16" s="47"/>
      <c r="D16" s="44"/>
      <c r="E16" s="38"/>
      <c r="F16" s="38"/>
      <c r="G16" s="38"/>
      <c r="H16" s="38"/>
      <c r="I16" s="1"/>
      <c r="J16" s="1"/>
    </row>
    <row r="17" spans="1:10" ht="15.75" x14ac:dyDescent="0.25">
      <c r="A17" s="26"/>
      <c r="B17" s="48"/>
      <c r="C17" s="49"/>
      <c r="D17" s="44"/>
      <c r="E17" s="38"/>
      <c r="F17" s="38"/>
      <c r="G17" s="38"/>
      <c r="H17" s="38"/>
      <c r="I17" s="1"/>
      <c r="J17" s="1"/>
    </row>
    <row r="18" spans="1:10" ht="22.5" x14ac:dyDescent="0.3">
      <c r="A18" s="375" t="s">
        <v>14</v>
      </c>
      <c r="B18" s="376"/>
      <c r="C18" s="376"/>
      <c r="D18" s="376"/>
      <c r="E18" s="376"/>
      <c r="F18" s="376"/>
      <c r="G18" s="376"/>
      <c r="H18" s="376"/>
      <c r="I18" s="1"/>
      <c r="J18" s="1"/>
    </row>
    <row r="19" spans="1:10" ht="15.75" x14ac:dyDescent="0.25">
      <c r="A19" s="50" t="s">
        <v>15</v>
      </c>
      <c r="B19" s="51"/>
      <c r="C19" s="51"/>
      <c r="D19" s="44"/>
      <c r="E19" s="50" t="s">
        <v>16</v>
      </c>
      <c r="F19" s="51"/>
      <c r="G19" s="51"/>
      <c r="H19" s="44"/>
      <c r="I19" s="52"/>
      <c r="J19" s="53"/>
    </row>
    <row r="20" spans="1:10" ht="15.75" x14ac:dyDescent="0.25">
      <c r="A20" s="54" t="s">
        <v>17</v>
      </c>
      <c r="B20" s="55"/>
      <c r="C20" s="56"/>
      <c r="D20" s="57">
        <v>18240.249999999956</v>
      </c>
      <c r="E20" s="54" t="s">
        <v>17</v>
      </c>
      <c r="F20" s="58"/>
      <c r="G20" s="56"/>
      <c r="H20" s="59">
        <v>0</v>
      </c>
      <c r="I20" s="60"/>
      <c r="J20" s="1"/>
    </row>
    <row r="21" spans="1:10" ht="15.75" customHeight="1" x14ac:dyDescent="0.25">
      <c r="A21" s="61" t="s">
        <v>316</v>
      </c>
      <c r="B21" s="62"/>
      <c r="C21" s="63">
        <v>400000</v>
      </c>
      <c r="D21" s="63">
        <v>400000</v>
      </c>
      <c r="E21" s="64"/>
      <c r="F21" s="65"/>
      <c r="G21" s="66"/>
      <c r="H21" s="67"/>
      <c r="I21" s="309"/>
      <c r="J21" s="309"/>
    </row>
    <row r="22" spans="1:10" ht="15.75" customHeight="1" x14ac:dyDescent="0.25">
      <c r="A22" s="61" t="s">
        <v>226</v>
      </c>
      <c r="B22" s="62"/>
      <c r="C22" s="63">
        <v>1360</v>
      </c>
      <c r="D22" s="63">
        <v>1360</v>
      </c>
      <c r="E22" s="64"/>
      <c r="F22" s="65"/>
      <c r="G22" s="66"/>
      <c r="H22" s="67"/>
      <c r="I22" s="309"/>
      <c r="J22" s="1"/>
    </row>
    <row r="23" spans="1:10" ht="15.75" customHeight="1" x14ac:dyDescent="0.25">
      <c r="A23" s="61" t="s">
        <v>372</v>
      </c>
      <c r="B23" s="62"/>
      <c r="C23" s="63">
        <v>48000</v>
      </c>
      <c r="D23" s="63">
        <v>48000</v>
      </c>
      <c r="E23" s="64"/>
      <c r="F23" s="65"/>
      <c r="G23" s="66"/>
      <c r="H23" s="67">
        <f t="shared" ref="H23:H25" si="3">F23*G23</f>
        <v>0</v>
      </c>
      <c r="I23" s="1"/>
      <c r="J23" s="1"/>
    </row>
    <row r="24" spans="1:10" ht="15.75" customHeight="1" x14ac:dyDescent="0.25">
      <c r="A24" s="61"/>
      <c r="B24" s="62"/>
      <c r="C24" s="63"/>
      <c r="D24" s="63"/>
      <c r="E24" s="64"/>
      <c r="F24" s="65"/>
      <c r="G24" s="66"/>
      <c r="H24" s="67">
        <f t="shared" si="3"/>
        <v>0</v>
      </c>
      <c r="I24" s="1"/>
      <c r="J24" s="1"/>
    </row>
    <row r="25" spans="1:10" ht="15.75" customHeight="1" x14ac:dyDescent="0.25">
      <c r="A25" s="61"/>
      <c r="B25" s="68"/>
      <c r="C25" s="69"/>
      <c r="D25" s="70"/>
      <c r="E25" s="64"/>
      <c r="F25" s="65"/>
      <c r="G25" s="66"/>
      <c r="H25" s="67">
        <f t="shared" si="3"/>
        <v>0</v>
      </c>
      <c r="I25" s="1"/>
      <c r="J25" s="1"/>
    </row>
    <row r="26" spans="1:10" ht="15.75" customHeight="1" x14ac:dyDescent="0.25">
      <c r="A26" s="71"/>
      <c r="B26" s="62"/>
      <c r="C26" s="63"/>
      <c r="D26" s="70"/>
      <c r="E26" s="72" t="s">
        <v>18</v>
      </c>
      <c r="F26" s="73"/>
      <c r="G26" s="74"/>
      <c r="H26" s="75">
        <f>SUM(H21:H22)</f>
        <v>0</v>
      </c>
      <c r="I26" s="1"/>
      <c r="J26" s="1"/>
    </row>
    <row r="27" spans="1:10" ht="15.75" customHeight="1" x14ac:dyDescent="0.25">
      <c r="A27" s="71" t="s">
        <v>19</v>
      </c>
      <c r="B27" s="62"/>
      <c r="C27" s="74"/>
      <c r="D27" s="75"/>
      <c r="E27" s="71" t="s">
        <v>19</v>
      </c>
      <c r="F27" s="73"/>
      <c r="G27" s="74"/>
      <c r="H27" s="75"/>
      <c r="I27" s="1"/>
      <c r="J27" s="1"/>
    </row>
    <row r="28" spans="1:10" ht="15.75" customHeight="1" x14ac:dyDescent="0.25">
      <c r="A28" s="76" t="s">
        <v>108</v>
      </c>
      <c r="B28" s="62"/>
      <c r="C28" s="63">
        <v>4000</v>
      </c>
      <c r="D28" s="63">
        <v>4000</v>
      </c>
      <c r="E28" s="71"/>
      <c r="F28" s="73"/>
      <c r="G28" s="74"/>
      <c r="H28" s="67">
        <f t="shared" ref="H28:H35" si="4">F28*G28</f>
        <v>0</v>
      </c>
      <c r="I28" s="1"/>
      <c r="J28" s="1"/>
    </row>
    <row r="29" spans="1:10" ht="15.75" customHeight="1" x14ac:dyDescent="0.25">
      <c r="A29" s="64" t="s">
        <v>373</v>
      </c>
      <c r="B29" s="62"/>
      <c r="C29" s="63">
        <v>32000</v>
      </c>
      <c r="D29" s="69">
        <v>32000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64" t="s">
        <v>374</v>
      </c>
      <c r="B30" s="62"/>
      <c r="C30" s="63">
        <v>3360</v>
      </c>
      <c r="D30" s="69">
        <v>3360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375</v>
      </c>
      <c r="B31" s="62"/>
      <c r="C31" s="63">
        <v>44640</v>
      </c>
      <c r="D31" s="69">
        <v>44640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3"/>
      <c r="E32" s="71"/>
      <c r="F32" s="73"/>
      <c r="G32" s="74"/>
      <c r="H32" s="67">
        <f t="shared" si="4"/>
        <v>0</v>
      </c>
      <c r="I32" s="309"/>
      <c r="J32" s="1"/>
    </row>
    <row r="33" spans="1:10" ht="15.75" customHeight="1" x14ac:dyDescent="0.25">
      <c r="A33" s="64"/>
      <c r="B33" s="62"/>
      <c r="C33" s="63"/>
      <c r="D33" s="63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1"/>
      <c r="J34" s="1"/>
    </row>
    <row r="35" spans="1:10" ht="15.75" customHeight="1" x14ac:dyDescent="0.25">
      <c r="A35" s="78"/>
      <c r="B35" s="62"/>
      <c r="C35" s="63"/>
      <c r="D35" s="79"/>
      <c r="E35" s="80" t="s">
        <v>21</v>
      </c>
      <c r="F35" s="73"/>
      <c r="G35" s="74"/>
      <c r="H35" s="67">
        <f t="shared" si="4"/>
        <v>0</v>
      </c>
      <c r="I35" s="81"/>
      <c r="J35" s="81"/>
    </row>
    <row r="36" spans="1:10" ht="15.75" customHeight="1" x14ac:dyDescent="0.25">
      <c r="A36" s="82" t="s">
        <v>22</v>
      </c>
      <c r="B36" s="83"/>
      <c r="C36" s="84"/>
      <c r="D36" s="85">
        <f>SUM(D21,D22:D25,D20,)-SUM(D28:D35,)</f>
        <v>383600.24999999994</v>
      </c>
      <c r="E36" s="82" t="s">
        <v>22</v>
      </c>
      <c r="F36" s="86"/>
      <c r="G36" s="84"/>
      <c r="H36" s="87">
        <f>SUM(H20+H26-H35)</f>
        <v>0</v>
      </c>
      <c r="I36" s="1"/>
      <c r="J36" s="1"/>
    </row>
    <row r="37" spans="1:10" ht="15.75" customHeight="1" x14ac:dyDescent="0.25">
      <c r="A37" s="88"/>
      <c r="B37" s="89"/>
      <c r="C37" s="40"/>
      <c r="D37" s="38"/>
      <c r="E37" s="38"/>
      <c r="F37" s="38"/>
      <c r="G37" s="1"/>
      <c r="H37" s="1"/>
      <c r="I37" s="1"/>
      <c r="J37" s="1"/>
    </row>
    <row r="38" spans="1:10" ht="15.75" customHeight="1" x14ac:dyDescent="0.25">
      <c r="A38" s="377" t="s">
        <v>23</v>
      </c>
      <c r="B38" s="376"/>
      <c r="C38" s="376"/>
      <c r="D38" s="376"/>
      <c r="E38" s="376"/>
      <c r="F38" s="376"/>
      <c r="G38" s="376"/>
      <c r="H38" s="376"/>
      <c r="I38" s="1"/>
      <c r="J38" s="1"/>
    </row>
    <row r="39" spans="1:10" ht="15.75" customHeight="1" x14ac:dyDescent="0.25">
      <c r="A39" s="90" t="s">
        <v>24</v>
      </c>
      <c r="B39" s="274" t="s">
        <v>24</v>
      </c>
      <c r="C39" s="274"/>
      <c r="D39" s="44"/>
      <c r="E39" s="91" t="s">
        <v>25</v>
      </c>
      <c r="F39" s="51"/>
      <c r="G39" s="51"/>
      <c r="H39" s="44"/>
      <c r="I39" s="341" t="s">
        <v>270</v>
      </c>
    </row>
    <row r="40" spans="1:10" ht="15.75" customHeight="1" x14ac:dyDescent="0.25">
      <c r="A40" s="92" t="s">
        <v>17</v>
      </c>
      <c r="B40" s="275"/>
      <c r="C40" s="285">
        <v>461965.22</v>
      </c>
      <c r="D40" s="51"/>
      <c r="E40" s="94" t="s">
        <v>17</v>
      </c>
      <c r="F40" s="44"/>
      <c r="G40" s="95">
        <v>2444.5</v>
      </c>
      <c r="H40" s="44"/>
      <c r="I40" s="379" t="s">
        <v>271</v>
      </c>
      <c r="J40" s="381"/>
    </row>
    <row r="41" spans="1:10" ht="15.75" customHeight="1" x14ac:dyDescent="0.25">
      <c r="A41" s="96" t="s">
        <v>26</v>
      </c>
      <c r="B41" s="44"/>
      <c r="C41" s="96" t="s">
        <v>27</v>
      </c>
      <c r="D41" s="44"/>
      <c r="E41" s="96" t="s">
        <v>26</v>
      </c>
      <c r="F41" s="44"/>
      <c r="G41" s="96" t="s">
        <v>27</v>
      </c>
      <c r="H41" s="44"/>
      <c r="I41" s="382" t="s">
        <v>272</v>
      </c>
      <c r="J41" s="381"/>
    </row>
    <row r="42" spans="1:10" ht="15.75" customHeight="1" x14ac:dyDescent="0.25">
      <c r="A42" s="97" t="s">
        <v>28</v>
      </c>
      <c r="B42" s="97" t="s">
        <v>10</v>
      </c>
      <c r="C42" s="97" t="s">
        <v>29</v>
      </c>
      <c r="D42" s="97" t="s">
        <v>10</v>
      </c>
      <c r="E42" s="97" t="s">
        <v>28</v>
      </c>
      <c r="F42" s="97" t="s">
        <v>10</v>
      </c>
      <c r="G42" s="330" t="s">
        <v>30</v>
      </c>
      <c r="H42" s="97" t="s">
        <v>10</v>
      </c>
      <c r="I42" s="331" t="s">
        <v>273</v>
      </c>
      <c r="J42" s="331" t="s">
        <v>274</v>
      </c>
    </row>
    <row r="43" spans="1:10" ht="15.75" customHeight="1" x14ac:dyDescent="0.25">
      <c r="A43" s="98" t="s">
        <v>90</v>
      </c>
      <c r="B43" s="276">
        <v>160.44999999999999</v>
      </c>
      <c r="C43" s="100" t="s">
        <v>376</v>
      </c>
      <c r="D43" s="101">
        <v>62000</v>
      </c>
      <c r="E43" s="102"/>
      <c r="F43" s="103"/>
      <c r="G43" s="104"/>
      <c r="H43" s="103"/>
      <c r="I43" s="333"/>
      <c r="J43" s="334"/>
    </row>
    <row r="44" spans="1:10" ht="15.75" customHeight="1" x14ac:dyDescent="0.25">
      <c r="A44" s="277" t="s">
        <v>119</v>
      </c>
      <c r="B44" s="276">
        <v>400000</v>
      </c>
      <c r="C44" s="106" t="s">
        <v>377</v>
      </c>
      <c r="D44" s="101">
        <v>0</v>
      </c>
      <c r="E44" s="104"/>
      <c r="F44" s="103"/>
      <c r="G44" s="104"/>
      <c r="H44" s="103"/>
      <c r="I44" s="333"/>
      <c r="J44" s="333"/>
    </row>
    <row r="45" spans="1:10" ht="15.75" customHeight="1" x14ac:dyDescent="0.25">
      <c r="A45" s="105"/>
      <c r="B45" s="278"/>
      <c r="C45" s="107"/>
      <c r="D45" s="101"/>
      <c r="E45" s="104"/>
      <c r="F45" s="103"/>
      <c r="G45" s="108"/>
      <c r="H45" s="103"/>
      <c r="I45" s="333"/>
      <c r="J45" s="333"/>
    </row>
    <row r="46" spans="1:10" ht="15.75" customHeight="1" x14ac:dyDescent="0.25">
      <c r="A46" s="109"/>
      <c r="B46" s="278"/>
      <c r="C46" s="107"/>
      <c r="D46" s="101"/>
      <c r="E46" s="102"/>
      <c r="F46" s="110"/>
      <c r="G46" s="108"/>
      <c r="H46" s="103"/>
      <c r="I46" s="333"/>
      <c r="J46" s="333"/>
    </row>
    <row r="47" spans="1:10" ht="15.75" customHeight="1" x14ac:dyDescent="0.25">
      <c r="A47" s="111"/>
      <c r="B47" s="278"/>
      <c r="C47" s="107"/>
      <c r="D47" s="101"/>
      <c r="E47" s="112"/>
      <c r="F47" s="113"/>
      <c r="G47" s="114"/>
      <c r="H47" s="114"/>
      <c r="I47" s="333"/>
      <c r="J47" s="333"/>
    </row>
    <row r="48" spans="1:10" ht="15.75" customHeight="1" x14ac:dyDescent="0.25">
      <c r="A48" s="111"/>
      <c r="B48" s="278"/>
      <c r="C48" s="107"/>
      <c r="D48" s="101"/>
      <c r="E48" s="112"/>
      <c r="F48" s="113"/>
      <c r="G48" s="115"/>
      <c r="H48" s="114"/>
      <c r="I48" s="333"/>
      <c r="J48" s="333"/>
    </row>
    <row r="49" spans="1:10" ht="15.75" customHeight="1" x14ac:dyDescent="0.25">
      <c r="A49" s="116"/>
      <c r="B49" s="278"/>
      <c r="C49" s="107"/>
      <c r="D49" s="101"/>
      <c r="E49" s="112"/>
      <c r="F49" s="112"/>
      <c r="G49" s="117"/>
      <c r="H49" s="114"/>
      <c r="I49" s="333"/>
      <c r="J49" s="333"/>
    </row>
    <row r="50" spans="1:10" ht="15.75" customHeight="1" x14ac:dyDescent="0.25">
      <c r="A50" s="118"/>
      <c r="B50" s="279"/>
      <c r="C50" s="107"/>
      <c r="D50" s="101"/>
      <c r="E50" s="118"/>
      <c r="F50" s="112"/>
      <c r="G50" s="104"/>
      <c r="H50" s="114"/>
      <c r="I50" s="333"/>
      <c r="J50" s="333"/>
    </row>
    <row r="51" spans="1:10" ht="15.75" customHeight="1" x14ac:dyDescent="0.25">
      <c r="A51" s="118"/>
      <c r="B51" s="280"/>
      <c r="C51" s="106"/>
      <c r="D51" s="120"/>
      <c r="E51" s="118"/>
      <c r="F51" s="112"/>
      <c r="G51" s="104"/>
      <c r="H51" s="114"/>
      <c r="I51" s="333"/>
      <c r="J51" s="333"/>
    </row>
    <row r="52" spans="1:10" ht="15.75" customHeight="1" x14ac:dyDescent="0.25">
      <c r="A52" s="118"/>
      <c r="B52" s="280"/>
      <c r="C52" s="106"/>
      <c r="D52" s="120"/>
      <c r="E52" s="118"/>
      <c r="F52" s="112"/>
      <c r="G52" s="104"/>
      <c r="H52" s="114"/>
      <c r="I52" s="333"/>
      <c r="J52" s="333"/>
    </row>
    <row r="53" spans="1:10" ht="15.75" customHeight="1" x14ac:dyDescent="0.25">
      <c r="A53" s="118"/>
      <c r="B53" s="280"/>
      <c r="C53" s="106"/>
      <c r="D53" s="120"/>
      <c r="E53" s="118"/>
      <c r="F53" s="112"/>
      <c r="G53" s="104"/>
      <c r="H53" s="114"/>
      <c r="I53" s="333"/>
      <c r="J53" s="333"/>
    </row>
    <row r="54" spans="1:10" ht="15.75" customHeight="1" x14ac:dyDescent="0.25">
      <c r="A54" s="118"/>
      <c r="B54" s="280"/>
      <c r="C54" s="106"/>
      <c r="D54" s="338"/>
      <c r="E54" s="118"/>
      <c r="F54" s="112"/>
      <c r="G54" s="104"/>
      <c r="H54" s="114"/>
      <c r="I54" s="333"/>
      <c r="J54" s="333"/>
    </row>
    <row r="55" spans="1:10" ht="15.75" customHeight="1" x14ac:dyDescent="0.25">
      <c r="A55" s="118"/>
      <c r="B55" s="119"/>
      <c r="C55" s="104"/>
      <c r="D55" s="120"/>
      <c r="E55" s="118"/>
      <c r="F55" s="112"/>
      <c r="G55" s="104"/>
      <c r="H55" s="114"/>
      <c r="I55" s="333"/>
      <c r="J55" s="333"/>
    </row>
    <row r="56" spans="1:10" ht="15.75" customHeight="1" x14ac:dyDescent="0.25">
      <c r="A56" s="121"/>
      <c r="B56" s="122">
        <f>SUM(B43:B55)+C40</f>
        <v>862125.66999999993</v>
      </c>
      <c r="C56" s="123"/>
      <c r="D56" s="122">
        <f>SUM(D43:D55)</f>
        <v>62000</v>
      </c>
      <c r="E56" s="124"/>
      <c r="F56" s="124">
        <f>SUM(F43:F55)</f>
        <v>0</v>
      </c>
      <c r="G56" s="124"/>
      <c r="H56" s="124">
        <f>SUM(H43:H55)</f>
        <v>0</v>
      </c>
      <c r="I56" s="339"/>
      <c r="J56" s="340"/>
    </row>
    <row r="57" spans="1:10" ht="15.75" customHeight="1" x14ac:dyDescent="0.25">
      <c r="A57" s="125" t="s">
        <v>22</v>
      </c>
      <c r="B57" s="126">
        <f>B56-D56</f>
        <v>800125.66999999993</v>
      </c>
      <c r="C57" s="51"/>
      <c r="D57" s="44"/>
      <c r="E57" s="94" t="s">
        <v>22</v>
      </c>
      <c r="F57" s="95">
        <v>2444.5</v>
      </c>
      <c r="G57" s="51"/>
      <c r="H57" s="44"/>
      <c r="I57" s="341" t="s">
        <v>289</v>
      </c>
      <c r="J57" s="339"/>
    </row>
    <row r="58" spans="1:10" ht="15.75" customHeight="1" x14ac:dyDescent="0.25">
      <c r="A58" s="127" t="s">
        <v>37</v>
      </c>
      <c r="B58" s="44"/>
      <c r="C58" s="128">
        <v>802570.17</v>
      </c>
      <c r="D58" s="51"/>
      <c r="E58" s="51"/>
      <c r="F58" s="51"/>
      <c r="G58" s="51"/>
      <c r="H58" s="44"/>
      <c r="I58" s="249"/>
      <c r="J58" s="249"/>
    </row>
    <row r="59" spans="1:10" ht="15.75" customHeight="1" x14ac:dyDescent="0.25">
      <c r="A59" s="38"/>
      <c r="B59" s="89"/>
      <c r="C59" s="40"/>
      <c r="D59" s="38"/>
      <c r="E59" s="38"/>
      <c r="F59" s="38"/>
      <c r="G59" s="38"/>
      <c r="H59" s="88"/>
      <c r="I59" s="129"/>
      <c r="J59" s="129"/>
    </row>
    <row r="60" spans="1:10" ht="15.75" customHeight="1" x14ac:dyDescent="0.25">
      <c r="A60" s="130"/>
      <c r="B60" s="131" t="s">
        <v>38</v>
      </c>
      <c r="D60" s="1"/>
      <c r="E60" s="38"/>
      <c r="F60" s="38"/>
      <c r="G60" s="38"/>
      <c r="H60" s="132"/>
      <c r="I60" s="1"/>
      <c r="J60" s="1"/>
    </row>
    <row r="61" spans="1:10" ht="15.75" customHeight="1" x14ac:dyDescent="0.25">
      <c r="A61" s="342" t="s">
        <v>2</v>
      </c>
      <c r="B61" s="343" t="s">
        <v>39</v>
      </c>
      <c r="C61" s="344" t="s">
        <v>4</v>
      </c>
      <c r="D61" s="345" t="s">
        <v>5</v>
      </c>
      <c r="E61" s="346" t="s">
        <v>6</v>
      </c>
      <c r="F61" s="347" t="s">
        <v>7</v>
      </c>
      <c r="G61" s="259" t="s">
        <v>8</v>
      </c>
      <c r="H61" s="348" t="s">
        <v>9</v>
      </c>
      <c r="I61" s="349" t="s">
        <v>10</v>
      </c>
      <c r="J61" s="350" t="s">
        <v>40</v>
      </c>
    </row>
    <row r="62" spans="1:10" ht="15.75" customHeight="1" x14ac:dyDescent="0.25">
      <c r="A62" s="236" t="s">
        <v>352</v>
      </c>
      <c r="B62" s="260" t="s">
        <v>172</v>
      </c>
      <c r="C62" s="261" t="s">
        <v>340</v>
      </c>
      <c r="D62" s="262">
        <v>1</v>
      </c>
      <c r="E62" s="48">
        <v>50</v>
      </c>
      <c r="F62" s="48">
        <v>10</v>
      </c>
      <c r="G62" s="351">
        <f t="shared" ref="G62:G65" si="5">F62*E62</f>
        <v>500</v>
      </c>
      <c r="H62" s="352">
        <v>190</v>
      </c>
      <c r="I62" s="352">
        <f t="shared" ref="I62:I65" si="6">H62*G62</f>
        <v>95000</v>
      </c>
      <c r="J62" s="386"/>
    </row>
    <row r="63" spans="1:10" ht="15.75" customHeight="1" x14ac:dyDescent="0.25">
      <c r="A63" s="236"/>
      <c r="B63" s="260"/>
      <c r="C63" s="261" t="s">
        <v>378</v>
      </c>
      <c r="D63" s="262">
        <v>1</v>
      </c>
      <c r="E63" s="48">
        <v>100</v>
      </c>
      <c r="F63" s="48">
        <v>10</v>
      </c>
      <c r="G63" s="351">
        <f t="shared" si="5"/>
        <v>1000</v>
      </c>
      <c r="H63" s="352">
        <v>190</v>
      </c>
      <c r="I63" s="352">
        <f t="shared" si="6"/>
        <v>190000</v>
      </c>
      <c r="J63" s="387"/>
    </row>
    <row r="64" spans="1:10" ht="15.75" customHeight="1" x14ac:dyDescent="0.25">
      <c r="A64" s="236"/>
      <c r="B64" s="260"/>
      <c r="C64" s="261" t="s">
        <v>341</v>
      </c>
      <c r="D64" s="262">
        <v>1</v>
      </c>
      <c r="E64" s="48">
        <v>50</v>
      </c>
      <c r="F64" s="48">
        <v>10</v>
      </c>
      <c r="G64" s="351">
        <f t="shared" si="5"/>
        <v>500</v>
      </c>
      <c r="H64" s="352">
        <v>190</v>
      </c>
      <c r="I64" s="352">
        <f t="shared" si="6"/>
        <v>95000</v>
      </c>
      <c r="J64" s="353"/>
    </row>
    <row r="65" spans="1:10" ht="15.75" customHeight="1" x14ac:dyDescent="0.25">
      <c r="A65" s="236"/>
      <c r="B65" s="260"/>
      <c r="C65" s="261" t="s">
        <v>222</v>
      </c>
      <c r="D65" s="262">
        <v>1</v>
      </c>
      <c r="E65" s="48">
        <v>50</v>
      </c>
      <c r="F65" s="48">
        <v>10</v>
      </c>
      <c r="G65" s="351">
        <f t="shared" si="5"/>
        <v>500</v>
      </c>
      <c r="H65" s="352">
        <v>190</v>
      </c>
      <c r="I65" s="352">
        <f t="shared" si="6"/>
        <v>95000</v>
      </c>
      <c r="J65" s="354"/>
    </row>
    <row r="66" spans="1:10" ht="15.75" customHeight="1" x14ac:dyDescent="0.25">
      <c r="A66" s="236" t="s">
        <v>379</v>
      </c>
      <c r="B66" s="236" t="s">
        <v>172</v>
      </c>
      <c r="C66" s="261" t="s">
        <v>380</v>
      </c>
      <c r="D66" s="262">
        <v>0.5</v>
      </c>
      <c r="E66" s="48">
        <v>20000</v>
      </c>
      <c r="F66" s="48">
        <v>12</v>
      </c>
      <c r="G66" s="351">
        <f>E66*D66</f>
        <v>10000</v>
      </c>
      <c r="H66" s="352">
        <v>85</v>
      </c>
      <c r="I66" s="352">
        <f>H66*E66</f>
        <v>1700000</v>
      </c>
      <c r="J66" s="365"/>
    </row>
    <row r="67" spans="1:10" ht="15.75" customHeight="1" x14ac:dyDescent="0.25">
      <c r="A67" s="236"/>
      <c r="B67" s="260"/>
      <c r="C67" s="261"/>
      <c r="D67" s="262"/>
      <c r="E67" s="48"/>
      <c r="F67" s="48"/>
      <c r="G67" s="351"/>
      <c r="H67" s="352"/>
      <c r="I67" s="352"/>
      <c r="J67" s="386"/>
    </row>
    <row r="68" spans="1:10" ht="15.75" customHeight="1" x14ac:dyDescent="0.25">
      <c r="A68" s="236"/>
      <c r="B68" s="236"/>
      <c r="C68" s="261"/>
      <c r="D68" s="262"/>
      <c r="E68" s="48"/>
      <c r="F68" s="48"/>
      <c r="G68" s="351"/>
      <c r="H68" s="352"/>
      <c r="I68" s="352"/>
      <c r="J68" s="387"/>
    </row>
    <row r="69" spans="1:10" ht="15.75" customHeight="1" x14ac:dyDescent="0.25">
      <c r="A69" s="355"/>
      <c r="B69" s="356"/>
      <c r="C69" s="357"/>
      <c r="D69" s="358"/>
      <c r="E69" s="359"/>
      <c r="F69" s="360"/>
      <c r="G69" s="361"/>
      <c r="H69" s="362"/>
      <c r="I69" s="363"/>
      <c r="J69" s="155"/>
    </row>
    <row r="70" spans="1:10" ht="15.75" customHeight="1" x14ac:dyDescent="0.25">
      <c r="A70" s="156"/>
      <c r="B70" s="157"/>
      <c r="C70" s="165"/>
      <c r="D70" s="147"/>
      <c r="E70" s="166"/>
      <c r="F70" s="149"/>
      <c r="G70" s="162"/>
      <c r="H70" s="150"/>
      <c r="I70" s="164"/>
      <c r="J70" s="155"/>
    </row>
    <row r="71" spans="1:10" ht="15.75" customHeight="1" x14ac:dyDescent="0.25">
      <c r="A71" s="156"/>
      <c r="B71" s="157"/>
      <c r="C71" s="165"/>
      <c r="D71" s="147"/>
      <c r="E71" s="166"/>
      <c r="F71" s="149"/>
      <c r="G71" s="162"/>
      <c r="H71" s="150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67"/>
      <c r="B74" s="168"/>
      <c r="C74" s="169"/>
      <c r="D74" s="170"/>
      <c r="E74" s="171"/>
      <c r="F74" s="172"/>
      <c r="G74" s="173"/>
      <c r="H74" s="174"/>
      <c r="I74" s="175"/>
      <c r="J74" s="155"/>
    </row>
    <row r="75" spans="1:10" ht="15.75" customHeight="1" x14ac:dyDescent="0.25">
      <c r="A75" s="176"/>
      <c r="B75" s="157"/>
      <c r="C75" s="177"/>
      <c r="D75" s="178"/>
      <c r="E75" s="160"/>
      <c r="F75" s="161"/>
      <c r="G75" s="179">
        <f t="shared" ref="G75:G76" si="7">D75*F75</f>
        <v>0</v>
      </c>
      <c r="H75" s="180"/>
      <c r="I75" s="180">
        <f t="shared" ref="I75:I76" si="8">F75*H75*E75</f>
        <v>0</v>
      </c>
      <c r="J75" s="181"/>
    </row>
    <row r="76" spans="1:10" ht="15.75" customHeight="1" x14ac:dyDescent="0.25">
      <c r="A76" s="176"/>
      <c r="B76" s="157"/>
      <c r="C76" s="182"/>
      <c r="D76" s="183"/>
      <c r="E76" s="184"/>
      <c r="F76" s="183"/>
      <c r="G76" s="179">
        <f t="shared" si="7"/>
        <v>0</v>
      </c>
      <c r="H76" s="185"/>
      <c r="I76" s="180">
        <f t="shared" si="8"/>
        <v>0</v>
      </c>
      <c r="J76" s="181"/>
    </row>
    <row r="77" spans="1:10" ht="15.75" customHeight="1" x14ac:dyDescent="0.25">
      <c r="A77" s="186" t="s">
        <v>37</v>
      </c>
      <c r="B77" s="187"/>
      <c r="C77" s="188"/>
      <c r="D77" s="189"/>
      <c r="E77" s="190">
        <f>SUM(E62:E76)</f>
        <v>20250</v>
      </c>
      <c r="F77" s="191">
        <f>SUM(F62:F74)</f>
        <v>52</v>
      </c>
      <c r="G77" s="192">
        <f>SUM(G62:G69)</f>
        <v>12500</v>
      </c>
      <c r="H77" s="193"/>
      <c r="I77" s="193">
        <f>SUM(I62:I70)</f>
        <v>2175000</v>
      </c>
      <c r="J77" s="194"/>
    </row>
    <row r="78" spans="1:10" ht="15.75" customHeight="1" x14ac:dyDescent="0.25">
      <c r="A78" s="1"/>
      <c r="B78" s="89"/>
      <c r="C78" s="40"/>
      <c r="D78" s="38"/>
      <c r="E78" s="38"/>
      <c r="F78" s="38"/>
      <c r="G78" s="38"/>
      <c r="H78" s="1"/>
      <c r="I78" s="1"/>
      <c r="J78" s="1"/>
    </row>
    <row r="79" spans="1:10" ht="15.75" customHeight="1" x14ac:dyDescent="0.25">
      <c r="A79" s="195" t="s">
        <v>41</v>
      </c>
      <c r="B79" s="196" t="s">
        <v>42</v>
      </c>
      <c r="C79" s="197" t="s">
        <v>43</v>
      </c>
      <c r="D79" s="38"/>
      <c r="E79" s="38"/>
      <c r="F79" s="38"/>
      <c r="G79" s="38"/>
      <c r="H79" s="1"/>
      <c r="I79" s="1"/>
      <c r="J79" s="1"/>
    </row>
    <row r="80" spans="1:10" ht="15.75" customHeight="1" x14ac:dyDescent="0.25">
      <c r="A80" s="198"/>
      <c r="B80" s="199">
        <f>E13+G77</f>
        <v>12526</v>
      </c>
      <c r="C80" s="200">
        <f>I13+H77+I77</f>
        <v>2176360</v>
      </c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378" t="s">
        <v>44</v>
      </c>
      <c r="B81" s="376"/>
      <c r="C81" s="376"/>
      <c r="D81" s="376"/>
      <c r="E81" s="376"/>
      <c r="F81" s="376"/>
      <c r="G81" s="376"/>
      <c r="H81" s="376"/>
      <c r="I81" s="286"/>
      <c r="J81" s="53"/>
    </row>
    <row r="82" spans="1:10" ht="15.75" customHeight="1" x14ac:dyDescent="0.25">
      <c r="A82" s="202" t="s">
        <v>2</v>
      </c>
      <c r="B82" s="203" t="s">
        <v>45</v>
      </c>
      <c r="C82" s="204" t="s">
        <v>130</v>
      </c>
      <c r="D82" s="205" t="s">
        <v>4</v>
      </c>
      <c r="E82" s="206" t="s">
        <v>47</v>
      </c>
      <c r="F82" s="207" t="s">
        <v>48</v>
      </c>
      <c r="G82" s="206" t="s">
        <v>10</v>
      </c>
      <c r="H82" s="287" t="s">
        <v>49</v>
      </c>
      <c r="I82" s="286"/>
      <c r="J82" s="53"/>
    </row>
    <row r="83" spans="1:10" ht="15.75" customHeight="1" x14ac:dyDescent="0.25">
      <c r="A83" s="208" t="s">
        <v>131</v>
      </c>
      <c r="B83" s="55" t="s">
        <v>76</v>
      </c>
      <c r="C83" s="58" t="s">
        <v>202</v>
      </c>
      <c r="D83" s="219"/>
      <c r="E83" s="313" t="s">
        <v>261</v>
      </c>
      <c r="F83" s="57">
        <v>14000</v>
      </c>
      <c r="G83" s="211">
        <v>14000</v>
      </c>
      <c r="H83" s="301" t="s">
        <v>381</v>
      </c>
      <c r="I83" s="286"/>
      <c r="J83" s="53"/>
    </row>
    <row r="84" spans="1:10" ht="15.75" customHeight="1" x14ac:dyDescent="0.25">
      <c r="A84" s="208"/>
      <c r="B84" s="55"/>
      <c r="C84" s="58"/>
      <c r="D84" s="219"/>
      <c r="E84" s="210"/>
      <c r="F84" s="57"/>
      <c r="G84" s="211"/>
      <c r="H84" s="301"/>
      <c r="I84" s="311"/>
      <c r="J84" s="53"/>
    </row>
    <row r="85" spans="1:10" ht="15.75" customHeight="1" x14ac:dyDescent="0.25">
      <c r="A85" s="208"/>
      <c r="B85" s="55"/>
      <c r="C85" s="58"/>
      <c r="D85" s="219"/>
      <c r="E85" s="210"/>
      <c r="F85" s="216"/>
      <c r="G85" s="211"/>
      <c r="H85" s="301"/>
      <c r="I85" s="1"/>
      <c r="J85" s="1"/>
    </row>
    <row r="86" spans="1:10" ht="15.75" customHeight="1" x14ac:dyDescent="0.25">
      <c r="A86" s="208"/>
      <c r="B86" s="55"/>
      <c r="C86" s="58"/>
      <c r="D86" s="215"/>
      <c r="E86" s="269"/>
      <c r="F86" s="216"/>
      <c r="G86" s="211"/>
      <c r="H86" s="212"/>
      <c r="I86" s="1"/>
      <c r="J86" s="1"/>
    </row>
    <row r="87" spans="1:10" ht="15.75" customHeight="1" x14ac:dyDescent="0.25">
      <c r="A87" s="208"/>
      <c r="B87" s="55"/>
      <c r="C87" s="58"/>
      <c r="D87" s="219"/>
      <c r="E87" s="269"/>
      <c r="F87" s="216"/>
      <c r="G87" s="211"/>
      <c r="H87" s="212"/>
      <c r="I87" s="1"/>
      <c r="J87" s="1"/>
    </row>
    <row r="88" spans="1:10" ht="15.75" customHeight="1" x14ac:dyDescent="0.25">
      <c r="A88" s="208"/>
      <c r="B88" s="55"/>
      <c r="C88" s="58"/>
      <c r="D88" s="219"/>
      <c r="E88" s="220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20"/>
      <c r="F89" s="216"/>
      <c r="G89" s="211">
        <f t="shared" ref="G89:G90" si="9">F89</f>
        <v>0</v>
      </c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si="9"/>
        <v>0</v>
      </c>
      <c r="H90" s="221"/>
      <c r="I90" s="1"/>
      <c r="J90" s="1"/>
    </row>
    <row r="91" spans="1:10" ht="15.75" customHeight="1" x14ac:dyDescent="0.25">
      <c r="A91" s="222" t="s">
        <v>37</v>
      </c>
      <c r="B91" s="223"/>
      <c r="C91" s="224"/>
      <c r="D91" s="225"/>
      <c r="E91" s="226">
        <f>SUM(E83:E90)</f>
        <v>0</v>
      </c>
      <c r="F91" s="227"/>
      <c r="G91" s="228">
        <f>SUM(G83:G90)</f>
        <v>14000</v>
      </c>
      <c r="H91" s="228"/>
      <c r="I91" s="1"/>
      <c r="J91" s="1"/>
    </row>
    <row r="92" spans="1:10" ht="15.75" customHeight="1" x14ac:dyDescent="0.25">
      <c r="A92" s="38"/>
      <c r="B92" s="89"/>
      <c r="C92" s="40"/>
      <c r="D92" s="38"/>
      <c r="E92" s="38"/>
      <c r="F92" s="38"/>
      <c r="G92" s="38"/>
      <c r="H92" s="38"/>
      <c r="I92" s="1"/>
      <c r="J92" s="1"/>
    </row>
    <row r="93" spans="1:10" ht="15.75" customHeight="1" x14ac:dyDescent="0.25">
      <c r="A93" s="369" t="s">
        <v>50</v>
      </c>
      <c r="B93" s="370"/>
      <c r="C93" s="370"/>
      <c r="D93" s="370"/>
      <c r="E93" s="370"/>
      <c r="F93" s="370"/>
      <c r="G93" s="370"/>
      <c r="H93" s="370"/>
      <c r="I93" s="229"/>
      <c r="J93" s="1"/>
    </row>
    <row r="94" spans="1:10" ht="15.75" customHeight="1" x14ac:dyDescent="0.25">
      <c r="A94" s="202" t="s">
        <v>2</v>
      </c>
      <c r="B94" s="230" t="s">
        <v>45</v>
      </c>
      <c r="C94" s="231" t="s">
        <v>4</v>
      </c>
      <c r="D94" s="232" t="s">
        <v>51</v>
      </c>
      <c r="E94" s="232" t="s">
        <v>48</v>
      </c>
      <c r="F94" s="232" t="s">
        <v>10</v>
      </c>
      <c r="G94" s="206" t="s">
        <v>52</v>
      </c>
      <c r="H94" s="206"/>
      <c r="I94" s="1"/>
      <c r="J94" s="1"/>
    </row>
    <row r="95" spans="1:10" ht="15.75" customHeight="1" x14ac:dyDescent="0.25">
      <c r="A95" s="270"/>
      <c r="B95" s="271"/>
      <c r="C95" s="235"/>
      <c r="D95" s="236"/>
      <c r="E95" s="272"/>
      <c r="F95" s="273"/>
      <c r="G95" s="239"/>
      <c r="H95" s="240"/>
      <c r="I95" s="1"/>
      <c r="J95" s="1"/>
    </row>
    <row r="96" spans="1:10" ht="15.75" customHeight="1" x14ac:dyDescent="0.25">
      <c r="A96" s="241"/>
      <c r="B96" s="242"/>
      <c r="C96" s="243"/>
      <c r="D96" s="244"/>
      <c r="E96" s="245"/>
      <c r="F96" s="246"/>
      <c r="G96" s="247"/>
      <c r="H96" s="248"/>
      <c r="I96" s="1"/>
      <c r="J96" s="1"/>
    </row>
    <row r="97" spans="1:10" ht="15.75" customHeight="1" x14ac:dyDescent="0.25">
      <c r="A97" s="249"/>
      <c r="B97" s="250"/>
      <c r="C97" s="249"/>
      <c r="D97" s="249"/>
      <c r="E97" s="249"/>
      <c r="F97" s="246"/>
      <c r="G97" s="249"/>
      <c r="H97" s="249"/>
      <c r="I97" s="1"/>
      <c r="J97" s="1"/>
    </row>
    <row r="98" spans="1:10" ht="15.75" customHeight="1" x14ac:dyDescent="0.25">
      <c r="A98" s="241"/>
      <c r="B98" s="250"/>
      <c r="C98" s="249"/>
      <c r="D98" s="251"/>
      <c r="E98" s="249"/>
      <c r="F98" s="252"/>
      <c r="G98" s="249"/>
      <c r="H98" s="249"/>
      <c r="I98" s="1"/>
      <c r="J98" s="1"/>
    </row>
    <row r="99" spans="1:10" ht="15.75" customHeight="1" x14ac:dyDescent="0.25">
      <c r="A99" s="1"/>
      <c r="B99" s="253"/>
      <c r="C99" s="1"/>
      <c r="D99" s="1"/>
      <c r="E99" s="1"/>
      <c r="F99" s="254"/>
      <c r="G99" s="1"/>
      <c r="H99" s="1"/>
      <c r="I99" s="255"/>
      <c r="J99" s="256"/>
    </row>
    <row r="100" spans="1:10" ht="15.75" customHeight="1" x14ac:dyDescent="0.25"/>
    <row r="101" spans="1:10" ht="15.75" customHeight="1" x14ac:dyDescent="0.25"/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67:J68"/>
    <mergeCell ref="A81:H81"/>
    <mergeCell ref="A93:H93"/>
    <mergeCell ref="A1:J1"/>
    <mergeCell ref="A2:J2"/>
    <mergeCell ref="A18:H18"/>
    <mergeCell ref="A38:H38"/>
    <mergeCell ref="I40:J40"/>
    <mergeCell ref="I41:J41"/>
    <mergeCell ref="J62:J6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J1000"/>
  <sheetViews>
    <sheetView tabSelected="1" topLeftCell="A40" workbookViewId="0">
      <selection activeCell="C53" sqref="C53"/>
    </sheetView>
  </sheetViews>
  <sheetFormatPr defaultColWidth="11.25" defaultRowHeight="15" customHeight="1" x14ac:dyDescent="0.25"/>
  <cols>
    <col min="1" max="1" width="27.875" customWidth="1"/>
    <col min="2" max="2" width="25.375" customWidth="1"/>
    <col min="3" max="3" width="42.75" customWidth="1"/>
    <col min="4" max="4" width="11.5" customWidth="1"/>
    <col min="5" max="5" width="18.375" customWidth="1"/>
    <col min="6" max="6" width="12.5" customWidth="1"/>
    <col min="7" max="7" width="9.625" customWidth="1"/>
    <col min="8" max="8" width="11.125" customWidth="1"/>
    <col min="9" max="9" width="18.25" customWidth="1"/>
    <col min="10" max="10" width="12" customWidth="1"/>
  </cols>
  <sheetData>
    <row r="1" spans="1:10" ht="22.5" x14ac:dyDescent="0.25">
      <c r="A1" s="371"/>
      <c r="B1" s="372"/>
      <c r="C1" s="372"/>
      <c r="D1" s="372"/>
      <c r="E1" s="372"/>
      <c r="F1" s="372"/>
      <c r="G1" s="372"/>
      <c r="H1" s="372"/>
      <c r="I1" s="372"/>
      <c r="J1" s="372"/>
    </row>
    <row r="2" spans="1:10" ht="15.75" x14ac:dyDescent="0.25">
      <c r="A2" s="373" t="s">
        <v>1</v>
      </c>
      <c r="B2" s="374"/>
      <c r="C2" s="374"/>
      <c r="D2" s="374"/>
      <c r="E2" s="374"/>
      <c r="F2" s="374"/>
      <c r="G2" s="374"/>
      <c r="H2" s="374"/>
      <c r="I2" s="374"/>
      <c r="J2" s="374"/>
    </row>
    <row r="3" spans="1:10" ht="57" x14ac:dyDescent="0.25">
      <c r="A3" s="2" t="s">
        <v>2</v>
      </c>
      <c r="B3" s="257" t="s">
        <v>3</v>
      </c>
      <c r="C3" s="258" t="s">
        <v>4</v>
      </c>
      <c r="D3" s="259" t="s">
        <v>5</v>
      </c>
      <c r="E3" s="5" t="s">
        <v>6</v>
      </c>
      <c r="F3" s="6" t="s">
        <v>7</v>
      </c>
      <c r="G3" s="5" t="s">
        <v>8</v>
      </c>
      <c r="H3" s="7" t="s">
        <v>9</v>
      </c>
      <c r="I3" s="3" t="s">
        <v>10</v>
      </c>
      <c r="J3" s="8" t="s">
        <v>11</v>
      </c>
    </row>
    <row r="4" spans="1:10" ht="15.75" x14ac:dyDescent="0.25">
      <c r="A4" s="10" t="s">
        <v>104</v>
      </c>
      <c r="B4" s="260" t="s">
        <v>68</v>
      </c>
      <c r="C4" s="261" t="s">
        <v>54</v>
      </c>
      <c r="D4" s="262">
        <v>0.2</v>
      </c>
      <c r="E4" s="263">
        <v>18</v>
      </c>
      <c r="F4" s="14">
        <v>18</v>
      </c>
      <c r="G4" s="264">
        <f t="shared" ref="G4:G5" si="0">E4*D4</f>
        <v>3.6</v>
      </c>
      <c r="H4" s="16">
        <v>75</v>
      </c>
      <c r="I4" s="16">
        <f t="shared" ref="I4:I5" si="1">H4*E4</f>
        <v>1350</v>
      </c>
      <c r="J4" s="17"/>
    </row>
    <row r="5" spans="1:10" ht="15.75" x14ac:dyDescent="0.25">
      <c r="A5" s="10"/>
      <c r="B5" s="260"/>
      <c r="C5" s="261" t="s">
        <v>55</v>
      </c>
      <c r="D5" s="262">
        <v>0.2</v>
      </c>
      <c r="E5" s="263">
        <v>18</v>
      </c>
      <c r="F5" s="14">
        <v>18</v>
      </c>
      <c r="G5" s="264">
        <f t="shared" si="0"/>
        <v>3.6</v>
      </c>
      <c r="H5" s="16">
        <v>85</v>
      </c>
      <c r="I5" s="16">
        <f t="shared" si="1"/>
        <v>1530</v>
      </c>
      <c r="J5" s="17"/>
    </row>
    <row r="6" spans="1:10" ht="15.75" x14ac:dyDescent="0.25">
      <c r="A6" s="10"/>
      <c r="B6" s="260"/>
      <c r="C6" s="261"/>
      <c r="D6" s="262"/>
      <c r="E6" s="263"/>
      <c r="F6" s="14"/>
      <c r="G6" s="264"/>
      <c r="H6" s="16"/>
      <c r="I6" s="16"/>
      <c r="J6" s="17"/>
    </row>
    <row r="7" spans="1:10" ht="15.75" x14ac:dyDescent="0.25">
      <c r="A7" s="10"/>
      <c r="B7" s="27"/>
      <c r="C7" s="261"/>
      <c r="D7" s="262"/>
      <c r="E7" s="263"/>
      <c r="F7" s="14"/>
      <c r="G7" s="264"/>
      <c r="H7" s="16"/>
      <c r="I7" s="16"/>
      <c r="J7" s="17"/>
    </row>
    <row r="8" spans="1:10" ht="15.75" x14ac:dyDescent="0.25">
      <c r="A8" s="10"/>
      <c r="B8" s="27"/>
      <c r="C8" s="261"/>
      <c r="D8" s="262"/>
      <c r="E8" s="263"/>
      <c r="F8" s="14"/>
      <c r="G8" s="264"/>
      <c r="H8" s="16"/>
      <c r="I8" s="16"/>
      <c r="J8" s="17"/>
    </row>
    <row r="9" spans="1:10" ht="15.75" x14ac:dyDescent="0.25">
      <c r="A9" s="10"/>
      <c r="B9" s="27"/>
      <c r="C9" s="261"/>
      <c r="D9" s="262"/>
      <c r="E9" s="13"/>
      <c r="F9" s="14"/>
      <c r="G9" s="264"/>
      <c r="H9" s="16"/>
      <c r="I9" s="16"/>
      <c r="J9" s="17"/>
    </row>
    <row r="10" spans="1:10" ht="15.75" x14ac:dyDescent="0.25">
      <c r="A10" s="10"/>
      <c r="B10" s="27"/>
      <c r="C10" s="261"/>
      <c r="D10" s="262"/>
      <c r="E10" s="13"/>
      <c r="F10" s="14"/>
      <c r="G10" s="264"/>
      <c r="H10" s="16"/>
      <c r="I10" s="16"/>
      <c r="J10" s="17"/>
    </row>
    <row r="11" spans="1:10" ht="15.75" x14ac:dyDescent="0.25">
      <c r="A11" s="10"/>
      <c r="B11" s="27"/>
      <c r="C11" s="261"/>
      <c r="D11" s="262"/>
      <c r="E11" s="263"/>
      <c r="F11" s="14"/>
      <c r="G11" s="264"/>
      <c r="H11" s="16"/>
      <c r="I11" s="16"/>
      <c r="J11" s="17"/>
    </row>
    <row r="12" spans="1:10" ht="15.75" x14ac:dyDescent="0.25">
      <c r="A12" s="10"/>
      <c r="B12" s="27"/>
      <c r="C12" s="261"/>
      <c r="D12" s="262"/>
      <c r="E12" s="263"/>
      <c r="F12" s="14"/>
      <c r="G12" s="264"/>
      <c r="H12" s="16"/>
      <c r="I12" s="16"/>
      <c r="J12" s="17"/>
    </row>
    <row r="13" spans="1:10" ht="15.75" x14ac:dyDescent="0.25">
      <c r="A13" s="30"/>
      <c r="B13" s="31"/>
      <c r="C13" s="32"/>
      <c r="D13" s="30"/>
      <c r="E13" s="33">
        <f t="shared" ref="E13:G13" si="2">SUM(E4:E12)</f>
        <v>36</v>
      </c>
      <c r="F13" s="33">
        <f t="shared" si="2"/>
        <v>36</v>
      </c>
      <c r="G13" s="34">
        <f t="shared" si="2"/>
        <v>7.2</v>
      </c>
      <c r="H13" s="35"/>
      <c r="I13" s="36">
        <f>SUM(I4:I12)</f>
        <v>2880</v>
      </c>
      <c r="J13" s="37"/>
    </row>
    <row r="14" spans="1:10" ht="15.75" x14ac:dyDescent="0.25">
      <c r="A14" s="38"/>
      <c r="B14" s="39"/>
      <c r="C14" s="40"/>
      <c r="D14" s="38"/>
      <c r="E14" s="38"/>
      <c r="F14" s="38"/>
      <c r="G14" s="38"/>
      <c r="H14" s="38"/>
      <c r="I14" s="1"/>
      <c r="J14" s="1"/>
    </row>
    <row r="15" spans="1:10" ht="15.75" x14ac:dyDescent="0.25">
      <c r="A15" s="41" t="s">
        <v>12</v>
      </c>
      <c r="B15" s="42" t="s">
        <v>10</v>
      </c>
      <c r="C15" s="43" t="s">
        <v>13</v>
      </c>
      <c r="D15" s="44"/>
      <c r="E15" s="38"/>
      <c r="F15" s="38"/>
      <c r="G15" s="38"/>
      <c r="H15" s="38"/>
      <c r="I15" s="1"/>
      <c r="J15" s="1"/>
    </row>
    <row r="16" spans="1:10" ht="15.75" x14ac:dyDescent="0.25">
      <c r="A16" s="45"/>
      <c r="B16" s="46"/>
      <c r="C16" s="47"/>
      <c r="D16" s="44"/>
      <c r="E16" s="38"/>
      <c r="F16" s="38"/>
      <c r="G16" s="38"/>
      <c r="H16" s="38"/>
      <c r="I16" s="1"/>
      <c r="J16" s="1"/>
    </row>
    <row r="17" spans="1:10" ht="15.75" x14ac:dyDescent="0.25">
      <c r="A17" s="26"/>
      <c r="B17" s="48"/>
      <c r="C17" s="49"/>
      <c r="D17" s="44"/>
      <c r="E17" s="38"/>
      <c r="F17" s="38"/>
      <c r="G17" s="38"/>
      <c r="H17" s="38"/>
      <c r="I17" s="1"/>
      <c r="J17" s="1"/>
    </row>
    <row r="18" spans="1:10" ht="22.5" x14ac:dyDescent="0.3">
      <c r="A18" s="375" t="s">
        <v>14</v>
      </c>
      <c r="B18" s="376"/>
      <c r="C18" s="376"/>
      <c r="D18" s="376"/>
      <c r="E18" s="376"/>
      <c r="F18" s="376"/>
      <c r="G18" s="376"/>
      <c r="H18" s="376"/>
      <c r="I18" s="1"/>
      <c r="J18" s="1"/>
    </row>
    <row r="19" spans="1:10" ht="15.75" x14ac:dyDescent="0.25">
      <c r="A19" s="50" t="s">
        <v>15</v>
      </c>
      <c r="B19" s="51"/>
      <c r="C19" s="51"/>
      <c r="D19" s="44"/>
      <c r="E19" s="50" t="s">
        <v>16</v>
      </c>
      <c r="F19" s="51"/>
      <c r="G19" s="51"/>
      <c r="H19" s="44"/>
      <c r="I19" s="52"/>
      <c r="J19" s="53"/>
    </row>
    <row r="20" spans="1:10" ht="15.75" x14ac:dyDescent="0.25">
      <c r="A20" s="54" t="s">
        <v>17</v>
      </c>
      <c r="B20" s="55"/>
      <c r="C20" s="56"/>
      <c r="D20" s="298">
        <v>383600.24999999994</v>
      </c>
      <c r="E20" s="307" t="s">
        <v>17</v>
      </c>
      <c r="F20" s="290"/>
      <c r="G20" s="308"/>
      <c r="H20" s="305">
        <v>0</v>
      </c>
      <c r="I20" s="366" t="s">
        <v>382</v>
      </c>
      <c r="J20" s="284"/>
    </row>
    <row r="21" spans="1:10" ht="15.75" customHeight="1" x14ac:dyDescent="0.25">
      <c r="A21" s="61" t="s">
        <v>383</v>
      </c>
      <c r="B21" s="62"/>
      <c r="C21" s="63">
        <v>2880</v>
      </c>
      <c r="D21" s="63">
        <v>2880</v>
      </c>
      <c r="E21" s="64"/>
      <c r="F21" s="65"/>
      <c r="G21" s="66"/>
      <c r="H21" s="67"/>
      <c r="I21" s="309"/>
      <c r="J21" s="309"/>
    </row>
    <row r="22" spans="1:10" ht="15.75" customHeight="1" x14ac:dyDescent="0.25">
      <c r="A22" s="61"/>
      <c r="B22" s="62"/>
      <c r="C22" s="63"/>
      <c r="D22" s="63"/>
      <c r="E22" s="64"/>
      <c r="F22" s="65"/>
      <c r="G22" s="66"/>
      <c r="H22" s="67"/>
      <c r="I22" s="309"/>
      <c r="J22" s="1"/>
    </row>
    <row r="23" spans="1:10" ht="15.75" customHeight="1" x14ac:dyDescent="0.25">
      <c r="A23" s="61"/>
      <c r="B23" s="62"/>
      <c r="C23" s="63"/>
      <c r="D23" s="63"/>
      <c r="E23" s="64"/>
      <c r="F23" s="65"/>
      <c r="G23" s="66"/>
      <c r="H23" s="67">
        <f t="shared" ref="H23:H25" si="3">F23*G23</f>
        <v>0</v>
      </c>
      <c r="I23" s="1"/>
      <c r="J23" s="1"/>
    </row>
    <row r="24" spans="1:10" ht="15.75" customHeight="1" x14ac:dyDescent="0.25">
      <c r="A24" s="61"/>
      <c r="B24" s="62"/>
      <c r="C24" s="63"/>
      <c r="D24" s="63"/>
      <c r="E24" s="64"/>
      <c r="F24" s="65"/>
      <c r="G24" s="66"/>
      <c r="H24" s="67">
        <f t="shared" si="3"/>
        <v>0</v>
      </c>
      <c r="I24" s="1"/>
      <c r="J24" s="1"/>
    </row>
    <row r="25" spans="1:10" ht="15.75" customHeight="1" x14ac:dyDescent="0.25">
      <c r="A25" s="61"/>
      <c r="B25" s="68"/>
      <c r="C25" s="69"/>
      <c r="D25" s="70"/>
      <c r="E25" s="64"/>
      <c r="F25" s="65"/>
      <c r="G25" s="66"/>
      <c r="H25" s="67">
        <f t="shared" si="3"/>
        <v>0</v>
      </c>
      <c r="I25" s="1"/>
      <c r="J25" s="1"/>
    </row>
    <row r="26" spans="1:10" ht="15.75" customHeight="1" x14ac:dyDescent="0.25">
      <c r="A26" s="71"/>
      <c r="B26" s="62"/>
      <c r="C26" s="63"/>
      <c r="D26" s="70"/>
      <c r="E26" s="72" t="s">
        <v>18</v>
      </c>
      <c r="F26" s="73"/>
      <c r="G26" s="74"/>
      <c r="H26" s="75">
        <f>SUM(H21:H22)</f>
        <v>0</v>
      </c>
      <c r="I26" s="1"/>
      <c r="J26" s="1"/>
    </row>
    <row r="27" spans="1:10" ht="15.75" customHeight="1" x14ac:dyDescent="0.25">
      <c r="A27" s="71" t="s">
        <v>19</v>
      </c>
      <c r="B27" s="62"/>
      <c r="C27" s="74"/>
      <c r="D27" s="75"/>
      <c r="E27" s="71" t="s">
        <v>19</v>
      </c>
      <c r="F27" s="73"/>
      <c r="G27" s="74"/>
      <c r="H27" s="75"/>
      <c r="I27" s="1"/>
      <c r="J27" s="1"/>
    </row>
    <row r="28" spans="1:10" ht="15.75" customHeight="1" x14ac:dyDescent="0.25">
      <c r="A28" s="76" t="s">
        <v>108</v>
      </c>
      <c r="B28" s="62"/>
      <c r="C28" s="63">
        <v>2000</v>
      </c>
      <c r="D28" s="63">
        <v>2000</v>
      </c>
      <c r="E28" s="71"/>
      <c r="F28" s="73"/>
      <c r="G28" s="74"/>
      <c r="H28" s="67">
        <f t="shared" ref="H28:H35" si="4">F28*G28</f>
        <v>0</v>
      </c>
      <c r="I28" s="1"/>
      <c r="J28" s="1"/>
    </row>
    <row r="29" spans="1:10" ht="15.75" customHeight="1" x14ac:dyDescent="0.25">
      <c r="A29" s="64" t="s">
        <v>384</v>
      </c>
      <c r="B29" s="62"/>
      <c r="C29" s="63">
        <v>1153</v>
      </c>
      <c r="D29" s="69">
        <v>1153</v>
      </c>
      <c r="E29" s="71"/>
      <c r="F29" s="73"/>
      <c r="G29" s="74"/>
      <c r="H29" s="67">
        <f t="shared" si="4"/>
        <v>0</v>
      </c>
      <c r="I29" s="1"/>
      <c r="J29" s="1"/>
    </row>
    <row r="30" spans="1:10" ht="15.75" customHeight="1" x14ac:dyDescent="0.25">
      <c r="A30" s="64" t="s">
        <v>385</v>
      </c>
      <c r="B30" s="62"/>
      <c r="C30" s="63">
        <v>20000</v>
      </c>
      <c r="D30" s="69">
        <v>20000</v>
      </c>
      <c r="E30" s="71"/>
      <c r="F30" s="73"/>
      <c r="G30" s="74"/>
      <c r="H30" s="67">
        <f t="shared" si="4"/>
        <v>0</v>
      </c>
      <c r="I30" s="1"/>
      <c r="J30" s="1"/>
    </row>
    <row r="31" spans="1:10" ht="15.75" customHeight="1" x14ac:dyDescent="0.25">
      <c r="A31" s="64" t="s">
        <v>386</v>
      </c>
      <c r="B31" s="62"/>
      <c r="C31" s="63">
        <v>28000</v>
      </c>
      <c r="D31" s="69">
        <v>28000</v>
      </c>
      <c r="E31" s="71"/>
      <c r="F31" s="73"/>
      <c r="G31" s="74"/>
      <c r="H31" s="67">
        <f t="shared" si="4"/>
        <v>0</v>
      </c>
      <c r="I31" s="1"/>
      <c r="J31" s="1"/>
    </row>
    <row r="32" spans="1:10" ht="15.75" customHeight="1" x14ac:dyDescent="0.25">
      <c r="A32" s="64"/>
      <c r="B32" s="62"/>
      <c r="C32" s="63"/>
      <c r="D32" s="63"/>
      <c r="E32" s="71"/>
      <c r="F32" s="73"/>
      <c r="G32" s="74"/>
      <c r="H32" s="67">
        <f t="shared" si="4"/>
        <v>0</v>
      </c>
      <c r="I32" s="309"/>
      <c r="J32" s="1"/>
    </row>
    <row r="33" spans="1:10" ht="15.75" customHeight="1" x14ac:dyDescent="0.25">
      <c r="A33" s="64"/>
      <c r="B33" s="62"/>
      <c r="C33" s="63"/>
      <c r="D33" s="63"/>
      <c r="E33" s="71"/>
      <c r="F33" s="73"/>
      <c r="G33" s="74"/>
      <c r="H33" s="67">
        <f t="shared" si="4"/>
        <v>0</v>
      </c>
      <c r="I33" s="1"/>
      <c r="J33" s="1"/>
    </row>
    <row r="34" spans="1:10" ht="15.75" customHeight="1" x14ac:dyDescent="0.25">
      <c r="A34" s="64"/>
      <c r="B34" s="62"/>
      <c r="C34" s="63"/>
      <c r="D34" s="70"/>
      <c r="E34" s="71"/>
      <c r="F34" s="73"/>
      <c r="G34" s="74"/>
      <c r="H34" s="67">
        <f t="shared" si="4"/>
        <v>0</v>
      </c>
      <c r="I34" s="1"/>
      <c r="J34" s="1"/>
    </row>
    <row r="35" spans="1:10" ht="15.75" customHeight="1" x14ac:dyDescent="0.25">
      <c r="A35" s="78"/>
      <c r="B35" s="62"/>
      <c r="C35" s="63"/>
      <c r="D35" s="79"/>
      <c r="E35" s="80" t="s">
        <v>21</v>
      </c>
      <c r="F35" s="73"/>
      <c r="G35" s="74"/>
      <c r="H35" s="67">
        <f t="shared" si="4"/>
        <v>0</v>
      </c>
      <c r="I35" s="81"/>
      <c r="J35" s="81"/>
    </row>
    <row r="36" spans="1:10" ht="15.75" customHeight="1" x14ac:dyDescent="0.25">
      <c r="A36" s="82" t="s">
        <v>22</v>
      </c>
      <c r="B36" s="83"/>
      <c r="C36" s="84"/>
      <c r="D36" s="85">
        <f>SUM(D21,D22:D25,D20,)-SUM(D28:D35,)</f>
        <v>335327.24999999994</v>
      </c>
      <c r="E36" s="82" t="s">
        <v>22</v>
      </c>
      <c r="F36" s="86"/>
      <c r="G36" s="84"/>
      <c r="H36" s="87">
        <f>SUM(H20+H26-H35)</f>
        <v>0</v>
      </c>
      <c r="I36" s="1"/>
      <c r="J36" s="1"/>
    </row>
    <row r="37" spans="1:10" ht="15.75" customHeight="1" x14ac:dyDescent="0.25">
      <c r="A37" s="88"/>
      <c r="B37" s="89"/>
      <c r="C37" s="40"/>
      <c r="D37" s="38"/>
      <c r="E37" s="38"/>
      <c r="F37" s="38"/>
      <c r="G37" s="1"/>
      <c r="H37" s="1"/>
      <c r="I37" s="1"/>
      <c r="J37" s="1"/>
    </row>
    <row r="38" spans="1:10" ht="15.75" customHeight="1" x14ac:dyDescent="0.25">
      <c r="A38" s="377" t="s">
        <v>23</v>
      </c>
      <c r="B38" s="376"/>
      <c r="C38" s="376"/>
      <c r="D38" s="376"/>
      <c r="E38" s="376"/>
      <c r="F38" s="376"/>
      <c r="G38" s="376"/>
      <c r="H38" s="376"/>
      <c r="I38" s="1"/>
      <c r="J38" s="1"/>
    </row>
    <row r="39" spans="1:10" ht="15.75" customHeight="1" x14ac:dyDescent="0.25">
      <c r="A39" s="90" t="s">
        <v>24</v>
      </c>
      <c r="B39" s="274" t="s">
        <v>24</v>
      </c>
      <c r="C39" s="274"/>
      <c r="D39" s="44"/>
      <c r="E39" s="91" t="s">
        <v>25</v>
      </c>
      <c r="F39" s="51"/>
      <c r="G39" s="51"/>
      <c r="H39" s="44"/>
      <c r="I39" s="341" t="s">
        <v>270</v>
      </c>
    </row>
    <row r="40" spans="1:10" ht="15.75" customHeight="1" x14ac:dyDescent="0.25">
      <c r="A40" s="92" t="s">
        <v>17</v>
      </c>
      <c r="B40" s="275"/>
      <c r="C40" s="285">
        <v>800125.67</v>
      </c>
      <c r="D40" s="51"/>
      <c r="E40" s="94" t="s">
        <v>17</v>
      </c>
      <c r="F40" s="44"/>
      <c r="G40" s="95">
        <v>2444.5</v>
      </c>
      <c r="H40" s="44"/>
      <c r="I40" s="379" t="s">
        <v>271</v>
      </c>
      <c r="J40" s="381"/>
    </row>
    <row r="41" spans="1:10" ht="15.75" customHeight="1" x14ac:dyDescent="0.25">
      <c r="A41" s="96" t="s">
        <v>26</v>
      </c>
      <c r="B41" s="44"/>
      <c r="C41" s="96" t="s">
        <v>27</v>
      </c>
      <c r="D41" s="44"/>
      <c r="E41" s="96" t="s">
        <v>26</v>
      </c>
      <c r="F41" s="44"/>
      <c r="G41" s="96" t="s">
        <v>27</v>
      </c>
      <c r="H41" s="44"/>
      <c r="I41" s="382" t="s">
        <v>272</v>
      </c>
      <c r="J41" s="381"/>
    </row>
    <row r="42" spans="1:10" ht="15.75" customHeight="1" x14ac:dyDescent="0.25">
      <c r="A42" s="97" t="s">
        <v>28</v>
      </c>
      <c r="B42" s="97" t="s">
        <v>10</v>
      </c>
      <c r="C42" s="97" t="s">
        <v>29</v>
      </c>
      <c r="D42" s="97" t="s">
        <v>10</v>
      </c>
      <c r="E42" s="97" t="s">
        <v>28</v>
      </c>
      <c r="F42" s="97" t="s">
        <v>10</v>
      </c>
      <c r="G42" s="330" t="s">
        <v>30</v>
      </c>
      <c r="H42" s="97" t="s">
        <v>10</v>
      </c>
      <c r="I42" s="331" t="s">
        <v>273</v>
      </c>
      <c r="J42" s="331" t="s">
        <v>274</v>
      </c>
    </row>
    <row r="43" spans="1:10" ht="15.75" customHeight="1" x14ac:dyDescent="0.25">
      <c r="A43" s="98" t="s">
        <v>90</v>
      </c>
      <c r="B43" s="276">
        <v>1232.8800000000001</v>
      </c>
      <c r="C43" s="100" t="s">
        <v>387</v>
      </c>
      <c r="D43" s="101">
        <v>1480</v>
      </c>
      <c r="E43" s="102"/>
      <c r="F43" s="103"/>
      <c r="G43" s="104" t="s">
        <v>91</v>
      </c>
      <c r="H43" s="103">
        <v>1612.5</v>
      </c>
      <c r="I43" s="333"/>
      <c r="J43" s="334"/>
    </row>
    <row r="44" spans="1:10" ht="15.75" customHeight="1" x14ac:dyDescent="0.25">
      <c r="A44" s="277" t="s">
        <v>186</v>
      </c>
      <c r="B44" s="276">
        <v>84060</v>
      </c>
      <c r="C44" s="106" t="s">
        <v>388</v>
      </c>
      <c r="D44" s="101">
        <v>2900</v>
      </c>
      <c r="E44" s="104"/>
      <c r="F44" s="103"/>
      <c r="G44" s="104"/>
      <c r="H44" s="103"/>
      <c r="I44" s="333"/>
      <c r="J44" s="333"/>
    </row>
    <row r="45" spans="1:10" ht="15.75" customHeight="1" x14ac:dyDescent="0.25">
      <c r="A45" s="105"/>
      <c r="B45" s="278"/>
      <c r="C45" s="107" t="s">
        <v>389</v>
      </c>
      <c r="D45" s="101">
        <v>8402</v>
      </c>
      <c r="E45" s="104"/>
      <c r="F45" s="103"/>
      <c r="G45" s="108"/>
      <c r="H45" s="103"/>
      <c r="I45" s="333"/>
      <c r="J45" s="333"/>
    </row>
    <row r="46" spans="1:10" ht="15.75" customHeight="1" x14ac:dyDescent="0.25">
      <c r="A46" s="109"/>
      <c r="B46" s="278"/>
      <c r="C46" s="107" t="s">
        <v>148</v>
      </c>
      <c r="D46" s="101">
        <v>22000</v>
      </c>
      <c r="E46" s="102"/>
      <c r="F46" s="110"/>
      <c r="G46" s="108"/>
      <c r="H46" s="103"/>
      <c r="I46" s="333"/>
      <c r="J46" s="333"/>
    </row>
    <row r="47" spans="1:10" ht="15.75" customHeight="1" x14ac:dyDescent="0.25">
      <c r="A47" s="111"/>
      <c r="B47" s="278"/>
      <c r="C47" s="107" t="s">
        <v>406</v>
      </c>
      <c r="D47" s="101">
        <v>245268</v>
      </c>
      <c r="E47" s="112"/>
      <c r="F47" s="113"/>
      <c r="G47" s="114"/>
      <c r="H47" s="114"/>
      <c r="I47" s="333"/>
      <c r="J47" s="333"/>
    </row>
    <row r="48" spans="1:10" ht="15.75" customHeight="1" x14ac:dyDescent="0.25">
      <c r="A48" s="111"/>
      <c r="B48" s="278"/>
      <c r="C48" s="107" t="s">
        <v>390</v>
      </c>
      <c r="D48" s="101">
        <v>330000</v>
      </c>
      <c r="E48" s="112"/>
      <c r="F48" s="113"/>
      <c r="G48" s="115"/>
      <c r="H48" s="114"/>
      <c r="I48" s="333"/>
      <c r="J48" s="333"/>
    </row>
    <row r="49" spans="1:10" ht="15.75" customHeight="1" x14ac:dyDescent="0.25">
      <c r="A49" s="116"/>
      <c r="B49" s="278"/>
      <c r="C49" s="107" t="s">
        <v>391</v>
      </c>
      <c r="D49" s="101">
        <v>0</v>
      </c>
      <c r="E49" s="112"/>
      <c r="F49" s="112"/>
      <c r="G49" s="117"/>
      <c r="H49" s="114"/>
      <c r="I49" s="333"/>
      <c r="J49" s="333"/>
    </row>
    <row r="50" spans="1:10" ht="15.75" customHeight="1" x14ac:dyDescent="0.25">
      <c r="A50" s="118"/>
      <c r="B50" s="279"/>
      <c r="C50" s="107" t="s">
        <v>407</v>
      </c>
      <c r="D50" s="101">
        <v>1</v>
      </c>
      <c r="E50" s="118"/>
      <c r="F50" s="112"/>
      <c r="G50" s="104"/>
      <c r="H50" s="114"/>
      <c r="I50" s="333"/>
      <c r="J50" s="333"/>
    </row>
    <row r="51" spans="1:10" ht="15.75" customHeight="1" x14ac:dyDescent="0.25">
      <c r="A51" s="118"/>
      <c r="B51" s="280"/>
      <c r="C51" s="106"/>
      <c r="D51" s="120"/>
      <c r="E51" s="118"/>
      <c r="F51" s="112"/>
      <c r="G51" s="104"/>
      <c r="H51" s="114"/>
      <c r="I51" s="333"/>
      <c r="J51" s="333"/>
    </row>
    <row r="52" spans="1:10" ht="15.75" customHeight="1" x14ac:dyDescent="0.25">
      <c r="A52" s="118"/>
      <c r="B52" s="280"/>
      <c r="C52" s="106"/>
      <c r="D52" s="120"/>
      <c r="E52" s="118"/>
      <c r="F52" s="112"/>
      <c r="G52" s="104"/>
      <c r="H52" s="114"/>
      <c r="I52" s="333"/>
      <c r="J52" s="333"/>
    </row>
    <row r="53" spans="1:10" ht="15.75" customHeight="1" x14ac:dyDescent="0.25">
      <c r="A53" s="118"/>
      <c r="B53" s="280"/>
      <c r="C53" s="106"/>
      <c r="D53" s="120"/>
      <c r="E53" s="118"/>
      <c r="F53" s="112"/>
      <c r="G53" s="104"/>
      <c r="H53" s="114"/>
      <c r="I53" s="333"/>
      <c r="J53" s="333"/>
    </row>
    <row r="54" spans="1:10" ht="15.75" customHeight="1" x14ac:dyDescent="0.25">
      <c r="A54" s="118"/>
      <c r="B54" s="280"/>
      <c r="C54" s="106"/>
      <c r="D54" s="338"/>
      <c r="E54" s="118"/>
      <c r="F54" s="112"/>
      <c r="G54" s="104"/>
      <c r="H54" s="114"/>
      <c r="I54" s="333"/>
      <c r="J54" s="333"/>
    </row>
    <row r="55" spans="1:10" ht="15.75" customHeight="1" x14ac:dyDescent="0.25">
      <c r="A55" s="118"/>
      <c r="B55" s="119"/>
      <c r="C55" s="104"/>
      <c r="D55" s="120"/>
      <c r="E55" s="118"/>
      <c r="F55" s="112"/>
      <c r="G55" s="104"/>
      <c r="H55" s="114"/>
      <c r="I55" s="333"/>
      <c r="J55" s="333"/>
    </row>
    <row r="56" spans="1:10" ht="15.75" customHeight="1" x14ac:dyDescent="0.25">
      <c r="A56" s="121"/>
      <c r="B56" s="122">
        <f>SUM(B43:B55)+C40</f>
        <v>885418.55</v>
      </c>
      <c r="C56" s="123"/>
      <c r="D56" s="122">
        <f>SUM(D43:D55)</f>
        <v>610051</v>
      </c>
      <c r="E56" s="124"/>
      <c r="F56" s="124">
        <f>SUM(F43:F55)</f>
        <v>0</v>
      </c>
      <c r="G56" s="124"/>
      <c r="H56" s="124">
        <f>SUM(H43:H55)</f>
        <v>1612.5</v>
      </c>
      <c r="I56" s="339"/>
      <c r="J56" s="340"/>
    </row>
    <row r="57" spans="1:10" ht="15.75" customHeight="1" x14ac:dyDescent="0.25">
      <c r="A57" s="125" t="s">
        <v>22</v>
      </c>
      <c r="B57" s="126">
        <f>B56-D56</f>
        <v>275367.55000000005</v>
      </c>
      <c r="C57" s="51"/>
      <c r="D57" s="44"/>
      <c r="E57" s="94" t="s">
        <v>22</v>
      </c>
      <c r="F57" s="95">
        <v>832</v>
      </c>
      <c r="G57" s="51"/>
      <c r="H57" s="44"/>
      <c r="I57" s="341" t="s">
        <v>289</v>
      </c>
      <c r="J57" s="339"/>
    </row>
    <row r="58" spans="1:10" ht="15.75" customHeight="1" x14ac:dyDescent="0.25">
      <c r="A58" s="127" t="s">
        <v>37</v>
      </c>
      <c r="B58" s="44"/>
      <c r="C58" s="128">
        <v>276200.55</v>
      </c>
      <c r="D58" s="51"/>
      <c r="E58" s="51"/>
      <c r="F58" s="51"/>
      <c r="G58" s="51"/>
      <c r="H58" s="44"/>
      <c r="I58" s="249"/>
      <c r="J58" s="249"/>
    </row>
    <row r="59" spans="1:10" ht="15.75" customHeight="1" x14ac:dyDescent="0.25">
      <c r="A59" s="38"/>
      <c r="B59" s="89"/>
      <c r="C59" s="40"/>
      <c r="D59" s="38"/>
      <c r="E59" s="38"/>
      <c r="F59" s="38"/>
      <c r="G59" s="38"/>
      <c r="H59" s="88"/>
      <c r="I59" s="129"/>
      <c r="J59" s="129"/>
    </row>
    <row r="60" spans="1:10" ht="15.75" customHeight="1" x14ac:dyDescent="0.25">
      <c r="A60" s="130"/>
      <c r="B60" s="131" t="s">
        <v>38</v>
      </c>
      <c r="D60" s="1"/>
      <c r="E60" s="38"/>
      <c r="F60" s="38"/>
      <c r="G60" s="38"/>
      <c r="H60" s="132"/>
      <c r="I60" s="1"/>
      <c r="J60" s="1"/>
    </row>
    <row r="61" spans="1:10" ht="15.75" customHeight="1" x14ac:dyDescent="0.25">
      <c r="A61" s="342" t="s">
        <v>2</v>
      </c>
      <c r="B61" s="343" t="s">
        <v>39</v>
      </c>
      <c r="C61" s="344" t="s">
        <v>4</v>
      </c>
      <c r="D61" s="345" t="s">
        <v>5</v>
      </c>
      <c r="E61" s="346" t="s">
        <v>6</v>
      </c>
      <c r="F61" s="347" t="s">
        <v>7</v>
      </c>
      <c r="G61" s="259" t="s">
        <v>8</v>
      </c>
      <c r="H61" s="348" t="s">
        <v>9</v>
      </c>
      <c r="I61" s="349" t="s">
        <v>10</v>
      </c>
      <c r="J61" s="350" t="s">
        <v>40</v>
      </c>
    </row>
    <row r="62" spans="1:10" ht="15.75" customHeight="1" x14ac:dyDescent="0.25">
      <c r="A62" s="236"/>
      <c r="B62" s="260"/>
      <c r="C62" s="261"/>
      <c r="D62" s="262"/>
      <c r="E62" s="48"/>
      <c r="F62" s="48"/>
      <c r="G62" s="351"/>
      <c r="H62" s="352"/>
      <c r="I62" s="352"/>
      <c r="J62" s="386"/>
    </row>
    <row r="63" spans="1:10" ht="15.75" customHeight="1" x14ac:dyDescent="0.25">
      <c r="A63" s="236"/>
      <c r="B63" s="260"/>
      <c r="C63" s="261"/>
      <c r="D63" s="262"/>
      <c r="E63" s="48"/>
      <c r="F63" s="48"/>
      <c r="G63" s="351"/>
      <c r="H63" s="352"/>
      <c r="I63" s="352"/>
      <c r="J63" s="387"/>
    </row>
    <row r="64" spans="1:10" ht="15.75" customHeight="1" x14ac:dyDescent="0.25">
      <c r="A64" s="236"/>
      <c r="B64" s="260"/>
      <c r="C64" s="261"/>
      <c r="D64" s="262"/>
      <c r="E64" s="48"/>
      <c r="F64" s="48"/>
      <c r="G64" s="351"/>
      <c r="H64" s="352"/>
      <c r="I64" s="352"/>
      <c r="J64" s="353"/>
    </row>
    <row r="65" spans="1:10" ht="15.75" customHeight="1" x14ac:dyDescent="0.25">
      <c r="A65" s="236"/>
      <c r="B65" s="260"/>
      <c r="C65" s="261"/>
      <c r="D65" s="262"/>
      <c r="E65" s="48"/>
      <c r="F65" s="48"/>
      <c r="G65" s="351"/>
      <c r="H65" s="352"/>
      <c r="I65" s="352"/>
      <c r="J65" s="354"/>
    </row>
    <row r="66" spans="1:10" ht="15.75" customHeight="1" x14ac:dyDescent="0.25">
      <c r="A66" s="236"/>
      <c r="B66" s="236"/>
      <c r="C66" s="261"/>
      <c r="D66" s="262"/>
      <c r="E66" s="48"/>
      <c r="F66" s="48"/>
      <c r="G66" s="351"/>
      <c r="H66" s="352"/>
      <c r="I66" s="352"/>
      <c r="J66" s="365"/>
    </row>
    <row r="67" spans="1:10" ht="15.75" customHeight="1" x14ac:dyDescent="0.25">
      <c r="A67" s="236"/>
      <c r="B67" s="260"/>
      <c r="C67" s="261"/>
      <c r="D67" s="262"/>
      <c r="E67" s="48"/>
      <c r="F67" s="48"/>
      <c r="G67" s="351"/>
      <c r="H67" s="352"/>
      <c r="I67" s="352"/>
      <c r="J67" s="386"/>
    </row>
    <row r="68" spans="1:10" ht="15.75" customHeight="1" x14ac:dyDescent="0.25">
      <c r="A68" s="236"/>
      <c r="B68" s="236"/>
      <c r="C68" s="261"/>
      <c r="D68" s="262"/>
      <c r="E68" s="48"/>
      <c r="F68" s="48"/>
      <c r="G68" s="351"/>
      <c r="H68" s="352"/>
      <c r="I68" s="352"/>
      <c r="J68" s="387"/>
    </row>
    <row r="69" spans="1:10" ht="15.75" customHeight="1" x14ac:dyDescent="0.25">
      <c r="A69" s="355"/>
      <c r="B69" s="356"/>
      <c r="C69" s="357"/>
      <c r="D69" s="358"/>
      <c r="E69" s="359"/>
      <c r="F69" s="360"/>
      <c r="G69" s="361"/>
      <c r="H69" s="362"/>
      <c r="I69" s="363"/>
      <c r="J69" s="155"/>
    </row>
    <row r="70" spans="1:10" ht="15.75" customHeight="1" x14ac:dyDescent="0.25">
      <c r="A70" s="156"/>
      <c r="B70" s="157"/>
      <c r="C70" s="165"/>
      <c r="D70" s="147"/>
      <c r="E70" s="166"/>
      <c r="F70" s="149"/>
      <c r="G70" s="162"/>
      <c r="H70" s="150"/>
      <c r="I70" s="164"/>
      <c r="J70" s="155"/>
    </row>
    <row r="71" spans="1:10" ht="15.75" customHeight="1" x14ac:dyDescent="0.25">
      <c r="A71" s="156"/>
      <c r="B71" s="157"/>
      <c r="C71" s="165"/>
      <c r="D71" s="147"/>
      <c r="E71" s="166"/>
      <c r="F71" s="149"/>
      <c r="G71" s="162"/>
      <c r="H71" s="150"/>
      <c r="I71" s="164"/>
      <c r="J71" s="155"/>
    </row>
    <row r="72" spans="1:10" ht="15.75" customHeight="1" x14ac:dyDescent="0.25">
      <c r="A72" s="156"/>
      <c r="B72" s="157"/>
      <c r="C72" s="165"/>
      <c r="D72" s="147"/>
      <c r="E72" s="166"/>
      <c r="F72" s="149"/>
      <c r="G72" s="162"/>
      <c r="H72" s="150"/>
      <c r="I72" s="164"/>
      <c r="J72" s="155"/>
    </row>
    <row r="73" spans="1:10" ht="15.75" customHeight="1" x14ac:dyDescent="0.25">
      <c r="A73" s="156"/>
      <c r="B73" s="157"/>
      <c r="C73" s="165"/>
      <c r="D73" s="147"/>
      <c r="E73" s="166"/>
      <c r="F73" s="149"/>
      <c r="G73" s="162"/>
      <c r="H73" s="150"/>
      <c r="I73" s="164"/>
      <c r="J73" s="155"/>
    </row>
    <row r="74" spans="1:10" ht="15.75" customHeight="1" x14ac:dyDescent="0.25">
      <c r="A74" s="167"/>
      <c r="B74" s="168"/>
      <c r="C74" s="169"/>
      <c r="D74" s="170"/>
      <c r="E74" s="171"/>
      <c r="F74" s="172"/>
      <c r="G74" s="173"/>
      <c r="H74" s="174"/>
      <c r="I74" s="175"/>
      <c r="J74" s="155"/>
    </row>
    <row r="75" spans="1:10" ht="15.75" customHeight="1" x14ac:dyDescent="0.25">
      <c r="A75" s="176"/>
      <c r="B75" s="157"/>
      <c r="C75" s="177"/>
      <c r="D75" s="178"/>
      <c r="E75" s="160"/>
      <c r="F75" s="161"/>
      <c r="G75" s="179">
        <f t="shared" ref="G75:G76" si="5">D75*F75</f>
        <v>0</v>
      </c>
      <c r="H75" s="180"/>
      <c r="I75" s="180">
        <f t="shared" ref="I75:I76" si="6">F75*H75*E75</f>
        <v>0</v>
      </c>
      <c r="J75" s="181"/>
    </row>
    <row r="76" spans="1:10" ht="15.75" customHeight="1" x14ac:dyDescent="0.25">
      <c r="A76" s="176"/>
      <c r="B76" s="157"/>
      <c r="C76" s="182"/>
      <c r="D76" s="183"/>
      <c r="E76" s="184"/>
      <c r="F76" s="183"/>
      <c r="G76" s="179">
        <f t="shared" si="5"/>
        <v>0</v>
      </c>
      <c r="H76" s="185"/>
      <c r="I76" s="180">
        <f t="shared" si="6"/>
        <v>0</v>
      </c>
      <c r="J76" s="181"/>
    </row>
    <row r="77" spans="1:10" ht="15.75" customHeight="1" x14ac:dyDescent="0.25">
      <c r="A77" s="186" t="s">
        <v>37</v>
      </c>
      <c r="B77" s="187"/>
      <c r="C77" s="188"/>
      <c r="D77" s="189"/>
      <c r="E77" s="190">
        <f>SUM(E62:E76)</f>
        <v>0</v>
      </c>
      <c r="F77" s="191">
        <f>SUM(F62:F74)</f>
        <v>0</v>
      </c>
      <c r="G77" s="192">
        <f>SUM(G62:G69)</f>
        <v>0</v>
      </c>
      <c r="H77" s="193"/>
      <c r="I77" s="193">
        <f>SUM(I62:I70)</f>
        <v>0</v>
      </c>
      <c r="J77" s="194"/>
    </row>
    <row r="78" spans="1:10" ht="15.75" customHeight="1" x14ac:dyDescent="0.25">
      <c r="A78" s="1"/>
      <c r="B78" s="89"/>
      <c r="C78" s="40"/>
      <c r="D78" s="38"/>
      <c r="E78" s="38"/>
      <c r="F78" s="38"/>
      <c r="G78" s="38"/>
      <c r="H78" s="1"/>
      <c r="I78" s="1"/>
      <c r="J78" s="1"/>
    </row>
    <row r="79" spans="1:10" ht="15.75" customHeight="1" x14ac:dyDescent="0.25">
      <c r="A79" s="195" t="s">
        <v>41</v>
      </c>
      <c r="B79" s="196" t="s">
        <v>42</v>
      </c>
      <c r="C79" s="197" t="s">
        <v>43</v>
      </c>
      <c r="D79" s="38"/>
      <c r="E79" s="38"/>
      <c r="F79" s="38"/>
      <c r="G79" s="38"/>
      <c r="H79" s="1"/>
      <c r="I79" s="1"/>
      <c r="J79" s="1"/>
    </row>
    <row r="80" spans="1:10" ht="15.75" customHeight="1" x14ac:dyDescent="0.25">
      <c r="A80" s="198"/>
      <c r="B80" s="199">
        <f>E13+G77</f>
        <v>36</v>
      </c>
      <c r="C80" s="200">
        <f>I13+H77+I77</f>
        <v>2880</v>
      </c>
      <c r="D80" s="38"/>
      <c r="E80" s="38"/>
      <c r="F80" s="38"/>
      <c r="G80" s="38"/>
      <c r="H80" s="1"/>
      <c r="I80" s="1"/>
      <c r="J80" s="1"/>
    </row>
    <row r="81" spans="1:10" ht="15.75" customHeight="1" x14ac:dyDescent="0.25">
      <c r="A81" s="378" t="s">
        <v>44</v>
      </c>
      <c r="B81" s="376"/>
      <c r="C81" s="376"/>
      <c r="D81" s="376"/>
      <c r="E81" s="376"/>
      <c r="F81" s="376"/>
      <c r="G81" s="376"/>
      <c r="H81" s="376"/>
      <c r="I81" s="286"/>
      <c r="J81" s="53"/>
    </row>
    <row r="82" spans="1:10" ht="15.75" customHeight="1" x14ac:dyDescent="0.25">
      <c r="A82" s="202" t="s">
        <v>2</v>
      </c>
      <c r="B82" s="203" t="s">
        <v>45</v>
      </c>
      <c r="C82" s="204" t="s">
        <v>130</v>
      </c>
      <c r="D82" s="205" t="s">
        <v>4</v>
      </c>
      <c r="E82" s="206" t="s">
        <v>47</v>
      </c>
      <c r="F82" s="207" t="s">
        <v>48</v>
      </c>
      <c r="G82" s="206" t="s">
        <v>10</v>
      </c>
      <c r="H82" s="287" t="s">
        <v>49</v>
      </c>
      <c r="I82" s="286"/>
      <c r="J82" s="53"/>
    </row>
    <row r="83" spans="1:10" ht="15.75" customHeight="1" x14ac:dyDescent="0.25">
      <c r="A83" s="208" t="s">
        <v>131</v>
      </c>
      <c r="B83" s="55" t="s">
        <v>76</v>
      </c>
      <c r="C83" s="58" t="s">
        <v>202</v>
      </c>
      <c r="D83" s="219"/>
      <c r="E83" s="313" t="s">
        <v>261</v>
      </c>
      <c r="F83" s="57">
        <v>14000</v>
      </c>
      <c r="G83" s="211">
        <v>14000</v>
      </c>
      <c r="H83" s="301" t="s">
        <v>381</v>
      </c>
      <c r="I83" s="286"/>
      <c r="J83" s="53"/>
    </row>
    <row r="84" spans="1:10" ht="15.75" customHeight="1" x14ac:dyDescent="0.25">
      <c r="A84" s="208"/>
      <c r="B84" s="55"/>
      <c r="C84" s="58"/>
      <c r="D84" s="219"/>
      <c r="E84" s="210"/>
      <c r="F84" s="57"/>
      <c r="G84" s="211"/>
      <c r="H84" s="301"/>
      <c r="I84" s="311"/>
      <c r="J84" s="53"/>
    </row>
    <row r="85" spans="1:10" ht="15.75" customHeight="1" x14ac:dyDescent="0.25">
      <c r="A85" s="208"/>
      <c r="B85" s="55"/>
      <c r="C85" s="58"/>
      <c r="D85" s="219"/>
      <c r="E85" s="210"/>
      <c r="F85" s="216"/>
      <c r="G85" s="211"/>
      <c r="H85" s="301"/>
      <c r="I85" s="1"/>
      <c r="J85" s="1"/>
    </row>
    <row r="86" spans="1:10" ht="15.75" customHeight="1" x14ac:dyDescent="0.25">
      <c r="A86" s="208"/>
      <c r="B86" s="55"/>
      <c r="C86" s="58"/>
      <c r="D86" s="215"/>
      <c r="E86" s="269"/>
      <c r="F86" s="216"/>
      <c r="G86" s="211"/>
      <c r="H86" s="212"/>
      <c r="I86" s="1"/>
      <c r="J86" s="1"/>
    </row>
    <row r="87" spans="1:10" ht="15.75" customHeight="1" x14ac:dyDescent="0.25">
      <c r="A87" s="208"/>
      <c r="B87" s="55"/>
      <c r="C87" s="58"/>
      <c r="D87" s="219"/>
      <c r="E87" s="269"/>
      <c r="F87" s="216"/>
      <c r="G87" s="211"/>
      <c r="H87" s="212"/>
      <c r="I87" s="1"/>
      <c r="J87" s="1"/>
    </row>
    <row r="88" spans="1:10" ht="15.75" customHeight="1" x14ac:dyDescent="0.25">
      <c r="A88" s="208"/>
      <c r="B88" s="55"/>
      <c r="C88" s="58"/>
      <c r="D88" s="219"/>
      <c r="E88" s="220"/>
      <c r="F88" s="216"/>
      <c r="G88" s="211"/>
      <c r="H88" s="212"/>
      <c r="I88" s="1"/>
      <c r="J88" s="1"/>
    </row>
    <row r="89" spans="1:10" ht="15.75" customHeight="1" x14ac:dyDescent="0.25">
      <c r="A89" s="213"/>
      <c r="B89" s="55"/>
      <c r="C89" s="214"/>
      <c r="D89" s="219"/>
      <c r="E89" s="220"/>
      <c r="F89" s="216"/>
      <c r="G89" s="211">
        <f t="shared" ref="G89:G90" si="7">F89</f>
        <v>0</v>
      </c>
      <c r="H89" s="212"/>
      <c r="I89" s="1"/>
      <c r="J89" s="1"/>
    </row>
    <row r="90" spans="1:10" ht="15.75" customHeight="1" x14ac:dyDescent="0.25">
      <c r="A90" s="213"/>
      <c r="B90" s="55"/>
      <c r="C90" s="214"/>
      <c r="D90" s="219"/>
      <c r="E90" s="220"/>
      <c r="F90" s="216"/>
      <c r="G90" s="211">
        <f t="shared" si="7"/>
        <v>0</v>
      </c>
      <c r="H90" s="221"/>
      <c r="I90" s="1"/>
      <c r="J90" s="1"/>
    </row>
    <row r="91" spans="1:10" ht="15.75" customHeight="1" x14ac:dyDescent="0.25">
      <c r="A91" s="222" t="s">
        <v>37</v>
      </c>
      <c r="B91" s="223"/>
      <c r="C91" s="224"/>
      <c r="D91" s="225"/>
      <c r="E91" s="226">
        <f>SUM(E83:E90)</f>
        <v>0</v>
      </c>
      <c r="F91" s="227"/>
      <c r="G91" s="228">
        <f>SUM(G83:G90)</f>
        <v>14000</v>
      </c>
      <c r="H91" s="228"/>
      <c r="I91" s="1"/>
      <c r="J91" s="1"/>
    </row>
    <row r="92" spans="1:10" ht="15.75" customHeight="1" x14ac:dyDescent="0.25">
      <c r="A92" s="38"/>
      <c r="B92" s="89"/>
      <c r="C92" s="40"/>
      <c r="D92" s="38"/>
      <c r="E92" s="38"/>
      <c r="F92" s="38"/>
      <c r="G92" s="38"/>
      <c r="H92" s="38"/>
      <c r="I92" s="1"/>
      <c r="J92" s="1"/>
    </row>
    <row r="93" spans="1:10" ht="15.75" customHeight="1" x14ac:dyDescent="0.25">
      <c r="A93" s="369" t="s">
        <v>50</v>
      </c>
      <c r="B93" s="370"/>
      <c r="C93" s="370"/>
      <c r="D93" s="370"/>
      <c r="E93" s="370"/>
      <c r="F93" s="370"/>
      <c r="G93" s="370"/>
      <c r="H93" s="370"/>
      <c r="I93" s="229"/>
      <c r="J93" s="1"/>
    </row>
    <row r="94" spans="1:10" ht="15.75" customHeight="1" x14ac:dyDescent="0.25">
      <c r="A94" s="202" t="s">
        <v>2</v>
      </c>
      <c r="B94" s="230" t="s">
        <v>45</v>
      </c>
      <c r="C94" s="231" t="s">
        <v>4</v>
      </c>
      <c r="D94" s="232" t="s">
        <v>51</v>
      </c>
      <c r="E94" s="232" t="s">
        <v>48</v>
      </c>
      <c r="F94" s="232" t="s">
        <v>10</v>
      </c>
      <c r="G94" s="206" t="s">
        <v>52</v>
      </c>
      <c r="H94" s="206"/>
      <c r="I94" s="1"/>
      <c r="J94" s="1"/>
    </row>
    <row r="95" spans="1:10" ht="15.75" customHeight="1" x14ac:dyDescent="0.25">
      <c r="A95" s="270"/>
      <c r="B95" s="271"/>
      <c r="C95" s="235"/>
      <c r="D95" s="236"/>
      <c r="E95" s="272"/>
      <c r="F95" s="273"/>
      <c r="G95" s="239"/>
      <c r="H95" s="240"/>
      <c r="I95" s="1"/>
      <c r="J95" s="1"/>
    </row>
    <row r="96" spans="1:10" ht="15.75" customHeight="1" x14ac:dyDescent="0.25">
      <c r="A96" s="241"/>
      <c r="B96" s="242"/>
      <c r="C96" s="243"/>
      <c r="D96" s="244"/>
      <c r="E96" s="245"/>
      <c r="F96" s="246"/>
      <c r="G96" s="247"/>
      <c r="H96" s="248"/>
      <c r="I96" s="1"/>
      <c r="J96" s="1"/>
    </row>
    <row r="97" spans="1:10" ht="15.75" customHeight="1" x14ac:dyDescent="0.25">
      <c r="A97" s="249"/>
      <c r="B97" s="250"/>
      <c r="C97" s="249"/>
      <c r="D97" s="249"/>
      <c r="E97" s="249"/>
      <c r="F97" s="246"/>
      <c r="G97" s="249"/>
      <c r="H97" s="249"/>
      <c r="I97" s="1"/>
      <c r="J97" s="1"/>
    </row>
    <row r="98" spans="1:10" ht="15.75" customHeight="1" x14ac:dyDescent="0.25">
      <c r="A98" s="241"/>
      <c r="B98" s="250"/>
      <c r="C98" s="249"/>
      <c r="D98" s="251"/>
      <c r="E98" s="249"/>
      <c r="F98" s="252"/>
      <c r="G98" s="249"/>
      <c r="H98" s="249"/>
      <c r="I98" s="1"/>
      <c r="J98" s="1"/>
    </row>
    <row r="99" spans="1:10" ht="15.75" customHeight="1" x14ac:dyDescent="0.25">
      <c r="A99" s="1"/>
      <c r="B99" s="253"/>
      <c r="C99" s="1"/>
      <c r="D99" s="1"/>
      <c r="E99" s="1"/>
      <c r="F99" s="254"/>
      <c r="G99" s="1"/>
      <c r="H99" s="1"/>
      <c r="I99" s="255"/>
      <c r="J99" s="256"/>
    </row>
    <row r="100" spans="1:10" ht="15.75" customHeight="1" x14ac:dyDescent="0.25"/>
    <row r="101" spans="1:10" ht="15.75" customHeight="1" x14ac:dyDescent="0.25"/>
    <row r="102" spans="1:10" ht="15.75" customHeight="1" x14ac:dyDescent="0.25"/>
    <row r="103" spans="1:10" ht="15.75" customHeight="1" x14ac:dyDescent="0.25"/>
    <row r="104" spans="1:10" ht="15.75" customHeight="1" x14ac:dyDescent="0.25"/>
    <row r="105" spans="1:10" ht="15.75" customHeight="1" x14ac:dyDescent="0.25"/>
    <row r="106" spans="1:10" ht="15.75" customHeight="1" x14ac:dyDescent="0.25"/>
    <row r="107" spans="1:10" ht="15.75" customHeight="1" x14ac:dyDescent="0.25"/>
    <row r="108" spans="1:10" ht="15.75" customHeight="1" x14ac:dyDescent="0.25"/>
    <row r="109" spans="1:10" ht="15.75" customHeight="1" x14ac:dyDescent="0.25"/>
    <row r="110" spans="1:10" ht="15.75" customHeight="1" x14ac:dyDescent="0.25"/>
    <row r="111" spans="1:10" ht="15.75" customHeight="1" x14ac:dyDescent="0.25"/>
    <row r="112" spans="1:10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J67:J68"/>
    <mergeCell ref="A81:H81"/>
    <mergeCell ref="A93:H93"/>
    <mergeCell ref="A1:J1"/>
    <mergeCell ref="A2:J2"/>
    <mergeCell ref="A18:H18"/>
    <mergeCell ref="A38:H38"/>
    <mergeCell ref="I40:J40"/>
    <mergeCell ref="I41:J41"/>
    <mergeCell ref="J62:J6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D56E-1AE5-4313-8C95-FCDFBCFB87A9}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26.04-28.04</vt:lpstr>
      <vt:lpstr>29.04.</vt:lpstr>
      <vt:lpstr>30.04.-04.05.</vt:lpstr>
      <vt:lpstr>05.05.</vt:lpstr>
      <vt:lpstr>06.05.</vt:lpstr>
      <vt:lpstr>07.05</vt:lpstr>
      <vt:lpstr>08.05.</vt:lpstr>
      <vt:lpstr>09.05.-11.05.</vt:lpstr>
      <vt:lpstr>12.05.</vt:lpstr>
      <vt:lpstr>13.05.</vt:lpstr>
      <vt:lpstr>14.05.</vt:lpstr>
      <vt:lpstr>15.05.</vt:lpstr>
      <vt:lpstr>16.05.-18.05.</vt:lpstr>
      <vt:lpstr>19.05.</vt:lpstr>
      <vt:lpstr>20.05.</vt:lpstr>
      <vt:lpstr>22.05.</vt:lpstr>
      <vt:lpstr>21.05.</vt:lpstr>
      <vt:lpstr>23.05.-25.05.</vt:lpstr>
      <vt:lpstr>26.05.</vt:lpstr>
      <vt:lpstr>27.05.</vt:lpstr>
      <vt:lpstr>28.05.</vt:lpstr>
      <vt:lpstr>29.05. </vt:lpstr>
      <vt:lpstr>30.01.-01.06.</vt:lpstr>
      <vt:lpstr>02.06.2025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Fromtech</cp:lastModifiedBy>
  <dcterms:modified xsi:type="dcterms:W3CDTF">2025-07-14T12:30:05Z</dcterms:modified>
</cp:coreProperties>
</file>