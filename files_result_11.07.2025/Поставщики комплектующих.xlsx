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7ADE5935-C2AD-4F5E-8FBF-FA9A4D190A45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ООО 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1" l="1"/>
  <c r="E31" i="11"/>
  <c r="E30" i="11"/>
  <c r="I29" i="11"/>
  <c r="I30" i="11"/>
  <c r="I31" i="11" s="1"/>
  <c r="I32" i="11" s="1"/>
  <c r="I33" i="11" s="1"/>
  <c r="I34" i="11" s="1"/>
  <c r="G35" i="11"/>
  <c r="E35" i="11"/>
  <c r="I35" i="11" s="1"/>
  <c r="E29" i="11"/>
  <c r="E28" i="11"/>
  <c r="E27" i="11"/>
  <c r="E26" i="11"/>
  <c r="E25" i="11"/>
  <c r="E24" i="11"/>
  <c r="E21" i="22"/>
  <c r="E23" i="11"/>
  <c r="E10" i="22"/>
  <c r="E11" i="22"/>
  <c r="E12" i="22"/>
  <c r="E13" i="22"/>
  <c r="E14" i="22"/>
  <c r="E15" i="22"/>
  <c r="E16" i="22"/>
  <c r="E17" i="22"/>
  <c r="E18" i="22"/>
  <c r="E19" i="22"/>
  <c r="E20" i="22"/>
  <c r="E16" i="12"/>
  <c r="E17" i="12"/>
  <c r="E18" i="12"/>
  <c r="E19" i="12"/>
  <c r="E20" i="12"/>
  <c r="E21" i="12"/>
  <c r="E15" i="19"/>
  <c r="E16" i="19"/>
  <c r="E17" i="19"/>
  <c r="E18" i="19"/>
  <c r="E19" i="19"/>
  <c r="E20" i="19"/>
  <c r="E21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24" i="4"/>
  <c r="E25" i="4"/>
  <c r="E26" i="4"/>
  <c r="E27" i="4"/>
  <c r="E28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E4" i="11" l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<sst xmlns="http://schemas.openxmlformats.org/spreadsheetml/2006/main" count="286" uniqueCount="77">
  <si>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</si>
  <si>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</si>
  <si>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</si>
  <si>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</si>
  <si>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</si>
  <si>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</si>
  <si>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</si>
  <si>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</si>
  <si>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</si>
  <si>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</si>
  <si>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</si>
  <si>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</si>
  <si>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</si>
  <si>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</si>
  <si>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</si>
  <si>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</si>
  <si>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</si>
  <si>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</si>
  <si>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</si>
  <si>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</si>
  <si>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</si>
  <si>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</si>
  <si>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</si>
  <si>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</si>
  <si>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</si>
  <si>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</si>
  <si>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</si>
  <si>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</si>
  <si>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</si>
  <si>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</si>
  <si>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</si>
  <si>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</si>
  <si>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</si>
  <si>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</si>
  <si>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</si>
  <si>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</si>
  <si>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</si>
  <si>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</si>
  <si>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</si>
  <si>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</si>
  <si>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</si>
  <si>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</si>
  <si>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</si>
  <si>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</si>
  <si>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</si>
  <si>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</si>
  <si>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</si>
  <si>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</si>
  <si>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</si>
  <si>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</si>
  <si>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</si>
  <si>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</si>
  <si>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</si>
  <si>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</si>
  <si>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</si>
  <si>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</si>
  <si>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</si>
  <si>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</si>
  <si>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</si>
  <si>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</si>
  <si>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</si>
  <si>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</si>
  <si>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</si>
  <si>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</si>
  <si>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</si>
  <si>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</si>
  <si>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</si>
  <si>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</si>
  <si>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</si>
  <si>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</si>
  <si>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</si>
  <si>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</si>
  <si>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</si>
  <si>
    <t>02.06.2025</t>
  </si>
  <si>
    <t>20.05.2025</t>
  </si>
  <si>
    <t xml:space="preserve">Пленка для  упаковки фисташки "Тарелка" БОПП 20 мкм проз.,310*170 мм </t>
  </si>
  <si>
    <t xml:space="preserve">гофрокороб 460*340*130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</si>
</sst>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6" fillId="0" borderId="1" xfId="0" applyFont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" fillId="0" borderId="1" xfId="0" applyFont="1" applyBorder="1" applyAlignment="1">
      <alignment horizontal="left"/>
    </xf>
    <xf numFmtId="4" fontId="12" fillId="5" borderId="3" xfId="0" applyNumberFormat="1" applyFont="1" applyFill="1" applyBorder="1" applyAlignment="1">
      <alignment horizontal="left" vertical="center"/>
    </xf>
    <xf numFmtId="2" fontId="6" fillId="5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vertical="center" wrapText="1"/>
    </xf>
    <xf numFmtId="0" fontId="3" fillId="0" borderId="5" xfId="0" applyFont="1" applyBorder="1"/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5" xfId="0" applyFont="1" applyBorder="1"/>
    <xf numFmtId="164" fontId="1" fillId="0" borderId="5" xfId="0" applyNumberFormat="1" applyFont="1" applyBorder="1"/>
    <xf numFmtId="2" fontId="1" fillId="0" borderId="5" xfId="0" applyNumberFormat="1" applyFont="1" applyBorder="1" applyAlignment="1">
      <alignment vertical="center"/>
    </xf>
    <xf numFmtId="16" fontId="1" fillId="0" borderId="5" xfId="0" applyNumberFormat="1" applyFont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vertical="center" wrapText="1"/>
    </xf>
    <xf numFmtId="2" fontId="2" fillId="3" borderId="5" xfId="0" applyNumberFormat="1" applyFont="1" applyFill="1" applyBorder="1" applyAlignment="1">
      <alignment vertical="center"/>
    </xf>
    <xf numFmtId="164" fontId="2" fillId="3" borderId="5" xfId="0" applyNumberFormat="1" applyFont="1" applyFill="1" applyBorder="1" applyAlignment="1">
      <alignment vertical="center"/>
    </xf>
    <xf numFmtId="164" fontId="2" fillId="3" borderId="5" xfId="0" applyNumberFormat="1" applyFont="1" applyFill="1" applyBorder="1"/>
    <xf numFmtId="16" fontId="1" fillId="0" borderId="5" xfId="0" applyNumberFormat="1" applyFont="1" applyBorder="1" applyAlignment="1">
      <alignment vertical="center"/>
    </xf>
    <xf numFmtId="16" fontId="2" fillId="3" borderId="5" xfId="0" applyNumberFormat="1" applyFont="1" applyFill="1" applyBorder="1"/>
    <xf numFmtId="164" fontId="8" fillId="0" borderId="5" xfId="0" applyNumberFormat="1" applyFont="1" applyBorder="1"/>
    <xf numFmtId="16" fontId="1" fillId="3" borderId="5" xfId="0" applyNumberFormat="1" applyFont="1" applyFill="1" applyBorder="1" applyAlignment="1">
      <alignment vertical="center"/>
    </xf>
    <xf numFmtId="0" fontId="9" fillId="3" borderId="5" xfId="0" applyFont="1" applyFill="1" applyBorder="1" applyAlignment="1">
      <alignment vertical="center" wrapText="1"/>
    </xf>
    <xf numFmtId="2" fontId="1" fillId="3" borderId="5" xfId="0" applyNumberFormat="1" applyFont="1" applyFill="1" applyBorder="1" applyAlignment="1">
      <alignment vertical="center"/>
    </xf>
    <xf numFmtId="164" fontId="1" fillId="3" borderId="5" xfId="0" applyNumberFormat="1" applyFont="1" applyFill="1" applyBorder="1" applyAlignment="1">
      <alignment vertical="center"/>
    </xf>
    <xf numFmtId="0" fontId="1" fillId="3" borderId="5" xfId="0" applyFont="1" applyFill="1" applyBorder="1"/>
    <xf numFmtId="2" fontId="10" fillId="3" borderId="5" xfId="0" applyNumberFormat="1" applyFont="1" applyFill="1" applyBorder="1" applyAlignment="1">
      <alignment vertical="center"/>
    </xf>
    <xf numFmtId="164" fontId="10" fillId="3" borderId="5" xfId="0" applyNumberFormat="1" applyFont="1" applyFill="1" applyBorder="1" applyAlignment="1">
      <alignment vertical="center"/>
    </xf>
    <xf numFmtId="0" fontId="1" fillId="0" borderId="6" xfId="0" applyFont="1" applyBorder="1"/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164" fontId="1" fillId="0" borderId="6" xfId="0" applyNumberFormat="1" applyFont="1" applyBorder="1"/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23" t="s">
        <v>12</v>
      </c>
      <c r="B5" s="23"/>
      <c r="C5" s="23"/>
      <c r="D5" s="25"/>
      <c r="E5" s="25">
        <f t="shared" si="0"/>
        <v>0</v>
      </c>
      <c r="F5" s="23"/>
      <c r="G5" s="25"/>
      <c r="H5" s="23"/>
      <c r="I5" s="25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5"/>
    <col min="5" max="5" width="14.42578125" style="35" bestFit="1" customWidth="1"/>
    <col min="6" max="6" width="8.85546875" style="14"/>
    <col min="7" max="7" width="14.42578125" style="35" bestFit="1" customWidth="1"/>
    <col min="8" max="8" width="8.85546875" style="14"/>
    <col min="9" max="9" width="15.28515625" style="35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4" t="s">
        <v>12</v>
      </c>
      <c r="B2" s="3"/>
      <c r="C2" s="13"/>
      <c r="D2" s="21"/>
      <c r="E2" s="21"/>
      <c r="F2" s="13"/>
      <c r="G2" s="21"/>
      <c r="H2" s="13"/>
      <c r="I2" s="21">
        <v>0</v>
      </c>
    </row>
    <row r="3" spans="1:9" x14ac:dyDescent="0.25">
      <c r="A3" s="12">
        <v>45674</v>
      </c>
      <c r="B3" s="3" t="s">
        <v>13</v>
      </c>
      <c r="C3" s="20">
        <v>59760</v>
      </c>
      <c r="D3" s="21">
        <v>4.95</v>
      </c>
      <c r="E3" s="21">
        <f>C3*D3</f>
        <v>295812</v>
      </c>
      <c r="F3" s="12"/>
      <c r="G3" s="21"/>
      <c r="H3" s="13"/>
      <c r="I3" s="21">
        <f>I2-E3+G3</f>
        <v>-295812</v>
      </c>
    </row>
    <row r="4" spans="1:9" ht="31.5" x14ac:dyDescent="0.25">
      <c r="A4" s="12">
        <v>45686</v>
      </c>
      <c r="B4" s="28" t="s">
        <v>14</v>
      </c>
      <c r="C4" s="20">
        <v>250</v>
      </c>
      <c r="D4" s="21">
        <v>36.200000000000003</v>
      </c>
      <c r="E4" s="21">
        <f t="shared" ref="E4:E21" si="0">C4*D4</f>
        <v>9050</v>
      </c>
      <c r="F4" s="13"/>
      <c r="G4" s="21"/>
      <c r="H4" s="13"/>
      <c r="I4" s="21">
        <f t="shared" ref="I4:I21" si="1">I3-E4+G4</f>
        <v>-304862</v>
      </c>
    </row>
    <row r="5" spans="1:9" x14ac:dyDescent="0.25">
      <c r="A5" s="45" t="s">
        <v>15</v>
      </c>
      <c r="B5" s="23"/>
      <c r="C5" s="45"/>
      <c r="D5" s="34"/>
      <c r="E5" s="34">
        <f t="shared" si="0"/>
        <v>0</v>
      </c>
      <c r="F5" s="45"/>
      <c r="G5" s="34"/>
      <c r="H5" s="45"/>
      <c r="I5" s="34">
        <f t="shared" si="1"/>
        <v>-304862</v>
      </c>
    </row>
    <row r="6" spans="1:9" ht="31.5" x14ac:dyDescent="0.25">
      <c r="A6" s="12">
        <v>45757</v>
      </c>
      <c r="B6" s="28" t="s">
        <v>14</v>
      </c>
      <c r="C6" s="20">
        <v>500</v>
      </c>
      <c r="D6" s="21">
        <v>33</v>
      </c>
      <c r="E6" s="21">
        <f t="shared" si="0"/>
        <v>16500</v>
      </c>
      <c r="F6" s="13"/>
      <c r="G6" s="21"/>
      <c r="H6" s="13"/>
      <c r="I6" s="21">
        <f t="shared" si="1"/>
        <v>-321362</v>
      </c>
    </row>
    <row r="7" spans="1:9" ht="31.5" x14ac:dyDescent="0.25">
      <c r="A7" s="12">
        <v>45763</v>
      </c>
      <c r="B7" s="28" t="s">
        <v>14</v>
      </c>
      <c r="C7" s="20">
        <v>500</v>
      </c>
      <c r="D7" s="21">
        <v>33</v>
      </c>
      <c r="E7" s="21">
        <f t="shared" si="0"/>
        <v>16500</v>
      </c>
      <c r="F7" s="13"/>
      <c r="G7" s="21"/>
      <c r="H7" s="13"/>
      <c r="I7" s="21">
        <f t="shared" si="1"/>
        <v>-337862</v>
      </c>
    </row>
    <row r="8" spans="1:9" x14ac:dyDescent="0.25">
      <c r="A8" s="13"/>
      <c r="B8" s="3"/>
      <c r="C8" s="20"/>
      <c r="D8" s="21"/>
      <c r="E8" s="21">
        <f t="shared" si="0"/>
        <v>0</v>
      </c>
      <c r="F8" s="13"/>
      <c r="G8" s="21"/>
      <c r="H8" s="13"/>
      <c r="I8" s="21">
        <f t="shared" si="1"/>
        <v>-337862</v>
      </c>
    </row>
    <row r="9" spans="1:9" x14ac:dyDescent="0.25">
      <c r="A9" s="13"/>
      <c r="B9" s="3"/>
      <c r="C9" s="20"/>
      <c r="D9" s="21"/>
      <c r="E9" s="21">
        <f t="shared" si="0"/>
        <v>0</v>
      </c>
      <c r="F9" s="13"/>
      <c r="G9" s="21"/>
      <c r="H9" s="13"/>
      <c r="I9" s="21">
        <f t="shared" si="1"/>
        <v>-337862</v>
      </c>
    </row>
    <row r="10" spans="1:9" x14ac:dyDescent="0.25">
      <c r="A10" s="13"/>
      <c r="B10" s="3"/>
      <c r="C10" s="20"/>
      <c r="D10" s="21"/>
      <c r="E10" s="21">
        <f t="shared" si="0"/>
        <v>0</v>
      </c>
      <c r="F10" s="13"/>
      <c r="G10" s="21"/>
      <c r="H10" s="13"/>
      <c r="I10" s="21">
        <f t="shared" si="1"/>
        <v>-337862</v>
      </c>
    </row>
    <row r="11" spans="1:9" x14ac:dyDescent="0.25">
      <c r="A11" s="13"/>
      <c r="B11" s="3"/>
      <c r="C11" s="20"/>
      <c r="D11" s="21"/>
      <c r="E11" s="21">
        <f t="shared" si="0"/>
        <v>0</v>
      </c>
      <c r="F11" s="13"/>
      <c r="G11" s="21"/>
      <c r="H11" s="13"/>
      <c r="I11" s="21">
        <f t="shared" si="1"/>
        <v>-337862</v>
      </c>
    </row>
    <row r="12" spans="1:9" x14ac:dyDescent="0.25">
      <c r="A12" s="13"/>
      <c r="B12" s="3"/>
      <c r="C12" s="20"/>
      <c r="D12" s="21"/>
      <c r="E12" s="21">
        <f t="shared" si="0"/>
        <v>0</v>
      </c>
      <c r="F12" s="13"/>
      <c r="G12" s="21"/>
      <c r="H12" s="13"/>
      <c r="I12" s="21">
        <f t="shared" si="1"/>
        <v>-337862</v>
      </c>
    </row>
    <row r="13" spans="1:9" x14ac:dyDescent="0.25">
      <c r="A13" s="13"/>
      <c r="B13" s="3"/>
      <c r="C13" s="20"/>
      <c r="D13" s="21"/>
      <c r="E13" s="21">
        <f t="shared" si="0"/>
        <v>0</v>
      </c>
      <c r="F13" s="13"/>
      <c r="G13" s="21"/>
      <c r="H13" s="13"/>
      <c r="I13" s="21">
        <f t="shared" si="1"/>
        <v>-337862</v>
      </c>
    </row>
    <row r="14" spans="1:9" x14ac:dyDescent="0.25">
      <c r="A14" s="13"/>
      <c r="B14" s="3"/>
      <c r="C14" s="20"/>
      <c r="D14" s="21"/>
      <c r="E14" s="21">
        <f t="shared" si="0"/>
        <v>0</v>
      </c>
      <c r="F14" s="13"/>
      <c r="G14" s="21"/>
      <c r="H14" s="13"/>
      <c r="I14" s="21">
        <f t="shared" si="1"/>
        <v>-337862</v>
      </c>
    </row>
    <row r="15" spans="1:9" x14ac:dyDescent="0.25">
      <c r="A15" s="13"/>
      <c r="B15" s="3"/>
      <c r="C15" s="20"/>
      <c r="D15" s="21"/>
      <c r="E15" s="21">
        <f t="shared" si="0"/>
        <v>0</v>
      </c>
      <c r="F15" s="13"/>
      <c r="G15" s="21"/>
      <c r="H15" s="13"/>
      <c r="I15" s="21">
        <f t="shared" si="1"/>
        <v>-337862</v>
      </c>
    </row>
    <row r="16" spans="1:9" x14ac:dyDescent="0.25">
      <c r="A16" s="13"/>
      <c r="B16" s="3"/>
      <c r="C16" s="20"/>
      <c r="D16" s="21"/>
      <c r="E16" s="21">
        <f t="shared" si="0"/>
        <v>0</v>
      </c>
      <c r="F16" s="13"/>
      <c r="G16" s="21"/>
      <c r="H16" s="13"/>
      <c r="I16" s="21">
        <f t="shared" si="1"/>
        <v>-337862</v>
      </c>
    </row>
    <row r="17" spans="1:9" x14ac:dyDescent="0.25">
      <c r="A17" s="13"/>
      <c r="B17" s="3"/>
      <c r="C17" s="20"/>
      <c r="D17" s="21"/>
      <c r="E17" s="21">
        <f t="shared" si="0"/>
        <v>0</v>
      </c>
      <c r="F17" s="13"/>
      <c r="G17" s="21"/>
      <c r="H17" s="13"/>
      <c r="I17" s="21">
        <f t="shared" si="1"/>
        <v>-337862</v>
      </c>
    </row>
    <row r="18" spans="1:9" x14ac:dyDescent="0.25">
      <c r="A18" s="13"/>
      <c r="B18" s="3"/>
      <c r="C18" s="20"/>
      <c r="D18" s="21"/>
      <c r="E18" s="21">
        <f t="shared" si="0"/>
        <v>0</v>
      </c>
      <c r="F18" s="13"/>
      <c r="G18" s="21"/>
      <c r="H18" s="13"/>
      <c r="I18" s="21">
        <f t="shared" si="1"/>
        <v>-337862</v>
      </c>
    </row>
    <row r="19" spans="1:9" x14ac:dyDescent="0.25">
      <c r="A19" s="13"/>
      <c r="B19" s="3"/>
      <c r="C19" s="20"/>
      <c r="D19" s="21"/>
      <c r="E19" s="21">
        <f t="shared" si="0"/>
        <v>0</v>
      </c>
      <c r="F19" s="13"/>
      <c r="G19" s="21"/>
      <c r="H19" s="13"/>
      <c r="I19" s="21">
        <f t="shared" si="1"/>
        <v>-337862</v>
      </c>
    </row>
    <row r="20" spans="1:9" x14ac:dyDescent="0.25">
      <c r="A20" s="13"/>
      <c r="B20" s="3"/>
      <c r="C20" s="20"/>
      <c r="D20" s="21"/>
      <c r="E20" s="21">
        <f t="shared" si="0"/>
        <v>0</v>
      </c>
      <c r="F20" s="13"/>
      <c r="G20" s="21"/>
      <c r="H20" s="13"/>
      <c r="I20" s="21">
        <f t="shared" si="1"/>
        <v>-337862</v>
      </c>
    </row>
    <row r="21" spans="1:9" x14ac:dyDescent="0.25">
      <c r="A21" s="13"/>
      <c r="B21" s="3"/>
      <c r="C21" s="20"/>
      <c r="D21" s="21"/>
      <c r="E21" s="21">
        <f t="shared" si="0"/>
        <v>0</v>
      </c>
      <c r="F21" s="13"/>
      <c r="G21" s="21"/>
      <c r="H21" s="13"/>
      <c r="I21" s="21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>
        <v>45677</v>
      </c>
      <c r="G5" s="6">
        <v>3192</v>
      </c>
      <c r="H5" s="3" t="s">
        <v>10</v>
      </c>
      <c r="I5" s="6">
        <f t="shared" si="1"/>
        <v>3192.0000000000009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/>
      <c r="G6" s="6"/>
      <c r="H6" s="3"/>
      <c r="I6" s="6">
        <f t="shared" si="1"/>
        <v>9.0949470177292824E-13</v>
      </c>
    </row>
    <row r="7" spans="1:9" x14ac:dyDescent="0.25">
      <c r="A7" s="3"/>
      <c r="B7" s="3"/>
      <c r="C7" s="8"/>
      <c r="D7" s="6"/>
      <c r="E7" s="6">
        <f t="shared" si="0"/>
        <v>0</v>
      </c>
      <c r="F7" s="3"/>
      <c r="G7" s="6"/>
      <c r="H7" s="3"/>
      <c r="I7" s="6">
        <f t="shared" si="1"/>
        <v>9.0949470177292824E-13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9.0949470177292824E-13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9.0949470177292824E-13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9.0949470177292824E-13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9.0949470177292824E-13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9.0949470177292824E-13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9.0949470177292824E-13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9.0949470177292824E-13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9.0949470177292824E-13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9.0949470177292824E-13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9.0949470177292824E-13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9.0949470177292824E-13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9.0949470177292824E-13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9.0949470177292824E-13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9.0949470177292824E-13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tabSelected="1" workbookViewId="0">
      <pane ySplit="1" topLeftCell="A12" activePane="bottomLeft" state="frozen"/>
      <selection pane="bottomLeft" activeCell="G37" sqref="G37"/>
    </sheetView>
  </sheetViews>
  <sheetFormatPr defaultColWidth="8.85546875" defaultRowHeight="15.75" x14ac:dyDescent="0.25"/>
  <cols>
    <col min="1" max="1" width="11.140625" style="1" customWidth="1"/>
    <col min="2" max="2" width="26.140625" style="33" customWidth="1"/>
    <col min="3" max="3" width="9.28515625" style="14" bestFit="1" customWidth="1"/>
    <col min="4" max="4" width="12.140625" style="35" customWidth="1"/>
    <col min="5" max="5" width="14.85546875" style="35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5" bestFit="1" customWidth="1"/>
    <col min="10" max="16384" width="8.85546875" style="1"/>
  </cols>
  <sheetData>
    <row r="1" spans="1:9" s="2" customFormat="1" ht="31.5" x14ac:dyDescent="0.25">
      <c r="A1" s="55" t="s">
        <v>0</v>
      </c>
      <c r="B1" s="55" t="s">
        <v>1</v>
      </c>
      <c r="C1" s="55" t="s">
        <v>17</v>
      </c>
      <c r="D1" s="56" t="s">
        <v>3</v>
      </c>
      <c r="E1" s="56" t="s">
        <v>4</v>
      </c>
      <c r="F1" s="55" t="s">
        <v>5</v>
      </c>
      <c r="G1" s="56" t="s">
        <v>6</v>
      </c>
      <c r="H1" s="55" t="s">
        <v>7</v>
      </c>
      <c r="I1" s="56" t="s">
        <v>8</v>
      </c>
    </row>
    <row r="2" spans="1:9" x14ac:dyDescent="0.25">
      <c r="A2" s="57" t="s">
        <v>9</v>
      </c>
      <c r="B2" s="58"/>
      <c r="C2" s="59"/>
      <c r="D2" s="60"/>
      <c r="E2" s="60"/>
      <c r="F2" s="61"/>
      <c r="G2" s="62"/>
      <c r="H2" s="61"/>
      <c r="I2" s="60">
        <v>0</v>
      </c>
    </row>
    <row r="3" spans="1:9" x14ac:dyDescent="0.25">
      <c r="A3" s="61"/>
      <c r="B3" s="58"/>
      <c r="C3" s="63"/>
      <c r="D3" s="60"/>
      <c r="E3" s="60"/>
      <c r="F3" s="64">
        <v>45559</v>
      </c>
      <c r="G3" s="62">
        <v>149976</v>
      </c>
      <c r="H3" s="61" t="s">
        <v>10</v>
      </c>
      <c r="I3" s="60">
        <f>I2-E3+G3</f>
        <v>149976</v>
      </c>
    </row>
    <row r="4" spans="1:9" x14ac:dyDescent="0.25">
      <c r="A4" s="64">
        <v>45569</v>
      </c>
      <c r="B4" s="58" t="s">
        <v>18</v>
      </c>
      <c r="C4" s="63">
        <v>6000</v>
      </c>
      <c r="D4" s="60">
        <v>24.995999999999999</v>
      </c>
      <c r="E4" s="60">
        <f>C4*D4</f>
        <v>149976</v>
      </c>
      <c r="F4" s="61"/>
      <c r="G4" s="62"/>
      <c r="H4" s="61"/>
      <c r="I4" s="60">
        <f t="shared" ref="I4:I29" si="0">I3-E4+G4</f>
        <v>0</v>
      </c>
    </row>
    <row r="5" spans="1:9" x14ac:dyDescent="0.25">
      <c r="A5" s="65" t="s">
        <v>12</v>
      </c>
      <c r="B5" s="66"/>
      <c r="C5" s="67"/>
      <c r="D5" s="68"/>
      <c r="E5" s="68"/>
      <c r="F5" s="65"/>
      <c r="G5" s="69"/>
      <c r="H5" s="65"/>
      <c r="I5" s="68">
        <f t="shared" si="0"/>
        <v>0</v>
      </c>
    </row>
    <row r="6" spans="1:9" x14ac:dyDescent="0.25">
      <c r="A6" s="61"/>
      <c r="B6" s="58"/>
      <c r="C6" s="63"/>
      <c r="D6" s="60"/>
      <c r="E6" s="60"/>
      <c r="F6" s="64">
        <v>45677</v>
      </c>
      <c r="G6" s="62">
        <v>55152</v>
      </c>
      <c r="H6" s="61" t="s">
        <v>10</v>
      </c>
      <c r="I6" s="60">
        <f t="shared" si="0"/>
        <v>55152</v>
      </c>
    </row>
    <row r="7" spans="1:9" s="14" customFormat="1" ht="31.5" x14ac:dyDescent="0.25">
      <c r="A7" s="70">
        <v>45686</v>
      </c>
      <c r="B7" s="58" t="s">
        <v>19</v>
      </c>
      <c r="C7" s="63">
        <v>3800</v>
      </c>
      <c r="D7" s="60">
        <v>13.788</v>
      </c>
      <c r="E7" s="60">
        <f>C7*D7</f>
        <v>52394.400000000001</v>
      </c>
      <c r="F7" s="59"/>
      <c r="G7" s="60"/>
      <c r="H7" s="59"/>
      <c r="I7" s="60">
        <f t="shared" si="0"/>
        <v>2757.5999999999985</v>
      </c>
    </row>
    <row r="8" spans="1:9" x14ac:dyDescent="0.25">
      <c r="A8" s="61"/>
      <c r="B8" s="58"/>
      <c r="C8" s="63"/>
      <c r="D8" s="60"/>
      <c r="E8" s="60"/>
      <c r="F8" s="71">
        <v>45698</v>
      </c>
      <c r="G8" s="62">
        <v>137880</v>
      </c>
      <c r="H8" s="61" t="s">
        <v>10</v>
      </c>
      <c r="I8" s="60">
        <f t="shared" si="0"/>
        <v>140637.6</v>
      </c>
    </row>
    <row r="9" spans="1:9" x14ac:dyDescent="0.25">
      <c r="A9" s="61"/>
      <c r="B9" s="58"/>
      <c r="C9" s="63"/>
      <c r="D9" s="60"/>
      <c r="E9" s="60"/>
      <c r="F9" s="64">
        <v>45701</v>
      </c>
      <c r="G9" s="72">
        <v>15261.6</v>
      </c>
      <c r="H9" s="61" t="s">
        <v>10</v>
      </c>
      <c r="I9" s="60">
        <f t="shared" si="0"/>
        <v>155899.20000000001</v>
      </c>
    </row>
    <row r="10" spans="1:9" x14ac:dyDescent="0.25">
      <c r="A10" s="61"/>
      <c r="B10" s="58"/>
      <c r="C10" s="63"/>
      <c r="D10" s="60"/>
      <c r="E10" s="60"/>
      <c r="F10" s="61"/>
      <c r="G10" s="72">
        <v>44910</v>
      </c>
      <c r="H10" s="61" t="s">
        <v>10</v>
      </c>
      <c r="I10" s="60">
        <f t="shared" si="0"/>
        <v>200809.2</v>
      </c>
    </row>
    <row r="11" spans="1:9" s="14" customFormat="1" ht="31.5" x14ac:dyDescent="0.25">
      <c r="A11" s="70">
        <v>45702</v>
      </c>
      <c r="B11" s="58" t="s">
        <v>19</v>
      </c>
      <c r="C11" s="63">
        <v>10000</v>
      </c>
      <c r="D11" s="60">
        <v>13.788</v>
      </c>
      <c r="E11" s="60">
        <f>C11*D11</f>
        <v>137880</v>
      </c>
      <c r="F11" s="59"/>
      <c r="G11" s="60"/>
      <c r="H11" s="59"/>
      <c r="I11" s="60">
        <f t="shared" si="0"/>
        <v>62929.200000000012</v>
      </c>
    </row>
    <row r="12" spans="1:9" x14ac:dyDescent="0.25">
      <c r="A12" s="61"/>
      <c r="B12" s="58"/>
      <c r="C12" s="63"/>
      <c r="D12" s="60"/>
      <c r="E12" s="60">
        <f t="shared" ref="E12:E14" si="1">C12*D12</f>
        <v>0</v>
      </c>
      <c r="F12" s="64">
        <v>45713</v>
      </c>
      <c r="G12" s="62">
        <v>466272</v>
      </c>
      <c r="H12" s="61" t="s">
        <v>10</v>
      </c>
      <c r="I12" s="60">
        <f t="shared" si="0"/>
        <v>529201.19999999995</v>
      </c>
    </row>
    <row r="13" spans="1:9" ht="25.5" x14ac:dyDescent="0.25">
      <c r="A13" s="73">
        <v>45718</v>
      </c>
      <c r="B13" s="74" t="s">
        <v>20</v>
      </c>
      <c r="C13" s="75">
        <v>1</v>
      </c>
      <c r="D13" s="76">
        <v>44910</v>
      </c>
      <c r="E13" s="76">
        <f t="shared" si="1"/>
        <v>44910</v>
      </c>
      <c r="F13" s="64"/>
      <c r="G13" s="62"/>
      <c r="H13" s="61"/>
      <c r="I13" s="60">
        <f t="shared" si="0"/>
        <v>484291.19999999995</v>
      </c>
    </row>
    <row r="14" spans="1:9" ht="25.5" x14ac:dyDescent="0.25">
      <c r="A14" s="77"/>
      <c r="B14" s="74" t="s">
        <v>21</v>
      </c>
      <c r="C14" s="75">
        <v>1</v>
      </c>
      <c r="D14" s="76">
        <v>15261.6</v>
      </c>
      <c r="E14" s="76">
        <f t="shared" si="1"/>
        <v>15261.6</v>
      </c>
      <c r="F14" s="64"/>
      <c r="G14" s="62"/>
      <c r="H14" s="61"/>
      <c r="I14" s="60">
        <f t="shared" si="0"/>
        <v>469029.6</v>
      </c>
    </row>
    <row r="15" spans="1:9" ht="31.5" x14ac:dyDescent="0.25">
      <c r="A15" s="64">
        <v>45720</v>
      </c>
      <c r="B15" s="58" t="s">
        <v>19</v>
      </c>
      <c r="C15" s="63">
        <v>5986</v>
      </c>
      <c r="D15" s="60">
        <v>13.788</v>
      </c>
      <c r="E15" s="60">
        <f>C15*D15</f>
        <v>82534.968000000008</v>
      </c>
      <c r="F15" s="61"/>
      <c r="G15" s="62"/>
      <c r="H15" s="61"/>
      <c r="I15" s="60">
        <f t="shared" si="0"/>
        <v>386494.63199999998</v>
      </c>
    </row>
    <row r="16" spans="1:9" ht="31.5" x14ac:dyDescent="0.25">
      <c r="A16" s="61"/>
      <c r="B16" s="58" t="s">
        <v>22</v>
      </c>
      <c r="C16" s="63">
        <v>9823</v>
      </c>
      <c r="D16" s="60">
        <v>25.776</v>
      </c>
      <c r="E16" s="60">
        <f t="shared" ref="E16:E17" si="2">C16*D16</f>
        <v>253197.64799999999</v>
      </c>
      <c r="F16" s="61"/>
      <c r="G16" s="62"/>
      <c r="H16" s="61"/>
      <c r="I16" s="60">
        <f t="shared" si="0"/>
        <v>133296.984</v>
      </c>
    </row>
    <row r="17" spans="1:9" ht="31.5" x14ac:dyDescent="0.25">
      <c r="A17" s="61"/>
      <c r="B17" s="58" t="s">
        <v>23</v>
      </c>
      <c r="C17" s="63">
        <v>2932</v>
      </c>
      <c r="D17" s="60">
        <v>24.744</v>
      </c>
      <c r="E17" s="60">
        <f t="shared" si="2"/>
        <v>72549.407999999996</v>
      </c>
      <c r="F17" s="61"/>
      <c r="G17" s="62"/>
      <c r="H17" s="61"/>
      <c r="I17" s="60">
        <f t="shared" si="0"/>
        <v>60747.576000000001</v>
      </c>
    </row>
    <row r="18" spans="1:9" x14ac:dyDescent="0.25">
      <c r="A18" s="64">
        <v>45742</v>
      </c>
      <c r="B18" s="58" t="s">
        <v>24</v>
      </c>
      <c r="C18" s="78">
        <v>0</v>
      </c>
      <c r="D18" s="79">
        <v>0</v>
      </c>
      <c r="E18" s="79">
        <v>0</v>
      </c>
      <c r="F18" s="61"/>
      <c r="G18" s="62"/>
      <c r="H18" s="61"/>
      <c r="I18" s="60">
        <f t="shared" si="0"/>
        <v>60747.576000000001</v>
      </c>
    </row>
    <row r="19" spans="1:9" x14ac:dyDescent="0.25">
      <c r="A19" s="65" t="s">
        <v>15</v>
      </c>
      <c r="B19" s="66"/>
      <c r="C19" s="67"/>
      <c r="D19" s="68"/>
      <c r="E19" s="68"/>
      <c r="F19" s="65"/>
      <c r="G19" s="69"/>
      <c r="H19" s="65"/>
      <c r="I19" s="68">
        <f t="shared" si="0"/>
        <v>60747.576000000001</v>
      </c>
    </row>
    <row r="20" spans="1:9" x14ac:dyDescent="0.25">
      <c r="A20" s="61"/>
      <c r="B20" s="58"/>
      <c r="C20" s="63"/>
      <c r="D20" s="60"/>
      <c r="E20" s="60"/>
      <c r="F20" s="64">
        <v>45763</v>
      </c>
      <c r="G20" s="62">
        <v>149976</v>
      </c>
      <c r="H20" s="61" t="s">
        <v>10</v>
      </c>
      <c r="I20" s="60">
        <f t="shared" si="0"/>
        <v>210723.576</v>
      </c>
    </row>
    <row r="21" spans="1:9" x14ac:dyDescent="0.25">
      <c r="A21" s="64">
        <v>45771</v>
      </c>
      <c r="B21" s="58" t="s">
        <v>25</v>
      </c>
      <c r="C21" s="63">
        <v>6005</v>
      </c>
      <c r="D21" s="60">
        <v>25</v>
      </c>
      <c r="E21" s="60">
        <f t="shared" ref="E21:E23" si="3">C21*D21</f>
        <v>150125</v>
      </c>
      <c r="F21" s="61"/>
      <c r="G21" s="62"/>
      <c r="H21" s="61"/>
      <c r="I21" s="60">
        <f t="shared" si="0"/>
        <v>60598.576000000001</v>
      </c>
    </row>
    <row r="22" spans="1:9" ht="31.5" x14ac:dyDescent="0.25">
      <c r="A22" s="61"/>
      <c r="B22" s="58" t="s">
        <v>22</v>
      </c>
      <c r="C22" s="63">
        <v>2000</v>
      </c>
      <c r="D22" s="60">
        <v>25.776</v>
      </c>
      <c r="E22" s="60">
        <f t="shared" si="3"/>
        <v>51552</v>
      </c>
      <c r="F22" s="61"/>
      <c r="G22" s="62"/>
      <c r="H22" s="61"/>
      <c r="I22" s="60">
        <f t="shared" si="0"/>
        <v>9046.5760000000009</v>
      </c>
    </row>
    <row r="23" spans="1:9" x14ac:dyDescent="0.25">
      <c r="A23" s="61" t="s">
        <v>59</v>
      </c>
      <c r="B23" s="58" t="s">
        <v>25</v>
      </c>
      <c r="C23" s="63">
        <v>1805</v>
      </c>
      <c r="D23" s="60">
        <v>24.995999999999999</v>
      </c>
      <c r="E23" s="60">
        <f t="shared" si="3"/>
        <v>45117.78</v>
      </c>
      <c r="F23" s="61"/>
      <c r="G23" s="62"/>
      <c r="H23" s="61"/>
      <c r="I23" s="60">
        <f t="shared" si="0"/>
        <v>-36071.203999999998</v>
      </c>
    </row>
    <row r="24" spans="1:9" ht="63" x14ac:dyDescent="0.25">
      <c r="A24" s="61" t="s">
        <v>74</v>
      </c>
      <c r="B24" s="58" t="s">
        <v>65</v>
      </c>
      <c r="C24" s="63">
        <v>9.9</v>
      </c>
      <c r="D24" s="60">
        <v>682</v>
      </c>
      <c r="E24" s="60">
        <f>C24*D24</f>
        <v>6751.8</v>
      </c>
      <c r="F24" s="61" t="s">
        <v>73</v>
      </c>
      <c r="G24" s="62">
        <v>245268</v>
      </c>
      <c r="H24" s="61"/>
      <c r="I24" s="60">
        <f t="shared" si="0"/>
        <v>202444.99599999998</v>
      </c>
    </row>
    <row r="25" spans="1:9" ht="63" x14ac:dyDescent="0.25">
      <c r="A25" s="61" t="s">
        <v>74</v>
      </c>
      <c r="B25" s="58" t="s">
        <v>75</v>
      </c>
      <c r="C25" s="63">
        <v>20</v>
      </c>
      <c r="D25" s="60">
        <v>692</v>
      </c>
      <c r="E25" s="60">
        <f>C25*D25</f>
        <v>13840</v>
      </c>
      <c r="F25" s="61"/>
      <c r="G25" s="62"/>
      <c r="H25" s="61"/>
      <c r="I25" s="60">
        <f t="shared" si="0"/>
        <v>188604.99599999998</v>
      </c>
    </row>
    <row r="26" spans="1:9" x14ac:dyDescent="0.25">
      <c r="A26" s="61" t="s">
        <v>74</v>
      </c>
      <c r="B26" s="58" t="s">
        <v>76</v>
      </c>
      <c r="C26" s="63">
        <v>660</v>
      </c>
      <c r="D26" s="60">
        <v>33</v>
      </c>
      <c r="E26" s="60">
        <f>C26*D26</f>
        <v>21780</v>
      </c>
      <c r="F26" s="61"/>
      <c r="G26" s="62"/>
      <c r="H26" s="61"/>
      <c r="I26" s="60">
        <f t="shared" si="0"/>
        <v>166824.99599999998</v>
      </c>
    </row>
    <row r="27" spans="1:9" ht="63" x14ac:dyDescent="0.25">
      <c r="A27" s="61" t="s">
        <v>74</v>
      </c>
      <c r="B27" s="58" t="s">
        <v>65</v>
      </c>
      <c r="C27" s="63">
        <v>9.9</v>
      </c>
      <c r="D27" s="60">
        <v>682</v>
      </c>
      <c r="E27" s="60">
        <f>C27*D27</f>
        <v>6751.8</v>
      </c>
      <c r="F27" s="61"/>
      <c r="G27" s="62"/>
      <c r="H27" s="61"/>
      <c r="I27" s="60">
        <f t="shared" si="0"/>
        <v>160073.196</v>
      </c>
    </row>
    <row r="28" spans="1:9" ht="63" x14ac:dyDescent="0.25">
      <c r="A28" s="61" t="s">
        <v>74</v>
      </c>
      <c r="B28" s="58" t="s">
        <v>75</v>
      </c>
      <c r="C28" s="63">
        <v>20</v>
      </c>
      <c r="D28" s="60">
        <v>692</v>
      </c>
      <c r="E28" s="60">
        <f>C28*D28</f>
        <v>13840</v>
      </c>
      <c r="F28" s="61"/>
      <c r="G28" s="62"/>
      <c r="H28" s="61"/>
      <c r="I28" s="60">
        <f t="shared" si="0"/>
        <v>146233.196</v>
      </c>
    </row>
    <row r="29" spans="1:9" x14ac:dyDescent="0.25">
      <c r="A29" s="61" t="s">
        <v>74</v>
      </c>
      <c r="B29" s="58" t="s">
        <v>76</v>
      </c>
      <c r="C29" s="63">
        <v>660</v>
      </c>
      <c r="D29" s="60">
        <v>33</v>
      </c>
      <c r="E29" s="60">
        <f>C29*D29</f>
        <v>21780</v>
      </c>
      <c r="F29" s="61"/>
      <c r="G29" s="62"/>
      <c r="H29" s="61"/>
      <c r="I29" s="60">
        <f t="shared" ref="I29:I34" si="4">I28-E29+G29</f>
        <v>124453.196</v>
      </c>
    </row>
    <row r="30" spans="1:9" ht="63" x14ac:dyDescent="0.25">
      <c r="A30" s="61" t="s">
        <v>74</v>
      </c>
      <c r="B30" s="58" t="s">
        <v>65</v>
      </c>
      <c r="C30" s="59">
        <v>9.9</v>
      </c>
      <c r="D30" s="60">
        <v>682</v>
      </c>
      <c r="E30" s="60">
        <f>C30*D30</f>
        <v>6751.8</v>
      </c>
      <c r="F30" s="61"/>
      <c r="G30" s="62"/>
      <c r="H30" s="61"/>
      <c r="I30" s="60">
        <f t="shared" si="4"/>
        <v>117701.39599999999</v>
      </c>
    </row>
    <row r="31" spans="1:9" ht="63" x14ac:dyDescent="0.25">
      <c r="A31" s="61" t="s">
        <v>74</v>
      </c>
      <c r="B31" s="58" t="s">
        <v>75</v>
      </c>
      <c r="C31" s="59">
        <v>20</v>
      </c>
      <c r="D31" s="60">
        <v>692</v>
      </c>
      <c r="E31" s="60">
        <f>C31*D31</f>
        <v>13840</v>
      </c>
      <c r="F31" s="61"/>
      <c r="G31" s="62"/>
      <c r="H31" s="61"/>
      <c r="I31" s="60">
        <f t="shared" si="4"/>
        <v>103861.39599999999</v>
      </c>
    </row>
    <row r="32" spans="1:9" x14ac:dyDescent="0.25">
      <c r="A32" s="61" t="s">
        <v>74</v>
      </c>
      <c r="B32" s="58" t="s">
        <v>76</v>
      </c>
      <c r="C32" s="59">
        <v>660</v>
      </c>
      <c r="D32" s="60">
        <v>33</v>
      </c>
      <c r="E32" s="60">
        <f>C32*D32</f>
        <v>21780</v>
      </c>
      <c r="F32" s="61"/>
      <c r="G32" s="62"/>
      <c r="H32" s="61"/>
      <c r="I32" s="60">
        <f t="shared" si="4"/>
        <v>82081.395999999993</v>
      </c>
    </row>
    <row r="33" spans="1:9" x14ac:dyDescent="0.25">
      <c r="A33" s="61"/>
      <c r="B33" s="58"/>
      <c r="C33" s="59"/>
      <c r="D33" s="60"/>
      <c r="E33" s="60"/>
      <c r="F33" s="61"/>
      <c r="G33" s="62"/>
      <c r="H33" s="61"/>
      <c r="I33" s="60">
        <f t="shared" si="4"/>
        <v>82081.395999999993</v>
      </c>
    </row>
    <row r="34" spans="1:9" x14ac:dyDescent="0.25">
      <c r="A34" s="80"/>
      <c r="B34" s="81"/>
      <c r="C34" s="82"/>
      <c r="D34" s="83"/>
      <c r="E34" s="83"/>
      <c r="F34" s="80"/>
      <c r="G34" s="84"/>
      <c r="H34" s="80"/>
      <c r="I34" s="83">
        <f t="shared" si="4"/>
        <v>82081.395999999993</v>
      </c>
    </row>
    <row r="35" spans="1:9" x14ac:dyDescent="0.25">
      <c r="E35" s="35">
        <f>SUM(E2:E34)</f>
        <v>1182614.2040000001</v>
      </c>
      <c r="G35" s="7">
        <f>SUM(G2:G34)</f>
        <v>1264695.6000000001</v>
      </c>
      <c r="I35" s="35">
        <f>G35-E35</f>
        <v>82081.39599999995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32">
        <v>45701</v>
      </c>
      <c r="B5" s="23" t="s">
        <v>26</v>
      </c>
      <c r="C5" s="24">
        <v>100</v>
      </c>
      <c r="D5" s="25">
        <v>1052</v>
      </c>
      <c r="E5" s="25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32">
        <v>45734</v>
      </c>
      <c r="B6" s="23" t="s">
        <v>26</v>
      </c>
      <c r="C6" s="24">
        <v>100</v>
      </c>
      <c r="D6" s="25">
        <v>1032</v>
      </c>
      <c r="E6" s="25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8"/>
      <c r="C7" s="20"/>
      <c r="D7" s="21"/>
      <c r="E7" s="6">
        <f t="shared" si="0"/>
        <v>0</v>
      </c>
      <c r="F7" s="13"/>
      <c r="G7" s="21"/>
      <c r="H7" s="13"/>
      <c r="I7" s="21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45695</v>
      </c>
      <c r="G3" s="6">
        <v>1547000</v>
      </c>
      <c r="H3" s="3" t="s">
        <v>10</v>
      </c>
      <c r="I3" s="6">
        <f>I2-E3+G3</f>
        <v>1547000</v>
      </c>
    </row>
    <row r="4" spans="1:9" x14ac:dyDescent="0.25">
      <c r="A4" s="5">
        <v>45715</v>
      </c>
      <c r="B4" s="3" t="s">
        <v>30</v>
      </c>
      <c r="C4" s="3">
        <v>995.54</v>
      </c>
      <c r="D4" s="6">
        <v>715</v>
      </c>
      <c r="E4" s="6">
        <f>C4*D4</f>
        <v>711811.1</v>
      </c>
      <c r="F4" s="3"/>
      <c r="G4" s="6"/>
      <c r="H4" s="3"/>
      <c r="I4" s="6">
        <f t="shared" ref="I4:I21" si="0">I3-E4+G4</f>
        <v>835188.9</v>
      </c>
    </row>
    <row r="5" spans="1:9" x14ac:dyDescent="0.25">
      <c r="A5" s="3"/>
      <c r="B5" s="3" t="s">
        <v>31</v>
      </c>
      <c r="C5" s="3">
        <v>363.24</v>
      </c>
      <c r="D5" s="6">
        <v>850</v>
      </c>
      <c r="E5" s="6">
        <f>C5*D5</f>
        <v>308754</v>
      </c>
      <c r="F5" s="3"/>
      <c r="G5" s="6"/>
      <c r="H5" s="3"/>
      <c r="I5" s="6">
        <f t="shared" si="0"/>
        <v>526434.9</v>
      </c>
    </row>
    <row r="6" spans="1:9" x14ac:dyDescent="0.25">
      <c r="A6" s="3"/>
      <c r="B6" s="3" t="s">
        <v>32</v>
      </c>
      <c r="C6" s="3">
        <v>374.12</v>
      </c>
      <c r="D6" s="6">
        <v>850</v>
      </c>
      <c r="E6" s="6">
        <f>C6*D6</f>
        <v>318002</v>
      </c>
      <c r="F6" s="3"/>
      <c r="G6" s="6"/>
      <c r="H6" s="3"/>
      <c r="I6" s="6">
        <f t="shared" si="0"/>
        <v>208432.90000000002</v>
      </c>
    </row>
    <row r="7" spans="1:9" x14ac:dyDescent="0.25">
      <c r="A7" s="3"/>
      <c r="B7" s="3" t="s">
        <v>33</v>
      </c>
      <c r="C7" s="3">
        <v>1</v>
      </c>
      <c r="D7" s="6">
        <v>79000</v>
      </c>
      <c r="E7" s="6">
        <f t="shared" ref="E7:E9" si="1">C7*D7</f>
        <v>79000</v>
      </c>
      <c r="F7" s="5"/>
      <c r="G7" s="6"/>
      <c r="H7" s="3"/>
      <c r="I7" s="6">
        <f t="shared" si="0"/>
        <v>129432.90000000002</v>
      </c>
    </row>
    <row r="8" spans="1:9" x14ac:dyDescent="0.25">
      <c r="A8" s="3"/>
      <c r="B8" s="3" t="s">
        <v>33</v>
      </c>
      <c r="C8" s="3">
        <v>1</v>
      </c>
      <c r="D8" s="6">
        <v>79000</v>
      </c>
      <c r="E8" s="6">
        <f t="shared" si="1"/>
        <v>79000</v>
      </c>
      <c r="F8" s="3"/>
      <c r="G8" s="6"/>
      <c r="H8" s="3"/>
      <c r="I8" s="6">
        <f t="shared" si="0"/>
        <v>50432.900000000023</v>
      </c>
    </row>
    <row r="9" spans="1:9" x14ac:dyDescent="0.25">
      <c r="A9" s="3"/>
      <c r="B9" s="3" t="s">
        <v>33</v>
      </c>
      <c r="C9" s="3">
        <v>1</v>
      </c>
      <c r="D9" s="6">
        <v>79000</v>
      </c>
      <c r="E9" s="6">
        <f t="shared" si="1"/>
        <v>79000</v>
      </c>
      <c r="F9" s="3"/>
      <c r="G9" s="6"/>
      <c r="H9" s="3"/>
      <c r="I9" s="6">
        <f t="shared" si="0"/>
        <v>-28567.099999999977</v>
      </c>
    </row>
    <row r="10" spans="1:9" x14ac:dyDescent="0.25">
      <c r="A10" s="3"/>
      <c r="B10" s="3"/>
      <c r="C10" s="3"/>
      <c r="D10" s="6"/>
      <c r="E10" s="6"/>
      <c r="F10" s="3"/>
      <c r="G10" s="6">
        <v>28567.1</v>
      </c>
      <c r="H10" s="3"/>
      <c r="I10" s="6">
        <f t="shared" si="0"/>
        <v>0</v>
      </c>
    </row>
    <row r="11" spans="1:9" x14ac:dyDescent="0.25">
      <c r="A11" s="23"/>
      <c r="B11" s="23"/>
      <c r="C11" s="23"/>
      <c r="D11" s="25"/>
      <c r="E11" s="25"/>
      <c r="F11" s="23"/>
      <c r="G11" s="25"/>
      <c r="H11" s="23"/>
      <c r="I11" s="25">
        <f t="shared" si="0"/>
        <v>0</v>
      </c>
    </row>
    <row r="12" spans="1:9" x14ac:dyDescent="0.25">
      <c r="A12" s="5">
        <v>45761</v>
      </c>
      <c r="B12" s="3"/>
      <c r="C12" s="3"/>
      <c r="D12" s="6"/>
      <c r="E12" s="6"/>
      <c r="F12" s="3"/>
      <c r="G12" s="6">
        <v>276400</v>
      </c>
      <c r="H12" s="3"/>
      <c r="I12" s="6">
        <f t="shared" si="0"/>
        <v>276400</v>
      </c>
    </row>
    <row r="13" spans="1:9" x14ac:dyDescent="0.25">
      <c r="A13" s="3"/>
      <c r="B13" s="3"/>
      <c r="C13" s="3"/>
      <c r="D13" s="6"/>
      <c r="E13" s="6"/>
      <c r="F13" s="5">
        <v>45769</v>
      </c>
      <c r="G13" s="6">
        <v>448200</v>
      </c>
      <c r="H13" s="3"/>
      <c r="I13" s="6">
        <f t="shared" si="0"/>
        <v>724600</v>
      </c>
    </row>
    <row r="14" spans="1:9" x14ac:dyDescent="0.25">
      <c r="A14" s="3" t="s">
        <v>59</v>
      </c>
      <c r="B14" s="3" t="s">
        <v>31</v>
      </c>
      <c r="C14" s="8">
        <v>88.6</v>
      </c>
      <c r="D14" s="6">
        <v>850</v>
      </c>
      <c r="E14" s="6">
        <f>C14*D14</f>
        <v>75310</v>
      </c>
      <c r="F14" s="3"/>
      <c r="G14" s="6"/>
      <c r="H14" s="3"/>
      <c r="I14" s="6">
        <f t="shared" si="0"/>
        <v>649290</v>
      </c>
    </row>
    <row r="15" spans="1:9" x14ac:dyDescent="0.25">
      <c r="A15" s="3"/>
      <c r="B15" s="3" t="s">
        <v>60</v>
      </c>
      <c r="C15" s="8">
        <v>48.76</v>
      </c>
      <c r="D15" s="6">
        <v>850</v>
      </c>
      <c r="E15" s="6">
        <f t="shared" ref="E15:E21" si="2">C15*D15</f>
        <v>41446</v>
      </c>
      <c r="F15" s="3"/>
      <c r="G15" s="6"/>
      <c r="H15" s="3"/>
      <c r="I15" s="6">
        <f t="shared" si="0"/>
        <v>607844</v>
      </c>
    </row>
    <row r="16" spans="1:9" x14ac:dyDescent="0.25">
      <c r="A16" s="3" t="s">
        <v>69</v>
      </c>
      <c r="B16" s="3" t="s">
        <v>68</v>
      </c>
      <c r="C16" s="8">
        <v>16.2</v>
      </c>
      <c r="D16" s="6">
        <v>715</v>
      </c>
      <c r="E16" s="6">
        <f t="shared" si="2"/>
        <v>11583</v>
      </c>
      <c r="F16" s="3"/>
      <c r="G16" s="6"/>
      <c r="H16" s="3"/>
      <c r="I16" s="6">
        <f t="shared" si="0"/>
        <v>596261</v>
      </c>
    </row>
    <row r="17" spans="1:9" x14ac:dyDescent="0.25">
      <c r="A17" s="3"/>
      <c r="B17" s="3" t="s">
        <v>70</v>
      </c>
      <c r="C17" s="8">
        <v>9.24</v>
      </c>
      <c r="D17" s="6">
        <v>850</v>
      </c>
      <c r="E17" s="6">
        <f t="shared" si="2"/>
        <v>7854</v>
      </c>
      <c r="F17" s="3"/>
      <c r="G17" s="6"/>
      <c r="H17" s="3"/>
      <c r="I17" s="6">
        <f t="shared" si="0"/>
        <v>588407</v>
      </c>
    </row>
    <row r="18" spans="1:9" x14ac:dyDescent="0.25">
      <c r="A18" s="3"/>
      <c r="B18" s="3" t="s">
        <v>60</v>
      </c>
      <c r="C18" s="8">
        <v>63.92</v>
      </c>
      <c r="D18" s="6">
        <v>850</v>
      </c>
      <c r="E18" s="6">
        <f t="shared" si="2"/>
        <v>54332</v>
      </c>
      <c r="F18" s="3"/>
      <c r="G18" s="6"/>
      <c r="H18" s="3"/>
      <c r="I18" s="6">
        <f t="shared" si="0"/>
        <v>534075</v>
      </c>
    </row>
    <row r="19" spans="1:9" x14ac:dyDescent="0.25">
      <c r="A19" s="3" t="s">
        <v>71</v>
      </c>
      <c r="B19" s="51" t="s">
        <v>70</v>
      </c>
      <c r="C19" s="52">
        <v>9.1999999999999993</v>
      </c>
      <c r="D19" s="53">
        <v>850</v>
      </c>
      <c r="E19" s="6">
        <f t="shared" si="2"/>
        <v>7819.9999999999991</v>
      </c>
      <c r="F19" s="3"/>
      <c r="G19" s="6"/>
      <c r="H19" s="3"/>
      <c r="I19" s="6">
        <f t="shared" si="0"/>
        <v>526255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3" t="s">
        <v>72</v>
      </c>
      <c r="G20" s="54">
        <v>6728.28</v>
      </c>
      <c r="H20" s="3"/>
      <c r="I20" s="6">
        <f t="shared" si="0"/>
        <v>532983.28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3"/>
      <c r="G21" s="6"/>
      <c r="H21" s="3"/>
      <c r="I21" s="6">
        <f t="shared" si="0"/>
        <v>532983.28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F23" sqref="F23"/>
    </sheetView>
  </sheetViews>
  <sheetFormatPr defaultColWidth="8.85546875" defaultRowHeight="15.75" x14ac:dyDescent="0.25"/>
  <cols>
    <col min="1" max="1" width="11.140625" style="18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10" x14ac:dyDescent="0.25">
      <c r="A2" s="40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10" x14ac:dyDescent="0.25">
      <c r="A3" s="17"/>
      <c r="B3" s="3"/>
      <c r="C3" s="3"/>
      <c r="D3" s="6"/>
      <c r="E3" s="6"/>
      <c r="F3" s="5">
        <v>45716</v>
      </c>
      <c r="G3" s="6">
        <v>87000</v>
      </c>
      <c r="H3" s="3" t="s">
        <v>10</v>
      </c>
      <c r="I3" s="6">
        <f>I2-E3+G3</f>
        <v>87000</v>
      </c>
    </row>
    <row r="4" spans="1:10" s="14" customFormat="1" ht="45" x14ac:dyDescent="0.25">
      <c r="A4" s="41">
        <v>45726</v>
      </c>
      <c r="B4" s="36" t="s">
        <v>34</v>
      </c>
      <c r="C4" s="13">
        <v>284.55</v>
      </c>
      <c r="D4" s="21">
        <v>290</v>
      </c>
      <c r="E4" s="21">
        <f>C4*D4</f>
        <v>82519.5</v>
      </c>
      <c r="F4" s="13"/>
      <c r="G4" s="21"/>
      <c r="H4" s="13"/>
      <c r="I4" s="21">
        <f t="shared" ref="I4:I21" si="0">I3-E4+G4</f>
        <v>4480.5</v>
      </c>
    </row>
    <row r="5" spans="1:10" x14ac:dyDescent="0.25">
      <c r="A5" s="42" t="s">
        <v>15</v>
      </c>
      <c r="B5" s="23"/>
      <c r="C5" s="23"/>
      <c r="D5" s="25"/>
      <c r="E5" s="25">
        <f>C5*D5</f>
        <v>0</v>
      </c>
      <c r="F5" s="23"/>
      <c r="G5" s="25"/>
      <c r="H5" s="23"/>
      <c r="I5" s="25">
        <f t="shared" si="0"/>
        <v>4480.5</v>
      </c>
    </row>
    <row r="6" spans="1:10" x14ac:dyDescent="0.25">
      <c r="A6" s="17"/>
      <c r="B6" s="3"/>
      <c r="C6" s="3"/>
      <c r="D6" s="6"/>
      <c r="E6" s="6">
        <f>C6*D6</f>
        <v>0</v>
      </c>
      <c r="F6" s="5">
        <v>45751</v>
      </c>
      <c r="G6" s="6">
        <v>84000</v>
      </c>
      <c r="H6" s="3" t="s">
        <v>10</v>
      </c>
      <c r="I6" s="6">
        <f t="shared" si="0"/>
        <v>88480.5</v>
      </c>
    </row>
    <row r="7" spans="1:10" s="14" customFormat="1" ht="31.5" x14ac:dyDescent="0.25">
      <c r="A7" s="46">
        <v>45772</v>
      </c>
      <c r="B7" s="28" t="s">
        <v>35</v>
      </c>
      <c r="C7" s="48">
        <v>180.9</v>
      </c>
      <c r="D7" s="21">
        <v>280</v>
      </c>
      <c r="E7" s="21">
        <f t="shared" ref="E7:E9" si="1">C7*D7</f>
        <v>50652</v>
      </c>
      <c r="F7" s="12"/>
      <c r="G7" s="21"/>
      <c r="H7" s="13"/>
      <c r="I7" s="21">
        <f t="shared" si="0"/>
        <v>37828.5</v>
      </c>
      <c r="J7" s="49" t="s">
        <v>36</v>
      </c>
    </row>
    <row r="8" spans="1:10" x14ac:dyDescent="0.25">
      <c r="A8" s="17"/>
      <c r="B8" s="3"/>
      <c r="C8" s="3"/>
      <c r="D8" s="6"/>
      <c r="E8" s="6">
        <f t="shared" si="1"/>
        <v>0</v>
      </c>
      <c r="F8" s="3"/>
      <c r="G8" s="6"/>
      <c r="H8" s="3"/>
      <c r="I8" s="6">
        <f t="shared" si="0"/>
        <v>37828.5</v>
      </c>
    </row>
    <row r="9" spans="1:10" x14ac:dyDescent="0.25">
      <c r="A9" s="17"/>
      <c r="B9" s="3"/>
      <c r="C9" s="3"/>
      <c r="D9" s="6"/>
      <c r="E9" s="6">
        <f t="shared" si="1"/>
        <v>0</v>
      </c>
      <c r="F9" s="3"/>
      <c r="G9" s="6"/>
      <c r="H9" s="3"/>
      <c r="I9" s="6">
        <f t="shared" si="0"/>
        <v>37828.5</v>
      </c>
    </row>
    <row r="10" spans="1:10" x14ac:dyDescent="0.25">
      <c r="A10" s="17"/>
      <c r="B10" s="3"/>
      <c r="C10" s="3"/>
      <c r="D10" s="6"/>
      <c r="E10" s="6"/>
      <c r="F10" s="3"/>
      <c r="G10" s="6"/>
      <c r="H10" s="3"/>
      <c r="I10" s="6">
        <f t="shared" si="0"/>
        <v>37828.5</v>
      </c>
    </row>
    <row r="11" spans="1:10" x14ac:dyDescent="0.25">
      <c r="A11" s="17"/>
      <c r="B11" s="3"/>
      <c r="C11" s="3"/>
      <c r="D11" s="6"/>
      <c r="E11" s="6"/>
      <c r="F11" s="3"/>
      <c r="G11" s="6"/>
      <c r="H11" s="3"/>
      <c r="I11" s="6">
        <f t="shared" si="0"/>
        <v>37828.5</v>
      </c>
    </row>
    <row r="12" spans="1:10" x14ac:dyDescent="0.25">
      <c r="A12" s="17"/>
      <c r="B12" s="3"/>
      <c r="C12" s="3"/>
      <c r="D12" s="6"/>
      <c r="E12" s="6"/>
      <c r="F12" s="3"/>
      <c r="G12" s="6"/>
      <c r="H12" s="3"/>
      <c r="I12" s="6">
        <f t="shared" si="0"/>
        <v>37828.5</v>
      </c>
    </row>
    <row r="13" spans="1:10" x14ac:dyDescent="0.25">
      <c r="A13" s="17"/>
      <c r="B13" s="3"/>
      <c r="C13" s="3"/>
      <c r="D13" s="6"/>
      <c r="E13" s="6"/>
      <c r="F13" s="3"/>
      <c r="G13" s="6"/>
      <c r="H13" s="3"/>
      <c r="I13" s="6">
        <f t="shared" si="0"/>
        <v>37828.5</v>
      </c>
    </row>
    <row r="14" spans="1:10" x14ac:dyDescent="0.25">
      <c r="A14" s="17"/>
      <c r="B14" s="3"/>
      <c r="C14" s="8"/>
      <c r="D14" s="6"/>
      <c r="E14" s="6"/>
      <c r="F14" s="3"/>
      <c r="G14" s="6"/>
      <c r="H14" s="3"/>
      <c r="I14" s="6">
        <f t="shared" si="0"/>
        <v>37828.5</v>
      </c>
    </row>
    <row r="15" spans="1:10" x14ac:dyDescent="0.25">
      <c r="A15" s="17"/>
      <c r="B15" s="3"/>
      <c r="C15" s="8"/>
      <c r="D15" s="6"/>
      <c r="E15" s="6"/>
      <c r="F15" s="3"/>
      <c r="G15" s="6"/>
      <c r="H15" s="3"/>
      <c r="I15" s="6">
        <f t="shared" si="0"/>
        <v>37828.5</v>
      </c>
    </row>
    <row r="16" spans="1:10" x14ac:dyDescent="0.25">
      <c r="A16" s="17"/>
      <c r="B16" s="3"/>
      <c r="C16" s="8"/>
      <c r="D16" s="6"/>
      <c r="E16" s="6"/>
      <c r="F16" s="3"/>
      <c r="G16" s="6"/>
      <c r="H16" s="3"/>
      <c r="I16" s="6">
        <f t="shared" si="0"/>
        <v>37828.5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37828.5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37828.5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37828.5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37828.5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37828.5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39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37" t="s">
        <v>8</v>
      </c>
    </row>
    <row r="2" spans="1:9" x14ac:dyDescent="0.25">
      <c r="A2" s="4" t="s">
        <v>12</v>
      </c>
      <c r="B2" s="3"/>
      <c r="C2" s="3"/>
      <c r="D2" s="6"/>
      <c r="E2" s="6"/>
      <c r="F2" s="3"/>
      <c r="G2" s="6"/>
      <c r="H2" s="3"/>
      <c r="I2" s="38">
        <v>0</v>
      </c>
    </row>
    <row r="3" spans="1:9" x14ac:dyDescent="0.25">
      <c r="A3" s="3"/>
      <c r="B3" s="3"/>
      <c r="C3" s="8"/>
      <c r="D3" s="6"/>
      <c r="E3" s="6"/>
      <c r="F3" s="5">
        <v>45730</v>
      </c>
      <c r="G3" s="6">
        <v>265000</v>
      </c>
      <c r="H3" s="3" t="s">
        <v>10</v>
      </c>
      <c r="I3" s="38">
        <f>I2-E3+G3</f>
        <v>265000</v>
      </c>
    </row>
    <row r="4" spans="1:9" x14ac:dyDescent="0.25">
      <c r="A4" s="5">
        <v>45740</v>
      </c>
      <c r="B4" s="3" t="s">
        <v>37</v>
      </c>
      <c r="C4" s="8">
        <v>53760</v>
      </c>
      <c r="D4" s="6">
        <v>5.3</v>
      </c>
      <c r="E4" s="6">
        <f>C4*D4</f>
        <v>284928</v>
      </c>
      <c r="F4" s="3"/>
      <c r="G4" s="6"/>
      <c r="H4" s="3"/>
      <c r="I4" s="38">
        <f t="shared" ref="I4:I21" si="0">I3-E4+G4</f>
        <v>-19928</v>
      </c>
    </row>
    <row r="5" spans="1:9" x14ac:dyDescent="0.25">
      <c r="A5" s="23" t="s">
        <v>15</v>
      </c>
      <c r="B5" s="23"/>
      <c r="C5" s="24"/>
      <c r="D5" s="25"/>
      <c r="E5" s="25"/>
      <c r="F5" s="23"/>
      <c r="G5" s="25"/>
      <c r="H5" s="23"/>
      <c r="I5" s="43">
        <f t="shared" si="0"/>
        <v>-19928</v>
      </c>
    </row>
    <row r="6" spans="1:9" x14ac:dyDescent="0.25">
      <c r="A6" s="3"/>
      <c r="B6" s="3"/>
      <c r="C6" s="8"/>
      <c r="D6" s="6"/>
      <c r="E6" s="6"/>
      <c r="F6" s="5">
        <v>45756</v>
      </c>
      <c r="G6" s="6">
        <v>265000</v>
      </c>
      <c r="H6" s="3" t="s">
        <v>10</v>
      </c>
      <c r="I6" s="38">
        <f t="shared" si="0"/>
        <v>245072</v>
      </c>
    </row>
    <row r="7" spans="1:9" x14ac:dyDescent="0.25">
      <c r="A7" s="5">
        <v>45757</v>
      </c>
      <c r="B7" s="3" t="s">
        <v>37</v>
      </c>
      <c r="C7" s="8">
        <v>46200</v>
      </c>
      <c r="D7" s="6">
        <v>5.3</v>
      </c>
      <c r="E7" s="6">
        <f>C7*D7</f>
        <v>244860</v>
      </c>
      <c r="F7" s="3"/>
      <c r="G7" s="6"/>
      <c r="H7" s="3"/>
      <c r="I7" s="38">
        <f t="shared" si="0"/>
        <v>212</v>
      </c>
    </row>
    <row r="8" spans="1:9" x14ac:dyDescent="0.25">
      <c r="A8" s="3"/>
      <c r="B8" s="3"/>
      <c r="C8" s="8"/>
      <c r="D8" s="6"/>
      <c r="E8" s="6">
        <f t="shared" ref="E8:E20" si="1">C8*D8</f>
        <v>0</v>
      </c>
      <c r="F8" s="5">
        <v>45769</v>
      </c>
      <c r="G8" s="6">
        <v>213696</v>
      </c>
      <c r="H8" s="3" t="s">
        <v>10</v>
      </c>
      <c r="I8" s="38">
        <f t="shared" si="0"/>
        <v>213908</v>
      </c>
    </row>
    <row r="9" spans="1:9" x14ac:dyDescent="0.25">
      <c r="A9" s="5">
        <v>45772</v>
      </c>
      <c r="B9" s="3" t="s">
        <v>37</v>
      </c>
      <c r="C9" s="8">
        <v>40320</v>
      </c>
      <c r="D9" s="6">
        <v>5.3</v>
      </c>
      <c r="E9" s="6">
        <f t="shared" si="1"/>
        <v>213696</v>
      </c>
      <c r="F9" s="3"/>
      <c r="G9" s="6"/>
      <c r="H9" s="3"/>
      <c r="I9" s="38">
        <f t="shared" si="0"/>
        <v>212</v>
      </c>
    </row>
    <row r="10" spans="1:9" x14ac:dyDescent="0.25">
      <c r="A10" s="3" t="s">
        <v>62</v>
      </c>
      <c r="B10" s="3" t="s">
        <v>63</v>
      </c>
      <c r="C10" s="8">
        <v>6720</v>
      </c>
      <c r="D10" s="6">
        <v>5.3</v>
      </c>
      <c r="E10" s="6">
        <f t="shared" si="1"/>
        <v>35616</v>
      </c>
      <c r="F10" s="3"/>
      <c r="G10" s="6"/>
      <c r="H10" s="3"/>
      <c r="I10" s="38">
        <f t="shared" si="0"/>
        <v>-35404</v>
      </c>
    </row>
    <row r="11" spans="1:9" x14ac:dyDescent="0.25">
      <c r="A11" s="3" t="s">
        <v>66</v>
      </c>
      <c r="B11" s="3" t="s">
        <v>67</v>
      </c>
      <c r="C11" s="8">
        <v>6720</v>
      </c>
      <c r="D11" s="6">
        <v>5.3</v>
      </c>
      <c r="E11" s="6">
        <f t="shared" si="1"/>
        <v>35616</v>
      </c>
      <c r="F11" s="3"/>
      <c r="G11" s="6"/>
      <c r="H11" s="3"/>
      <c r="I11" s="38">
        <f t="shared" si="0"/>
        <v>-71020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38">
        <f t="shared" si="0"/>
        <v>-71020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38">
        <f t="shared" si="0"/>
        <v>-71020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38">
        <f t="shared" si="0"/>
        <v>-71020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38">
        <f t="shared" si="0"/>
        <v>-71020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38">
        <f t="shared" si="0"/>
        <v>-71020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38">
        <f t="shared" si="0"/>
        <v>-71020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38">
        <f t="shared" si="0"/>
        <v>-71020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38">
        <f t="shared" si="0"/>
        <v>-71020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38">
        <f t="shared" si="0"/>
        <v>-71020</v>
      </c>
    </row>
    <row r="21" spans="1:9" x14ac:dyDescent="0.25">
      <c r="A21" s="3"/>
      <c r="B21" s="3"/>
      <c r="C21" s="8"/>
      <c r="D21" s="6"/>
      <c r="E21" s="6">
        <f>SUM(E7:E20)</f>
        <v>529788</v>
      </c>
      <c r="F21" s="3"/>
      <c r="G21" s="6"/>
      <c r="H21" s="3"/>
      <c r="I21" s="38">
        <f t="shared" si="0"/>
        <v>-600808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85000</v>
      </c>
      <c r="H3" s="3" t="s">
        <v>10</v>
      </c>
      <c r="I3" s="6">
        <f>I2-E3+G3</f>
        <v>85000</v>
      </c>
    </row>
    <row r="4" spans="1:9" x14ac:dyDescent="0.25">
      <c r="A4" s="5">
        <v>45684</v>
      </c>
      <c r="B4" s="3" t="s">
        <v>38</v>
      </c>
      <c r="C4" s="8">
        <v>50000</v>
      </c>
      <c r="D4" s="6">
        <v>0.85</v>
      </c>
      <c r="E4" s="6">
        <f t="shared" ref="E4:E21" si="0">C4*D4</f>
        <v>42500</v>
      </c>
      <c r="F4" s="3"/>
      <c r="G4" s="6"/>
      <c r="H4" s="3"/>
      <c r="I4" s="6">
        <f t="shared" ref="I4:I21" si="1">I3-E4+G4</f>
        <v>42500</v>
      </c>
    </row>
    <row r="5" spans="1:9" x14ac:dyDescent="0.25">
      <c r="A5" s="3"/>
      <c r="B5" s="3" t="s">
        <v>39</v>
      </c>
      <c r="C5" s="8">
        <v>50000</v>
      </c>
      <c r="D5" s="6">
        <v>0.85</v>
      </c>
      <c r="E5" s="6">
        <f t="shared" si="0"/>
        <v>42500</v>
      </c>
      <c r="F5" s="3"/>
      <c r="G5" s="6"/>
      <c r="H5" s="3"/>
      <c r="I5" s="6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45688</v>
      </c>
      <c r="G6" s="6">
        <v>129600</v>
      </c>
      <c r="H6" s="3" t="s">
        <v>10</v>
      </c>
      <c r="I6" s="6">
        <f t="shared" si="1"/>
        <v>129600</v>
      </c>
    </row>
    <row r="7" spans="1:9" x14ac:dyDescent="0.25">
      <c r="A7" s="32">
        <v>45698</v>
      </c>
      <c r="B7" s="3" t="s">
        <v>38</v>
      </c>
      <c r="C7" s="8">
        <v>120000</v>
      </c>
      <c r="D7" s="6">
        <v>0.54</v>
      </c>
      <c r="E7" s="6">
        <f t="shared" si="0"/>
        <v>64800.000000000007</v>
      </c>
      <c r="F7" s="3"/>
      <c r="G7" s="6"/>
      <c r="H7" s="3"/>
      <c r="I7" s="6">
        <f t="shared" si="1"/>
        <v>64799.999999999993</v>
      </c>
    </row>
    <row r="8" spans="1:9" x14ac:dyDescent="0.25">
      <c r="A8" s="3"/>
      <c r="B8" s="3" t="s">
        <v>39</v>
      </c>
      <c r="C8" s="8">
        <v>120000</v>
      </c>
      <c r="D8" s="6">
        <v>0.54</v>
      </c>
      <c r="E8" s="6">
        <f t="shared" si="0"/>
        <v>64800.000000000007</v>
      </c>
      <c r="F8" s="3"/>
      <c r="G8" s="6"/>
      <c r="H8" s="3"/>
      <c r="I8" s="6">
        <f t="shared" si="1"/>
        <v>-1.4551915228366852E-11</v>
      </c>
    </row>
    <row r="9" spans="1:9" x14ac:dyDescent="0.25">
      <c r="A9" s="3"/>
      <c r="B9" s="3"/>
      <c r="C9" s="8"/>
      <c r="D9" s="6"/>
      <c r="E9" s="6">
        <f t="shared" si="0"/>
        <v>0</v>
      </c>
      <c r="F9" s="5">
        <v>45713</v>
      </c>
      <c r="G9" s="6">
        <v>129600</v>
      </c>
      <c r="H9" s="3" t="s">
        <v>10</v>
      </c>
      <c r="I9" s="6">
        <f t="shared" si="1"/>
        <v>129599.99999999999</v>
      </c>
    </row>
    <row r="10" spans="1:9" x14ac:dyDescent="0.25">
      <c r="A10" s="5">
        <v>45716</v>
      </c>
      <c r="B10" s="3" t="s">
        <v>38</v>
      </c>
      <c r="C10" s="8">
        <v>120000</v>
      </c>
      <c r="D10" s="6">
        <v>0.54</v>
      </c>
      <c r="E10" s="6">
        <f t="shared" si="0"/>
        <v>64800.000000000007</v>
      </c>
      <c r="F10" s="3"/>
      <c r="G10" s="6"/>
      <c r="H10" s="3"/>
      <c r="I10" s="6">
        <f t="shared" si="1"/>
        <v>64799.999999999978</v>
      </c>
    </row>
    <row r="11" spans="1:9" x14ac:dyDescent="0.25">
      <c r="A11" s="3"/>
      <c r="B11" s="3" t="s">
        <v>39</v>
      </c>
      <c r="C11" s="8">
        <v>120000</v>
      </c>
      <c r="D11" s="6">
        <v>0.54</v>
      </c>
      <c r="E11" s="6">
        <f t="shared" si="0"/>
        <v>64800.000000000007</v>
      </c>
      <c r="F11" s="3"/>
      <c r="G11" s="6"/>
      <c r="H11" s="3"/>
      <c r="I11" s="6">
        <f t="shared" si="1"/>
        <v>-2.9103830456733704E-11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-2.9103830456733704E-11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-2.9103830456733704E-11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-2.9103830456733704E-11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-2.9103830456733704E-11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-2.9103830456733704E-11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-2.9103830456733704E-11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-2.9103830456733704E-11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-2.9103830456733704E-11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-2.9103830456733704E-11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-2.9103830456733704E-11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45616</v>
      </c>
      <c r="G3" s="6">
        <v>4640</v>
      </c>
      <c r="H3" s="3" t="s">
        <v>10</v>
      </c>
      <c r="I3" s="6">
        <f>I2-E3+G3</f>
        <v>4640</v>
      </c>
    </row>
    <row r="4" spans="1:9" x14ac:dyDescent="0.25">
      <c r="A4" s="5"/>
      <c r="B4" s="3"/>
      <c r="C4" s="8"/>
      <c r="D4" s="6"/>
      <c r="E4" s="6">
        <f>C4*D4</f>
        <v>0</v>
      </c>
      <c r="F4" s="3"/>
      <c r="G4" s="6"/>
      <c r="H4" s="3"/>
      <c r="I4" s="6">
        <f t="shared" ref="I4:I21" si="0">I3-E4+G4</f>
        <v>4640</v>
      </c>
    </row>
    <row r="5" spans="1:9" x14ac:dyDescent="0.25">
      <c r="A5" s="3"/>
      <c r="B5" s="3"/>
      <c r="C5" s="8">
        <v>1600</v>
      </c>
      <c r="D5" s="6">
        <v>2.9</v>
      </c>
      <c r="E5" s="6">
        <f>C5*D5</f>
        <v>4640</v>
      </c>
      <c r="F5" s="3"/>
      <c r="G5" s="6"/>
      <c r="H5" s="3"/>
      <c r="I5" s="6">
        <f t="shared" si="0"/>
        <v>0</v>
      </c>
    </row>
    <row r="6" spans="1:9" x14ac:dyDescent="0.25">
      <c r="A6" s="3"/>
      <c r="B6" s="3"/>
      <c r="C6" s="8"/>
      <c r="D6" s="6"/>
      <c r="E6" s="6">
        <f t="shared" ref="E6:E9" si="1">C6*D6</f>
        <v>0</v>
      </c>
      <c r="F6" s="5">
        <v>45636</v>
      </c>
      <c r="G6" s="6">
        <v>9283.6</v>
      </c>
      <c r="H6" s="3" t="s">
        <v>10</v>
      </c>
      <c r="I6" s="6">
        <f t="shared" si="0"/>
        <v>9283.6</v>
      </c>
    </row>
    <row r="7" spans="1:9" x14ac:dyDescent="0.25">
      <c r="A7" s="5">
        <v>45639</v>
      </c>
      <c r="B7" s="3" t="s">
        <v>40</v>
      </c>
      <c r="C7" s="8">
        <v>100</v>
      </c>
      <c r="D7" s="6">
        <v>18</v>
      </c>
      <c r="E7" s="6">
        <f t="shared" si="1"/>
        <v>1800</v>
      </c>
      <c r="F7" s="3"/>
      <c r="G7" s="6"/>
      <c r="H7" s="3"/>
      <c r="I7" s="6">
        <f t="shared" si="0"/>
        <v>7483.6</v>
      </c>
    </row>
    <row r="8" spans="1:9" x14ac:dyDescent="0.25">
      <c r="A8" s="3"/>
      <c r="B8" s="3" t="s">
        <v>41</v>
      </c>
      <c r="C8" s="8">
        <v>1000</v>
      </c>
      <c r="D8" s="6">
        <v>3.7</v>
      </c>
      <c r="E8" s="6">
        <f t="shared" si="1"/>
        <v>3700</v>
      </c>
      <c r="F8" s="3"/>
      <c r="G8" s="6"/>
      <c r="H8" s="3"/>
      <c r="I8" s="6">
        <f t="shared" si="0"/>
        <v>3783.6000000000004</v>
      </c>
    </row>
    <row r="9" spans="1:9" x14ac:dyDescent="0.25">
      <c r="A9" s="3"/>
      <c r="B9" s="3" t="s">
        <v>42</v>
      </c>
      <c r="C9" s="8">
        <v>36</v>
      </c>
      <c r="D9" s="6">
        <v>105.1</v>
      </c>
      <c r="E9" s="6">
        <f t="shared" si="1"/>
        <v>3783.6</v>
      </c>
      <c r="F9" s="3"/>
      <c r="G9" s="6"/>
      <c r="H9" s="3"/>
      <c r="I9" s="6">
        <f t="shared" si="0"/>
        <v>4.5474735088646412E-13</v>
      </c>
    </row>
    <row r="10" spans="1:9" x14ac:dyDescent="0.25">
      <c r="A10" s="23" t="s">
        <v>12</v>
      </c>
      <c r="B10" s="23"/>
      <c r="C10" s="24"/>
      <c r="D10" s="25"/>
      <c r="E10" s="25"/>
      <c r="F10" s="23"/>
      <c r="G10" s="25"/>
      <c r="H10" s="23"/>
      <c r="I10" s="25">
        <f t="shared" si="0"/>
        <v>4.5474735088646412E-13</v>
      </c>
    </row>
    <row r="11" spans="1:9" x14ac:dyDescent="0.25">
      <c r="A11" s="3"/>
      <c r="B11" s="3"/>
      <c r="C11" s="8"/>
      <c r="D11" s="6"/>
      <c r="E11" s="6"/>
      <c r="F11" s="5">
        <v>45680</v>
      </c>
      <c r="G11" s="6">
        <v>26767.200000000001</v>
      </c>
      <c r="H11" s="3" t="s">
        <v>10</v>
      </c>
      <c r="I11" s="6">
        <f t="shared" si="0"/>
        <v>26767.200000000001</v>
      </c>
    </row>
    <row r="12" spans="1:9" x14ac:dyDescent="0.25">
      <c r="A12" s="5">
        <v>45681</v>
      </c>
      <c r="B12" s="3" t="s">
        <v>43</v>
      </c>
      <c r="C12" s="8">
        <v>60</v>
      </c>
      <c r="D12" s="6">
        <v>446.12</v>
      </c>
      <c r="E12" s="6">
        <f t="shared" ref="E12" si="2">C12*D12</f>
        <v>26767.200000000001</v>
      </c>
      <c r="F12" s="3"/>
      <c r="G12" s="6"/>
      <c r="H12" s="3"/>
      <c r="I12" s="6">
        <f t="shared" si="0"/>
        <v>0</v>
      </c>
    </row>
    <row r="13" spans="1:9" x14ac:dyDescent="0.25">
      <c r="A13" s="23"/>
      <c r="B13" s="23"/>
      <c r="C13" s="24"/>
      <c r="D13" s="25"/>
      <c r="E13" s="25"/>
      <c r="F13" s="23"/>
      <c r="G13" s="25"/>
      <c r="H13" s="23"/>
      <c r="I13" s="25">
        <f t="shared" si="0"/>
        <v>0</v>
      </c>
    </row>
    <row r="14" spans="1:9" x14ac:dyDescent="0.25">
      <c r="A14" s="3"/>
      <c r="B14" s="3"/>
      <c r="C14" s="8"/>
      <c r="D14" s="6"/>
      <c r="E14" s="6"/>
      <c r="F14" s="5">
        <v>45740</v>
      </c>
      <c r="G14" s="6">
        <v>25969.200000000001</v>
      </c>
      <c r="H14" s="3" t="s">
        <v>10</v>
      </c>
      <c r="I14" s="6">
        <f t="shared" si="0"/>
        <v>25969.200000000001</v>
      </c>
    </row>
    <row r="15" spans="1:9" x14ac:dyDescent="0.25">
      <c r="A15" s="5">
        <v>45742</v>
      </c>
      <c r="B15" s="3" t="s">
        <v>43</v>
      </c>
      <c r="C15" s="8">
        <v>60</v>
      </c>
      <c r="D15" s="6">
        <v>432.82</v>
      </c>
      <c r="E15" s="6">
        <f t="shared" ref="E15:E21" si="3">C15*D15</f>
        <v>25969.200000000001</v>
      </c>
      <c r="F15" s="3"/>
      <c r="G15" s="6"/>
      <c r="H15" s="3"/>
      <c r="I15" s="6">
        <f t="shared" si="0"/>
        <v>0</v>
      </c>
    </row>
    <row r="16" spans="1:9" x14ac:dyDescent="0.25">
      <c r="A16" s="3" t="s">
        <v>64</v>
      </c>
      <c r="B16" s="3" t="s">
        <v>61</v>
      </c>
      <c r="C16" s="8">
        <v>5</v>
      </c>
      <c r="D16" s="6">
        <v>432.82</v>
      </c>
      <c r="E16" s="6">
        <f t="shared" si="3"/>
        <v>2164.1</v>
      </c>
      <c r="F16" s="3"/>
      <c r="G16" s="6"/>
      <c r="H16" s="3"/>
      <c r="I16" s="6">
        <f t="shared" si="0"/>
        <v>-2164.1</v>
      </c>
    </row>
    <row r="17" spans="1:9" x14ac:dyDescent="0.25">
      <c r="A17" s="3"/>
      <c r="B17" s="3"/>
      <c r="C17" s="8"/>
      <c r="D17" s="6"/>
      <c r="E17" s="6">
        <f t="shared" si="3"/>
        <v>0</v>
      </c>
      <c r="F17" s="3"/>
      <c r="G17" s="6"/>
      <c r="H17" s="3"/>
      <c r="I17" s="6">
        <f t="shared" si="0"/>
        <v>-2164.1</v>
      </c>
    </row>
    <row r="18" spans="1:9" x14ac:dyDescent="0.25">
      <c r="A18" s="3"/>
      <c r="B18" s="3"/>
      <c r="C18" s="8"/>
      <c r="D18" s="6"/>
      <c r="E18" s="6">
        <f t="shared" si="3"/>
        <v>0</v>
      </c>
      <c r="F18" s="3"/>
      <c r="G18" s="6"/>
      <c r="H18" s="3"/>
      <c r="I18" s="6">
        <f t="shared" si="0"/>
        <v>-2164.1</v>
      </c>
    </row>
    <row r="19" spans="1:9" x14ac:dyDescent="0.25">
      <c r="A19" s="3"/>
      <c r="B19" s="3"/>
      <c r="C19" s="8"/>
      <c r="D19" s="6"/>
      <c r="E19" s="6">
        <f t="shared" si="3"/>
        <v>0</v>
      </c>
      <c r="F19" s="3"/>
      <c r="G19" s="6"/>
      <c r="H19" s="3"/>
      <c r="I19" s="6">
        <f t="shared" si="0"/>
        <v>-2164.1</v>
      </c>
    </row>
    <row r="20" spans="1:9" x14ac:dyDescent="0.25">
      <c r="A20" s="3"/>
      <c r="B20" s="3"/>
      <c r="C20" s="8"/>
      <c r="D20" s="6"/>
      <c r="E20" s="6">
        <f t="shared" si="3"/>
        <v>0</v>
      </c>
      <c r="F20" s="3"/>
      <c r="G20" s="6"/>
      <c r="H20" s="3"/>
      <c r="I20" s="6">
        <f t="shared" si="0"/>
        <v>-2164.1</v>
      </c>
    </row>
    <row r="21" spans="1:9" x14ac:dyDescent="0.25">
      <c r="A21" s="3"/>
      <c r="B21" s="3"/>
      <c r="C21" s="8"/>
      <c r="D21" s="6"/>
      <c r="E21" s="6">
        <f t="shared" si="3"/>
        <v>0</v>
      </c>
      <c r="F21" s="3"/>
      <c r="G21" s="6"/>
      <c r="H21" s="3"/>
      <c r="I21" s="6">
        <f t="shared" si="0"/>
        <v>-2164.1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23">
        <v>2025</v>
      </c>
      <c r="B13" s="23"/>
      <c r="C13" s="24"/>
      <c r="D13" s="25"/>
      <c r="E13" s="25">
        <f t="shared" si="2"/>
        <v>0</v>
      </c>
      <c r="F13" s="23"/>
      <c r="G13" s="25"/>
      <c r="H13" s="23"/>
      <c r="I13" s="25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9" t="s">
        <v>55</v>
      </c>
      <c r="B18" s="29"/>
      <c r="C18" s="30"/>
      <c r="D18" s="31"/>
      <c r="E18" s="31">
        <f t="shared" si="2"/>
        <v>0</v>
      </c>
      <c r="F18" s="29"/>
      <c r="G18" s="31"/>
      <c r="H18" s="29"/>
      <c r="I18" s="31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47" t="s">
        <v>56</v>
      </c>
      <c r="C22" s="20">
        <v>768.35</v>
      </c>
      <c r="D22" s="21">
        <v>625</v>
      </c>
      <c r="E22" s="21">
        <f t="shared" si="2"/>
        <v>480218.75</v>
      </c>
      <c r="F22" s="13"/>
      <c r="G22" s="21"/>
      <c r="H22" s="13"/>
      <c r="I22" s="21">
        <f t="shared" si="0"/>
        <v>-180218.75</v>
      </c>
    </row>
    <row r="23" spans="1:9" ht="17.25" customHeight="1" x14ac:dyDescent="0.25">
      <c r="A23" s="3" t="s">
        <v>69</v>
      </c>
      <c r="B23" s="50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/>
      <c r="B24" s="3" t="s">
        <v>65</v>
      </c>
      <c r="C24" s="8">
        <v>42.15</v>
      </c>
      <c r="D24" s="6">
        <v>682</v>
      </c>
      <c r="E24" s="6">
        <f t="shared" si="2"/>
        <v>28746.3</v>
      </c>
      <c r="F24" s="3"/>
      <c r="G24" s="6"/>
      <c r="H24" s="3"/>
      <c r="I24" s="6">
        <f t="shared" si="0"/>
        <v>-237711.34999999998</v>
      </c>
    </row>
    <row r="25" spans="1:9" x14ac:dyDescent="0.25">
      <c r="A25" s="3"/>
      <c r="B25" s="3" t="s">
        <v>65</v>
      </c>
      <c r="C25" s="8">
        <v>15.42</v>
      </c>
      <c r="D25" s="6">
        <v>682</v>
      </c>
      <c r="E25" s="6">
        <f t="shared" si="2"/>
        <v>10516.44</v>
      </c>
      <c r="F25" s="3"/>
      <c r="G25" s="6"/>
      <c r="H25" s="3"/>
      <c r="I25" s="6">
        <f t="shared" si="0"/>
        <v>-248227.78999999998</v>
      </c>
    </row>
    <row r="26" spans="1:9" x14ac:dyDescent="0.25">
      <c r="A26" s="3"/>
      <c r="B26" s="3"/>
      <c r="C26" s="8">
        <v>39.979999999999997</v>
      </c>
      <c r="D26" s="6">
        <v>741</v>
      </c>
      <c r="E26" s="6">
        <f t="shared" si="2"/>
        <v>29625.179999999997</v>
      </c>
      <c r="F26" s="3"/>
      <c r="G26" s="6"/>
      <c r="H26" s="3"/>
      <c r="I26" s="6">
        <f t="shared" si="0"/>
        <v>-277852.96999999997</v>
      </c>
    </row>
    <row r="27" spans="1:9" x14ac:dyDescent="0.25">
      <c r="A27" s="3"/>
      <c r="B27" s="3"/>
      <c r="C27" s="8"/>
      <c r="D27" s="6"/>
      <c r="E27" s="6">
        <f t="shared" si="2"/>
        <v>0</v>
      </c>
      <c r="F27" s="3"/>
      <c r="G27" s="6"/>
      <c r="H27" s="3"/>
      <c r="I27" s="6">
        <f t="shared" si="0"/>
        <v>-277852.96999999997</v>
      </c>
    </row>
    <row r="28" spans="1:9" x14ac:dyDescent="0.25">
      <c r="A28" s="3"/>
      <c r="B28" s="3"/>
      <c r="C28" s="8"/>
      <c r="D28" s="6"/>
      <c r="E28" s="6">
        <f t="shared" si="2"/>
        <v>0</v>
      </c>
      <c r="F28" s="3"/>
      <c r="G28" s="6"/>
      <c r="H28" s="3"/>
      <c r="I28" s="6">
        <f t="shared" si="0"/>
        <v>-277852.96999999997</v>
      </c>
    </row>
    <row r="29" spans="1:9" x14ac:dyDescent="0.25">
      <c r="A29" s="3"/>
      <c r="B29" s="3"/>
      <c r="C29" s="8"/>
      <c r="D29" s="6"/>
      <c r="E29" s="6">
        <f>SUM(E3:E27)</f>
        <v>1849616.7699999998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8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6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s="14" customFormat="1" ht="30" x14ac:dyDescent="0.25">
      <c r="A3" s="12">
        <v>45624</v>
      </c>
      <c r="B3" s="19" t="s">
        <v>57</v>
      </c>
      <c r="C3" s="20">
        <v>100</v>
      </c>
      <c r="D3" s="21">
        <v>12.59</v>
      </c>
      <c r="E3" s="21">
        <f>C3*D3</f>
        <v>1259</v>
      </c>
      <c r="F3" s="12">
        <v>45624</v>
      </c>
      <c r="G3" s="21">
        <v>1259</v>
      </c>
      <c r="H3" s="13" t="s">
        <v>58</v>
      </c>
      <c r="I3" s="21">
        <f>I2-E3+G3</f>
        <v>0</v>
      </c>
    </row>
    <row r="4" spans="1:9" s="14" customFormat="1" x14ac:dyDescent="0.25">
      <c r="A4" s="12"/>
      <c r="B4" s="13"/>
      <c r="C4" s="20"/>
      <c r="D4" s="21"/>
      <c r="E4" s="21"/>
      <c r="F4" s="13"/>
      <c r="G4" s="21"/>
      <c r="H4" s="13"/>
      <c r="I4" s="21">
        <f t="shared" ref="I4:I21" si="0">I3-E4+G4</f>
        <v>0</v>
      </c>
    </row>
    <row r="5" spans="1:9" s="14" customFormat="1" x14ac:dyDescent="0.25">
      <c r="A5" s="13"/>
      <c r="B5" s="13"/>
      <c r="C5" s="20"/>
      <c r="D5" s="21"/>
      <c r="E5" s="21"/>
      <c r="F5" s="13"/>
      <c r="G5" s="21"/>
      <c r="H5" s="13"/>
      <c r="I5" s="21">
        <f t="shared" si="0"/>
        <v>0</v>
      </c>
    </row>
    <row r="6" spans="1:9" s="14" customFormat="1" x14ac:dyDescent="0.25">
      <c r="A6" s="13"/>
      <c r="B6" s="13"/>
      <c r="C6" s="20"/>
      <c r="D6" s="21"/>
      <c r="E6" s="21"/>
      <c r="F6" s="13"/>
      <c r="G6" s="21"/>
      <c r="H6" s="13"/>
      <c r="I6" s="21">
        <f t="shared" si="0"/>
        <v>0</v>
      </c>
    </row>
    <row r="7" spans="1:9" s="14" customFormat="1" x14ac:dyDescent="0.25">
      <c r="A7" s="13"/>
      <c r="B7" s="13"/>
      <c r="C7" s="20"/>
      <c r="D7" s="21"/>
      <c r="E7" s="21"/>
      <c r="F7" s="13"/>
      <c r="G7" s="21"/>
      <c r="H7" s="13"/>
      <c r="I7" s="21">
        <f t="shared" si="0"/>
        <v>0</v>
      </c>
    </row>
    <row r="8" spans="1:9" s="14" customFormat="1" x14ac:dyDescent="0.25">
      <c r="A8" s="13"/>
      <c r="B8" s="13"/>
      <c r="C8" s="20"/>
      <c r="D8" s="21"/>
      <c r="E8" s="21"/>
      <c r="F8" s="13"/>
      <c r="G8" s="21"/>
      <c r="H8" s="13"/>
      <c r="I8" s="21">
        <f t="shared" si="0"/>
        <v>0</v>
      </c>
    </row>
    <row r="9" spans="1:9" s="14" customFormat="1" x14ac:dyDescent="0.25">
      <c r="A9" s="13"/>
      <c r="B9" s="13"/>
      <c r="C9" s="20"/>
      <c r="D9" s="21"/>
      <c r="E9" s="21"/>
      <c r="F9" s="13"/>
      <c r="G9" s="21"/>
      <c r="H9" s="13"/>
      <c r="I9" s="21">
        <f t="shared" si="0"/>
        <v>0</v>
      </c>
    </row>
    <row r="10" spans="1:9" s="14" customFormat="1" x14ac:dyDescent="0.25">
      <c r="A10" s="13"/>
      <c r="B10" s="13"/>
      <c r="C10" s="20"/>
      <c r="D10" s="21"/>
      <c r="E10" s="21"/>
      <c r="F10" s="13"/>
      <c r="G10" s="21"/>
      <c r="H10" s="13"/>
      <c r="I10" s="21">
        <f t="shared" si="0"/>
        <v>0</v>
      </c>
    </row>
    <row r="11" spans="1:9" s="14" customFormat="1" x14ac:dyDescent="0.25">
      <c r="A11" s="13"/>
      <c r="B11" s="13"/>
      <c r="C11" s="20"/>
      <c r="D11" s="21"/>
      <c r="E11" s="21"/>
      <c r="F11" s="13"/>
      <c r="G11" s="21"/>
      <c r="H11" s="13"/>
      <c r="I11" s="21">
        <f t="shared" si="0"/>
        <v>0</v>
      </c>
    </row>
    <row r="12" spans="1:9" s="14" customFormat="1" x14ac:dyDescent="0.25">
      <c r="A12" s="13"/>
      <c r="B12" s="13"/>
      <c r="C12" s="20"/>
      <c r="D12" s="21"/>
      <c r="E12" s="21"/>
      <c r="F12" s="13"/>
      <c r="G12" s="21"/>
      <c r="H12" s="13"/>
      <c r="I12" s="21">
        <f t="shared" si="0"/>
        <v>0</v>
      </c>
    </row>
    <row r="13" spans="1:9" s="14" customFormat="1" x14ac:dyDescent="0.25">
      <c r="A13" s="13"/>
      <c r="B13" s="13"/>
      <c r="C13" s="20"/>
      <c r="D13" s="21"/>
      <c r="E13" s="21"/>
      <c r="F13" s="13"/>
      <c r="G13" s="21"/>
      <c r="H13" s="13"/>
      <c r="I13" s="21">
        <f t="shared" si="0"/>
        <v>0</v>
      </c>
    </row>
    <row r="14" spans="1:9" s="14" customFormat="1" x14ac:dyDescent="0.25">
      <c r="A14" s="13"/>
      <c r="B14" s="13"/>
      <c r="C14" s="20"/>
      <c r="D14" s="21"/>
      <c r="E14" s="21"/>
      <c r="F14" s="13"/>
      <c r="G14" s="21"/>
      <c r="H14" s="13"/>
      <c r="I14" s="21">
        <f t="shared" si="0"/>
        <v>0</v>
      </c>
    </row>
    <row r="15" spans="1:9" s="14" customFormat="1" x14ac:dyDescent="0.25">
      <c r="A15" s="13"/>
      <c r="B15" s="13"/>
      <c r="C15" s="20"/>
      <c r="D15" s="21"/>
      <c r="E15" s="21"/>
      <c r="F15" s="13"/>
      <c r="G15" s="21"/>
      <c r="H15" s="13"/>
      <c r="I15" s="21">
        <f t="shared" si="0"/>
        <v>0</v>
      </c>
    </row>
    <row r="16" spans="1:9" s="14" customFormat="1" x14ac:dyDescent="0.25">
      <c r="A16" s="13"/>
      <c r="B16" s="13"/>
      <c r="C16" s="20"/>
      <c r="D16" s="21"/>
      <c r="E16" s="21"/>
      <c r="F16" s="13"/>
      <c r="G16" s="21"/>
      <c r="H16" s="13"/>
      <c r="I16" s="21">
        <f t="shared" si="0"/>
        <v>0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ООО 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2025-07-11T17:57:42Z</dcterms:modified>
  <cp:category/>
  <cp:contentStatus/>
</cp:coreProperties>
</file>