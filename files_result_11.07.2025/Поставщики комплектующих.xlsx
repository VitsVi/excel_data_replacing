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C65B2F4C-B478-415F-8368-AC055F8907DA}" xr6:coauthVersionLast="47" xr6:coauthVersionMax="47" xr10:uidLastSave="{00000000-0000-0000-0000-000000000000}"/>
  <bookViews>
    <workbookView xWindow="1170" yWindow="1170" windowWidth="21600" windowHeight="11295" firstSheet="4" activeTab="4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11" l="1"/>
  <c r="E25" i="11"/>
  <c r="E24" i="11"/>
  <c r="E21" i="22"/>
  <c r="G30" i="11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E12" i="11" l="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30" i="11" s="1"/>
  <c r="I30" i="11" s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<sst xmlns="http://schemas.openxmlformats.org/spreadsheetml/2006/main" count="274" uniqueCount="77">
  <si>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</si>
  <si>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</si>
  <si>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</si>
  <si>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</si>
  <si>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</si>
  <si>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</si>
  <si>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</si>
  <si>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</si>
  <si>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</si>
  <si>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</si>
  <si>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</si>
  <si>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</si>
  <si>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</si>
  <si>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</si>
  <si>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</si>
  <si>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</si>
  <si>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</si>
  <si>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</si>
  <si>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</si>
  <si>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</si>
  <si>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</si>
  <si>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</si>
  <si>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</si>
  <si>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</si>
  <si>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</si>
  <si>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</si>
  <si>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</si>
  <si>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</si>
  <si>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</si>
  <si>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</si>
  <si>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</si>
  <si>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</si>
  <si>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</si>
  <si>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</si>
  <si>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</si>
  <si>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</si>
  <si>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</si>
  <si>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</si>
  <si>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</si>
  <si>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</si>
  <si>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</si>
  <si>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</si>
  <si>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</si>
  <si>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</si>
  <si>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</si>
  <si>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</si>
  <si>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</si>
  <si>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</si>
  <si>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</si>
  <si>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</si>
  <si>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</si>
  <si>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</si>
  <si>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</si>
  <si>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</si>
  <si>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</si>
  <si>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</si>
  <si>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</si>
  <si>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</si>
  <si>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</si>
  <si>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</si>
  <si>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</si>
  <si>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</si>
  <si>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</si>
  <si>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</si>
  <si>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</si>
  <si>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</si>
  <si>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</si>
  <si>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</si>
  <si>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</si>
  <si>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</si>
  <si>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</si>
  <si>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</si>
  <si>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</si>
  <si>
    <t>02.06.2025</t>
  </si>
  <si>
    <t>20.05.2025</t>
  </si>
  <si>
    <t xml:space="preserve">Пленка для  упаковки фисташки "Тарелка" БОПП 20 мкм проз.,310*170 мм </t>
  </si>
  <si>
    <t xml:space="preserve">гофрокороб 460*340*130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</si>
</sst>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164" fontId="8" fillId="0" borderId="2" xfId="0" applyNumberFormat="1" applyFont="1" applyBorder="1"/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2" fontId="2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0" fillId="3" borderId="1" xfId="0" applyNumberFormat="1" applyFont="1" applyFill="1" applyBorder="1" applyAlignment="1">
      <alignment vertical="center"/>
    </xf>
    <xf numFmtId="164" fontId="10" fillId="3" borderId="1" xfId="0" applyNumberFormat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" fontId="1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 wrapText="1"/>
    </xf>
    <xf numFmtId="2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4" fontId="12" fillId="5" borderId="4" xfId="0" applyNumberFormat="1" applyFont="1" applyFill="1" applyBorder="1" applyAlignment="1">
      <alignment horizontal="left" vertical="center"/>
    </xf>
    <xf numFmtId="2" fontId="6" fillId="5" borderId="3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7"/>
    <col min="5" max="5" width="14.42578125" style="37" bestFit="1" customWidth="1"/>
    <col min="6" max="6" width="8.85546875" style="14"/>
    <col min="7" max="7" width="14.42578125" style="37" bestFit="1" customWidth="1"/>
    <col min="8" max="8" width="8.85546875" style="14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7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8" t="s">
        <v>15</v>
      </c>
      <c r="B5" s="23"/>
      <c r="C5" s="48"/>
      <c r="D5" s="36"/>
      <c r="E5" s="36">
        <f t="shared" si="0"/>
        <v>0</v>
      </c>
      <c r="F5" s="48"/>
      <c r="G5" s="36"/>
      <c r="H5" s="48"/>
      <c r="I5" s="36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tabSelected="1"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5" customWidth="1"/>
    <col min="3" max="3" width="9.28515625" style="14" bestFit="1" customWidth="1"/>
    <col min="4" max="4" width="12.140625" style="37" customWidth="1"/>
    <col min="5" max="5" width="14.85546875" style="37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28"/>
      <c r="C2" s="13"/>
      <c r="D2" s="21"/>
      <c r="E2" s="21"/>
      <c r="F2" s="3"/>
      <c r="G2" s="6"/>
      <c r="H2" s="3"/>
      <c r="I2" s="21">
        <v>0</v>
      </c>
    </row>
    <row r="3" spans="1:9" x14ac:dyDescent="0.25">
      <c r="A3" s="3"/>
      <c r="B3" s="28"/>
      <c r="C3" s="20"/>
      <c r="D3" s="21"/>
      <c r="E3" s="21"/>
      <c r="F3" s="5">
        <v>45559</v>
      </c>
      <c r="G3" s="6">
        <v>149976</v>
      </c>
      <c r="H3" s="3" t="s">
        <v>10</v>
      </c>
      <c r="I3" s="21">
        <f>I2-E3+G3</f>
        <v>149976</v>
      </c>
    </row>
    <row r="4" spans="1:9" x14ac:dyDescent="0.25">
      <c r="A4" s="5">
        <v>45569</v>
      </c>
      <c r="B4" s="28" t="s">
        <v>18</v>
      </c>
      <c r="C4" s="20">
        <v>6000</v>
      </c>
      <c r="D4" s="21">
        <v>24.995999999999999</v>
      </c>
      <c r="E4" s="21">
        <f>C4*D4</f>
        <v>149976</v>
      </c>
      <c r="F4" s="3"/>
      <c r="G4" s="6"/>
      <c r="H4" s="3"/>
      <c r="I4" s="21">
        <f t="shared" ref="I4:I29" si="0">I3-E4+G4</f>
        <v>0</v>
      </c>
    </row>
    <row r="5" spans="1:9" x14ac:dyDescent="0.25">
      <c r="A5" s="23" t="s">
        <v>12</v>
      </c>
      <c r="B5" s="34"/>
      <c r="C5" s="38"/>
      <c r="D5" s="36"/>
      <c r="E5" s="36"/>
      <c r="F5" s="23"/>
      <c r="G5" s="25"/>
      <c r="H5" s="23"/>
      <c r="I5" s="36">
        <f t="shared" si="0"/>
        <v>0</v>
      </c>
    </row>
    <row r="6" spans="1:9" x14ac:dyDescent="0.25">
      <c r="A6" s="3"/>
      <c r="B6" s="28"/>
      <c r="C6" s="20"/>
      <c r="D6" s="21"/>
      <c r="E6" s="21"/>
      <c r="F6" s="5">
        <v>45677</v>
      </c>
      <c r="G6" s="6">
        <v>55152</v>
      </c>
      <c r="H6" s="3" t="s">
        <v>10</v>
      </c>
      <c r="I6" s="21">
        <f t="shared" si="0"/>
        <v>55152</v>
      </c>
    </row>
    <row r="7" spans="1:9" s="14" customFormat="1" ht="31.5" x14ac:dyDescent="0.25">
      <c r="A7" s="12">
        <v>45686</v>
      </c>
      <c r="B7" s="28" t="s">
        <v>19</v>
      </c>
      <c r="C7" s="20">
        <v>3800</v>
      </c>
      <c r="D7" s="21">
        <v>13.788</v>
      </c>
      <c r="E7" s="21">
        <f>C7*D7</f>
        <v>52394.400000000001</v>
      </c>
      <c r="F7" s="13"/>
      <c r="G7" s="21"/>
      <c r="H7" s="13"/>
      <c r="I7" s="21">
        <f t="shared" si="0"/>
        <v>2757.5999999999985</v>
      </c>
    </row>
    <row r="8" spans="1:9" x14ac:dyDescent="0.25">
      <c r="A8" s="3"/>
      <c r="B8" s="28"/>
      <c r="C8" s="20"/>
      <c r="D8" s="21"/>
      <c r="E8" s="21"/>
      <c r="F8" s="32">
        <v>45698</v>
      </c>
      <c r="G8" s="6">
        <v>137880</v>
      </c>
      <c r="H8" s="3" t="s">
        <v>10</v>
      </c>
      <c r="I8" s="21">
        <f t="shared" si="0"/>
        <v>140637.6</v>
      </c>
    </row>
    <row r="9" spans="1:9" x14ac:dyDescent="0.25">
      <c r="A9" s="3"/>
      <c r="B9" s="28"/>
      <c r="C9" s="20"/>
      <c r="D9" s="21"/>
      <c r="E9" s="21"/>
      <c r="F9" s="5">
        <v>45701</v>
      </c>
      <c r="G9" s="33">
        <v>15261.6</v>
      </c>
      <c r="H9" s="3" t="s">
        <v>10</v>
      </c>
      <c r="I9" s="21">
        <f t="shared" si="0"/>
        <v>155899.20000000001</v>
      </c>
    </row>
    <row r="10" spans="1:9" x14ac:dyDescent="0.25">
      <c r="A10" s="3"/>
      <c r="B10" s="28"/>
      <c r="C10" s="20"/>
      <c r="D10" s="21"/>
      <c r="E10" s="21"/>
      <c r="F10" s="3"/>
      <c r="G10" s="33">
        <v>44910</v>
      </c>
      <c r="H10" s="3" t="s">
        <v>10</v>
      </c>
      <c r="I10" s="21">
        <f t="shared" si="0"/>
        <v>200809.2</v>
      </c>
    </row>
    <row r="11" spans="1:9" s="14" customFormat="1" ht="31.5" x14ac:dyDescent="0.25">
      <c r="A11" s="12">
        <v>45702</v>
      </c>
      <c r="B11" s="28" t="s">
        <v>19</v>
      </c>
      <c r="C11" s="20">
        <v>10000</v>
      </c>
      <c r="D11" s="21">
        <v>13.788</v>
      </c>
      <c r="E11" s="21">
        <f>C11*D11</f>
        <v>137880</v>
      </c>
      <c r="F11" s="13"/>
      <c r="G11" s="21"/>
      <c r="H11" s="13"/>
      <c r="I11" s="21">
        <f t="shared" si="0"/>
        <v>62929.200000000012</v>
      </c>
    </row>
    <row r="12" spans="1:9" x14ac:dyDescent="0.25">
      <c r="A12" s="3"/>
      <c r="B12" s="28"/>
      <c r="C12" s="20"/>
      <c r="D12" s="21"/>
      <c r="E12" s="21">
        <f t="shared" ref="E12:E14" si="1">C12*D12</f>
        <v>0</v>
      </c>
      <c r="F12" s="5">
        <v>45713</v>
      </c>
      <c r="G12" s="6">
        <v>466272</v>
      </c>
      <c r="H12" s="3" t="s">
        <v>10</v>
      </c>
      <c r="I12" s="21">
        <f t="shared" si="0"/>
        <v>529201.19999999995</v>
      </c>
    </row>
    <row r="13" spans="1:9" ht="25.5" x14ac:dyDescent="0.25">
      <c r="A13" s="56">
        <v>45718</v>
      </c>
      <c r="B13" s="57" t="s">
        <v>20</v>
      </c>
      <c r="C13" s="58">
        <v>1</v>
      </c>
      <c r="D13" s="55">
        <v>44910</v>
      </c>
      <c r="E13" s="55">
        <f t="shared" si="1"/>
        <v>44910</v>
      </c>
      <c r="F13" s="5"/>
      <c r="G13" s="6"/>
      <c r="H13" s="3"/>
      <c r="I13" s="21">
        <f t="shared" si="0"/>
        <v>484291.19999999995</v>
      </c>
    </row>
    <row r="14" spans="1:9" ht="25.5" x14ac:dyDescent="0.25">
      <c r="A14" s="59"/>
      <c r="B14" s="57" t="s">
        <v>21</v>
      </c>
      <c r="C14" s="58">
        <v>1</v>
      </c>
      <c r="D14" s="55">
        <v>15261.6</v>
      </c>
      <c r="E14" s="55">
        <f t="shared" si="1"/>
        <v>15261.6</v>
      </c>
      <c r="F14" s="5"/>
      <c r="G14" s="6"/>
      <c r="H14" s="3"/>
      <c r="I14" s="21">
        <f t="shared" si="0"/>
        <v>469029.6</v>
      </c>
    </row>
    <row r="15" spans="1:9" ht="31.5" x14ac:dyDescent="0.25">
      <c r="A15" s="5">
        <v>45720</v>
      </c>
      <c r="B15" s="28" t="s">
        <v>19</v>
      </c>
      <c r="C15" s="20">
        <v>5986</v>
      </c>
      <c r="D15" s="21">
        <v>13.788</v>
      </c>
      <c r="E15" s="21">
        <f>C15*D15</f>
        <v>82534.968000000008</v>
      </c>
      <c r="F15" s="3"/>
      <c r="G15" s="6"/>
      <c r="H15" s="3"/>
      <c r="I15" s="21">
        <f t="shared" si="0"/>
        <v>386494.63199999998</v>
      </c>
    </row>
    <row r="16" spans="1:9" ht="31.5" x14ac:dyDescent="0.25">
      <c r="A16" s="3"/>
      <c r="B16" s="28" t="s">
        <v>22</v>
      </c>
      <c r="C16" s="20">
        <v>9823</v>
      </c>
      <c r="D16" s="21">
        <v>25.776</v>
      </c>
      <c r="E16" s="21">
        <f t="shared" ref="E16:E17" si="2">C16*D16</f>
        <v>253197.64799999999</v>
      </c>
      <c r="F16" s="3"/>
      <c r="G16" s="6"/>
      <c r="H16" s="3"/>
      <c r="I16" s="21">
        <f t="shared" si="0"/>
        <v>133296.984</v>
      </c>
    </row>
    <row r="17" spans="1:9" ht="31.5" x14ac:dyDescent="0.25">
      <c r="A17" s="3"/>
      <c r="B17" s="28" t="s">
        <v>23</v>
      </c>
      <c r="C17" s="20">
        <v>2932</v>
      </c>
      <c r="D17" s="21">
        <v>24.744</v>
      </c>
      <c r="E17" s="21">
        <f t="shared" si="2"/>
        <v>72549.407999999996</v>
      </c>
      <c r="F17" s="3"/>
      <c r="G17" s="6"/>
      <c r="H17" s="3"/>
      <c r="I17" s="21">
        <f t="shared" si="0"/>
        <v>60747.576000000001</v>
      </c>
    </row>
    <row r="18" spans="1:9" x14ac:dyDescent="0.25">
      <c r="A18" s="5">
        <v>45742</v>
      </c>
      <c r="B18" s="28" t="s">
        <v>24</v>
      </c>
      <c r="C18" s="51">
        <v>0</v>
      </c>
      <c r="D18" s="52">
        <v>0</v>
      </c>
      <c r="E18" s="52">
        <v>0</v>
      </c>
      <c r="F18" s="3"/>
      <c r="G18" s="6"/>
      <c r="H18" s="3"/>
      <c r="I18" s="21">
        <f t="shared" si="0"/>
        <v>60747.576000000001</v>
      </c>
    </row>
    <row r="19" spans="1:9" x14ac:dyDescent="0.25">
      <c r="A19" s="23" t="s">
        <v>15</v>
      </c>
      <c r="B19" s="34"/>
      <c r="C19" s="38"/>
      <c r="D19" s="36"/>
      <c r="E19" s="36"/>
      <c r="F19" s="23"/>
      <c r="G19" s="25"/>
      <c r="H19" s="23"/>
      <c r="I19" s="36">
        <f t="shared" si="0"/>
        <v>60747.576000000001</v>
      </c>
    </row>
    <row r="20" spans="1:9" x14ac:dyDescent="0.25">
      <c r="A20" s="3"/>
      <c r="B20" s="28"/>
      <c r="C20" s="20"/>
      <c r="D20" s="21"/>
      <c r="E20" s="21"/>
      <c r="F20" s="5">
        <v>45763</v>
      </c>
      <c r="G20" s="6">
        <v>149976</v>
      </c>
      <c r="H20" s="3" t="s">
        <v>10</v>
      </c>
      <c r="I20" s="21">
        <f t="shared" si="0"/>
        <v>210723.576</v>
      </c>
    </row>
    <row r="21" spans="1:9" x14ac:dyDescent="0.25">
      <c r="A21" s="5">
        <v>45771</v>
      </c>
      <c r="B21" s="28" t="s">
        <v>25</v>
      </c>
      <c r="C21" s="20">
        <v>6005</v>
      </c>
      <c r="D21" s="21">
        <v>25</v>
      </c>
      <c r="E21" s="21">
        <f t="shared" ref="E21:E23" si="3">C21*D21</f>
        <v>150125</v>
      </c>
      <c r="F21" s="3"/>
      <c r="G21" s="6"/>
      <c r="H21" s="3"/>
      <c r="I21" s="21">
        <f t="shared" si="0"/>
        <v>60598.576000000001</v>
      </c>
    </row>
    <row r="22" spans="1:9" ht="31.5" x14ac:dyDescent="0.25">
      <c r="A22" s="3"/>
      <c r="B22" s="28" t="s">
        <v>22</v>
      </c>
      <c r="C22" s="20">
        <v>2000</v>
      </c>
      <c r="D22" s="21">
        <v>25.776</v>
      </c>
      <c r="E22" s="21">
        <f t="shared" si="3"/>
        <v>51552</v>
      </c>
      <c r="F22" s="3"/>
      <c r="G22" s="6"/>
      <c r="H22" s="3"/>
      <c r="I22" s="21">
        <f t="shared" si="0"/>
        <v>9046.5760000000009</v>
      </c>
    </row>
    <row r="23" spans="1:9" x14ac:dyDescent="0.25">
      <c r="A23" s="3" t="s">
        <v>59</v>
      </c>
      <c r="B23" s="28" t="s">
        <v>25</v>
      </c>
      <c r="C23" s="20">
        <v>1805</v>
      </c>
      <c r="D23" s="21">
        <v>24.995999999999999</v>
      </c>
      <c r="E23" s="21">
        <f t="shared" si="3"/>
        <v>45117.78</v>
      </c>
      <c r="F23" s="3"/>
      <c r="G23" s="6"/>
      <c r="H23" s="3"/>
      <c r="I23" s="21">
        <f t="shared" si="0"/>
        <v>-36071.203999999998</v>
      </c>
    </row>
    <row r="24" spans="1:9" ht="63" x14ac:dyDescent="0.25">
      <c r="A24" s="3" t="s">
        <v>74</v>
      </c>
      <c r="B24" s="28" t="s">
        <v>65</v>
      </c>
      <c r="C24" s="20">
        <v>9.9</v>
      </c>
      <c r="D24" s="21">
        <v>682</v>
      </c>
      <c r="E24" s="21">
        <f>C24*D24</f>
        <v>6751.8</v>
      </c>
      <c r="F24" s="3" t="s">
        <v>73</v>
      </c>
      <c r="G24" s="6">
        <v>245268</v>
      </c>
      <c r="H24" s="3"/>
      <c r="I24" s="21">
        <f t="shared" si="0"/>
        <v>202444.99599999998</v>
      </c>
    </row>
    <row r="25" spans="1:9" ht="63" x14ac:dyDescent="0.25">
      <c r="A25" s="3" t="s">
        <v>74</v>
      </c>
      <c r="B25" s="28" t="s">
        <v>75</v>
      </c>
      <c r="C25" s="20">
        <v>20</v>
      </c>
      <c r="D25" s="21">
        <v>692</v>
      </c>
      <c r="E25" s="21">
        <f>C25*D25</f>
        <v>13840</v>
      </c>
      <c r="F25" s="3"/>
      <c r="G25" s="6"/>
      <c r="H25" s="3"/>
      <c r="I25" s="21">
        <f t="shared" si="0"/>
        <v>188604.99599999998</v>
      </c>
    </row>
    <row r="26" spans="1:9" x14ac:dyDescent="0.25">
      <c r="A26" s="3" t="s">
        <v>74</v>
      </c>
      <c r="B26" s="28" t="s">
        <v>76</v>
      </c>
      <c r="C26" s="20">
        <v>660</v>
      </c>
      <c r="D26" s="21">
        <v>33</v>
      </c>
      <c r="E26" s="21">
        <f>C26*D26</f>
        <v>21780</v>
      </c>
      <c r="F26" s="3"/>
      <c r="G26" s="6"/>
      <c r="H26" s="3"/>
      <c r="I26" s="21">
        <f t="shared" si="0"/>
        <v>166824.99599999998</v>
      </c>
    </row>
    <row r="27" spans="1:9" x14ac:dyDescent="0.25">
      <c r="A27" s="3"/>
      <c r="B27" s="28"/>
      <c r="C27" s="20"/>
      <c r="D27" s="21"/>
      <c r="E27" s="21"/>
      <c r="F27" s="3"/>
      <c r="G27" s="6"/>
      <c r="H27" s="3"/>
      <c r="I27" s="21">
        <f t="shared" si="0"/>
        <v>166824.99599999998</v>
      </c>
    </row>
    <row r="28" spans="1:9" x14ac:dyDescent="0.25">
      <c r="A28" s="3"/>
      <c r="B28" s="28"/>
      <c r="C28" s="20"/>
      <c r="D28" s="21"/>
      <c r="E28" s="21"/>
      <c r="F28" s="3"/>
      <c r="G28" s="6"/>
      <c r="H28" s="3"/>
      <c r="I28" s="21">
        <f t="shared" si="0"/>
        <v>166824.99599999998</v>
      </c>
    </row>
    <row r="29" spans="1:9" x14ac:dyDescent="0.25">
      <c r="A29" s="3"/>
      <c r="B29" s="28"/>
      <c r="C29" s="20"/>
      <c r="D29" s="21"/>
      <c r="E29" s="21"/>
      <c r="F29" s="3"/>
      <c r="G29" s="6"/>
      <c r="H29" s="3"/>
      <c r="I29" s="21">
        <f t="shared" si="0"/>
        <v>166824.99599999998</v>
      </c>
    </row>
    <row r="30" spans="1:9" x14ac:dyDescent="0.25">
      <c r="E30" s="37">
        <f>SUM(E3:E27)</f>
        <v>1097870.6040000001</v>
      </c>
      <c r="G30" s="7">
        <f>SUM(G2:G28)</f>
        <v>1264695.6000000001</v>
      </c>
      <c r="I30" s="37">
        <f>G30-E30</f>
        <v>166824.99600000004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61" t="s">
        <v>70</v>
      </c>
      <c r="C19" s="62">
        <v>9.1999999999999993</v>
      </c>
      <c r="D19" s="6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6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3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4">
        <v>45726</v>
      </c>
      <c r="B4" s="39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5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9">
        <v>45772</v>
      </c>
      <c r="B7" s="28" t="s">
        <v>35</v>
      </c>
      <c r="C7" s="53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54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42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40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41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41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41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6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41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41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41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41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41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41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41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41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41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41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41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41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41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41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41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41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50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6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2025-07-11T09:03:10Z</dcterms:modified>
  <cp:category/>
  <cp:contentStatus/>
</cp:coreProperties>
</file>