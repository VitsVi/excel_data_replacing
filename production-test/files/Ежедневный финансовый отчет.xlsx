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X:\python_code\excel_data_replacing\files\"/>
    </mc:Choice>
  </mc:AlternateContent>
  <xr:revisionPtr revIDLastSave="0" documentId="13_ncr:1_{2B93F351-9441-4505-8EB2-300F115B6A4F}" xr6:coauthVersionLast="47" xr6:coauthVersionMax="47" xr10:uidLastSave="{00000000-0000-0000-0000-000000000000}"/>
  <bookViews>
    <workbookView xWindow="-120" yWindow="-120" windowWidth="29040" windowHeight="15720" firstSheet="16" activeTab="23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2025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B80" i="24" s="1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76" i="22"/>
  <c r="I75" i="22"/>
  <c r="G75" i="22"/>
  <c r="I74" i="22"/>
  <c r="I89" i="22" s="1"/>
  <c r="G74" i="22"/>
  <c r="G89" i="22" s="1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B57" i="24" l="1"/>
  <c r="H37" i="18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<sst xmlns="http://schemas.openxmlformats.org/spreadsheetml/2006/main" count="2626" uniqueCount="410">
  <si>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</si>
  <si>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</si>
  <si>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</si>
  <si>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</si>
  <si>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</si>
  <si>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</si>
  <si>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</si>
  <si>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</si>
  <si>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</si>
  <si>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</si>
  <si>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</si>
  <si>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</si>
  <si>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</si>
  <si>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</si>
  <si>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</si>
  <si>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</si>
  <si>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</si>
  <si>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</si>
  <si>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</si>
  <si>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</si>
  <si>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</si>
  <si>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</si>
  <si>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</si>
  <si>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</si>
  <si>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</si>
  <si>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</si>
  <si>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</si>
  <si>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</si>
  <si>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</si>
  <si>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</si>
  <si>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</si>
  <si>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</si>
  <si>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</si>
  <si>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</si>
  <si>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</si>
  <si>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</si>
  <si>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</si>
  <si>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</si>
  <si>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</si>
  <si>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</si>
  <si>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</si>
  <si>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</si>
  <si>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</si>
  <si>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</si>
  <si>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</si>
  <si>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</si>
  <si>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</si>
  <si>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</si>
  <si>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</si>
  <si>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</si>
  <si>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</si>
  <si>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</si>
  <si>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</si>
  <si>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</si>
  <si>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</si>
  <si>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</si>
  <si>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</si>
  <si>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</si>
  <si>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</si>
  <si>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</si>
  <si>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</si>
  <si>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</si>
  <si>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</si>
  <si>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</si>
  <si>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</si>
  <si>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</si>
  <si>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</si>
  <si>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</si>
  <si>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</si>
  <si>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</si>
  <si>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</si>
  <si>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</si>
  <si>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</si>
  <si>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</si>
  <si>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</si>
  <si>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</si>
  <si>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</si>
  <si>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</si>
  <si>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</si>
  <si>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</si>
  <si>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</si>
  <si>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</si>
  <si>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</si>
  <si>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</si>
  <si>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</si>
  <si>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</si>
  <si>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</si>
  <si>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</si>
  <si>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</si>
  <si>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</si>
  <si>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</si>
  <si>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</si>
  <si>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</si>
  <si>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</si>
  <si>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</si>
  <si>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</si>
  <si>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</si>
  <si>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</si>
  <si>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</si>
  <si>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</si>
  <si>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</si>
  <si>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</si>
  <si>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</si>
  <si>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</si>
  <si>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</si>
  <si>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</si>
  <si>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</si>
  <si>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</si>
  <si>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</si>
  <si>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</si>
  <si>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</si>
  <si>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</si>
  <si>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</si>
  <si>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</si>
  <si>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</si>
  <si>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</si>
  <si>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</si>
  <si>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</si>
  <si>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</si>
  <si>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</si>
  <si>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</si>
  <si>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</si>
  <si>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</si>
  <si>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</si>
  <si>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</si>
  <si>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</si>
  <si>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</si>
  <si>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</si>
  <si>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</si>
  <si>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</si>
  <si>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</si>
  <si>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</si>
  <si>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</si>
  <si>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</si>
  <si>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</si>
  <si>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</si>
  <si>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</si>
  <si>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</si>
  <si>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</si>
  <si>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</si>
  <si>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</si>
  <si>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</si>
  <si>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</si>
  <si>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</si>
  <si>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</si>
  <si>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</si>
  <si>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</si>
  <si>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</si>
  <si>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</si>
  <si>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</si>
  <si>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</si>
  <si>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</si>
  <si>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</si>
  <si>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</si>
  <si>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</si>
  <si>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</si>
  <si>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</si>
  <si>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</si>
  <si>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</si>
  <si>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</si>
  <si>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</si>
  <si>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</si>
  <si>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</si>
  <si>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</si>
  <si>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</si>
  <si>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</si>
  <si>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</si>
  <si>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</si>
  <si>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</si>
  <si>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</si>
  <si>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</si>
  <si>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</si>
  <si>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</si>
  <si>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</si>
  <si>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</si>
  <si>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</si>
  <si>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</si>
  <si>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</si>
  <si>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</si>
  <si>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</si>
  <si>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</si>
  <si>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</si>
  <si>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</si>
  <si>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</si>
  <si>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</si>
  <si>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</si>
  <si>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</si>
  <si>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</si>
  <si>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</si>
  <si>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</si>
  <si>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</si>
  <si>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</si>
  <si>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</si>
  <si>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</si>
  <si>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</si>
  <si>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</si>
  <si>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</si>
  <si>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</si>
  <si>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</si>
  <si>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</si>
  <si>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</si>
  <si>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</si>
  <si>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</si>
  <si>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</si>
  <si>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</si>
  <si>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</si>
  <si>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</si>
  <si>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</si>
  <si>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</si>
  <si>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</si>
  <si>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</si>
  <si>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</si>
  <si>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</si>
  <si>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</si>
  <si>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</si>
  <si>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</si>
  <si>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</si>
  <si>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</si>
  <si>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</si>
  <si>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</si>
  <si>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</si>
  <si>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</si>
  <si>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</si>
  <si>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</si>
  <si>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</si>
  <si>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</si>
  <si>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</si>
  <si>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</si>
  <si>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</si>
  <si>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</si>
  <si>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</si>
  <si>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</si>
  <si>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</si>
  <si>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</si>
  <si>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</si>
  <si>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</si>
  <si>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</si>
  <si>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</si>
  <si>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</si>
  <si>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</si>
  <si>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</si>
  <si>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</si>
  <si>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</si>
  <si>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</si>
  <si>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</si>
  <si>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</si>
  <si>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</si>
  <si>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</si>
  <si>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</si>
  <si>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</si>
  <si>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</si>
  <si>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</si>
  <si>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</si>
  <si>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</si>
  <si>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</si>
  <si>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</si>
  <si>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</si>
  <si>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</si>
  <si>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</si>
  <si>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</si>
  <si>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</si>
  <si>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</si>
  <si>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</si>
  <si>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</si>
  <si>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</si>
  <si>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</si>
  <si>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</si>
  <si>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</si>
  <si>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</si>
  <si>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</si>
  <si>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</si>
  <si>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</si>
  <si>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</si>
  <si>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</si>
  <si>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</si>
  <si>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</si>
  <si>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</si>
  <si>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</si>
  <si>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</si>
  <si>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</si>
  <si>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</si>
  <si>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</si>
  <si>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</si>
  <si>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</si>
  <si>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</si>
  <si>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</si>
  <si>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</si>
  <si>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</si>
  <si>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</si>
  <si>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</si>
  <si>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</si>
  <si>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</si>
  <si>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</si>
  <si>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</si>
  <si>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</si>
  <si>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</si>
  <si>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</si>
  <si>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</si>
  <si>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</si>
  <si>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</si>
  <si>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</si>
  <si>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</si>
  <si>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</si>
  <si>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</si>
  <si>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</si>
  <si>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</si>
  <si>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</si>
  <si>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</si>
  <si>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</si>
  <si>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</si>
  <si>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</si>
  <si>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</si>
  <si>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</si>
  <si>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</si>
  <si>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</si>
  <si>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</si>
  <si>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</si>
  <si>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</si>
  <si>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</si>
  <si>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</si>
  <si>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</si>
  <si>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</si>
  <si>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</si>
  <si>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</si>
  <si>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</si>
  <si>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</si>
  <si>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</si>
  <si>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</si>
  <si>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</si>
  <si>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</si>
  <si>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</si>
  <si>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</si>
  <si>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</si>
  <si>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</si>
  <si>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</si>
  <si>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</si>
  <si>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</si>
  <si>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</si>
  <si>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</si>
  <si>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</si>
  <si>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</si>
  <si>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</si>
  <si>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</si>
  <si>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</si>
  <si>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</si>
  <si>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</si>
  <si>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</si>
  <si>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</si>
  <si>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</si>
  <si>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</si>
  <si>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</si>
  <si>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</si>
  <si>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</si>
  <si>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</si>
  <si>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</si>
  <si>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</si>
  <si>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</si>
  <si>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</si>
  <si>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</si>
  <si>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</si>
  <si>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</si>
  <si>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</si>
  <si>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</si>
  <si>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</si>
  <si>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</si>
  <si>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</si>
  <si>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</si>
  <si>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</si>
  <si>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</si>
  <si>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</si>
  <si>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</si>
  <si>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</si>
  <si>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</si>
  <si>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</si>
  <si>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</si>
  <si>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</si>
  <si>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</si>
  <si>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</si>
  <si>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</si>
  <si>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</si>
  <si>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</si>
  <si>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</si>
  <si>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</si>
  <si>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</si>
  <si>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</si>
  <si>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</si>
  <si>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</si>
  <si>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</si>
  <si>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</si>
  <si>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</si>
  <si>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</si>
  <si>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</si>
  <si>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</si>
  <si>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</si>
  <si>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</si>
  <si>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</si>
  <si>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</si>
  <si>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</si>
  <si>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</si>
  <si>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</si>
  <si>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</si>
  <si>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</si>
  <si>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</si>
  <si>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</si>
  <si>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</si>
  <si>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</si>
  <si>
    <t>ООО ТД Л-Пак</t>
  </si>
  <si>
    <t>ИП Савина О.В. Электроэнергия</t>
  </si>
  <si>
    <t>ИП Савин/ чета-там</t>
  </si>
  <si>
    <t xml:space="preserve">ИП Савин/ транспортные услуги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</si>
</sst>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  <xf numFmtId="0" fontId="4" fillId="0" borderId="16" xfId="0" applyFont="1" applyBorder="1"/>
    <xf numFmtId="0" fontId="22" fillId="0" borderId="55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71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1"/>
    </row>
    <row r="2" spans="1:11" ht="15.75" customHeight="1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7" t="s">
        <v>23</v>
      </c>
      <c r="B55" s="376"/>
      <c r="C55" s="376"/>
      <c r="D55" s="376"/>
      <c r="E55" s="376"/>
      <c r="F55" s="376"/>
      <c r="G55" s="376"/>
      <c r="H55" s="376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8" t="s">
        <v>44</v>
      </c>
      <c r="B98" s="376"/>
      <c r="C98" s="376"/>
      <c r="D98" s="376"/>
      <c r="E98" s="376"/>
      <c r="F98" s="376"/>
      <c r="G98" s="376"/>
      <c r="H98" s="376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9" t="s">
        <v>50</v>
      </c>
      <c r="B110" s="370"/>
      <c r="C110" s="370"/>
      <c r="D110" s="370"/>
      <c r="E110" s="370"/>
      <c r="F110" s="370"/>
      <c r="G110" s="370"/>
      <c r="H110" s="370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9" t="s">
        <v>270</v>
      </c>
      <c r="J57" s="380"/>
      <c r="K57" s="380"/>
      <c r="L57" s="381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  <c r="K59" s="383" t="s">
        <v>27</v>
      </c>
      <c r="L59" s="381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1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4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2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5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2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4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2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6" t="s">
        <v>292</v>
      </c>
      <c r="K80" s="384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7"/>
      <c r="K81" s="372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8" t="s">
        <v>72</v>
      </c>
      <c r="K83" s="385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7"/>
      <c r="K84" s="372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6" t="s">
        <v>204</v>
      </c>
      <c r="K85" s="384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7"/>
      <c r="K86" s="372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K80:K81"/>
    <mergeCell ref="J83:J84"/>
    <mergeCell ref="K83:K84"/>
    <mergeCell ref="K85:K86"/>
    <mergeCell ref="A32:H32"/>
    <mergeCell ref="A56:H56"/>
    <mergeCell ref="J85:J86"/>
    <mergeCell ref="A99:H99"/>
    <mergeCell ref="A111:H111"/>
    <mergeCell ref="I58:J58"/>
    <mergeCell ref="I59:J59"/>
    <mergeCell ref="J80:J81"/>
    <mergeCell ref="A1:J1"/>
    <mergeCell ref="A2:J2"/>
    <mergeCell ref="K4:K5"/>
    <mergeCell ref="K7:K8"/>
    <mergeCell ref="K9:K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opLeftCell="A55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5" t="s">
        <v>14</v>
      </c>
      <c r="B29" s="376"/>
      <c r="C29" s="376"/>
      <c r="D29" s="376"/>
      <c r="E29" s="376"/>
      <c r="F29" s="376"/>
      <c r="G29" s="376"/>
      <c r="H29" s="376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7" t="s">
        <v>23</v>
      </c>
      <c r="B53" s="376"/>
      <c r="C53" s="376"/>
      <c r="D53" s="376"/>
      <c r="E53" s="376"/>
      <c r="F53" s="376"/>
      <c r="G53" s="376"/>
      <c r="H53" s="376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9" t="s">
        <v>271</v>
      </c>
      <c r="J55" s="381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2" t="s">
        <v>272</v>
      </c>
      <c r="J56" s="381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67"/>
      <c r="B65" s="368"/>
      <c r="C65" s="107" t="s">
        <v>392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67"/>
      <c r="B66" s="368"/>
      <c r="C66" s="107" t="s">
        <v>393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67"/>
      <c r="B67" s="368"/>
      <c r="C67" s="107" t="s">
        <v>394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67"/>
      <c r="B68" s="368"/>
      <c r="C68" s="107" t="s">
        <v>395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67"/>
      <c r="B69" s="368"/>
      <c r="C69" s="107" t="s">
        <v>396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67"/>
      <c r="B70" s="368"/>
      <c r="C70" s="107" t="s">
        <v>397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67"/>
      <c r="B71" s="368"/>
      <c r="C71" s="107" t="s">
        <v>398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67"/>
      <c r="B72" s="368"/>
      <c r="C72" s="107" t="s">
        <v>399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400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401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402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403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404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405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6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7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8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7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6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7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8" t="s">
        <v>44</v>
      </c>
      <c r="B104" s="376"/>
      <c r="C104" s="376"/>
      <c r="D104" s="376"/>
      <c r="E104" s="376"/>
      <c r="F104" s="376"/>
      <c r="G104" s="376"/>
      <c r="H104" s="376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9" t="s">
        <v>50</v>
      </c>
      <c r="B116" s="370"/>
      <c r="C116" s="370"/>
      <c r="D116" s="370"/>
      <c r="E116" s="370"/>
      <c r="F116" s="370"/>
      <c r="G116" s="370"/>
      <c r="H116" s="370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7" t="s">
        <v>23</v>
      </c>
      <c r="B54" s="376"/>
      <c r="C54" s="376"/>
      <c r="D54" s="376"/>
      <c r="E54" s="376"/>
      <c r="F54" s="376"/>
      <c r="G54" s="376"/>
      <c r="H54" s="376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9" t="s">
        <v>271</v>
      </c>
      <c r="J56" s="381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2" t="s">
        <v>272</v>
      </c>
      <c r="J57" s="381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6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7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8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7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6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7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8" t="s">
        <v>44</v>
      </c>
      <c r="B97" s="376"/>
      <c r="C97" s="376"/>
      <c r="D97" s="376"/>
      <c r="E97" s="376"/>
      <c r="F97" s="376"/>
      <c r="G97" s="376"/>
      <c r="H97" s="376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9" t="s">
        <v>50</v>
      </c>
      <c r="B109" s="370"/>
      <c r="C109" s="370"/>
      <c r="D109" s="370"/>
      <c r="E109" s="370"/>
      <c r="F109" s="370"/>
      <c r="G109" s="370"/>
      <c r="H109" s="370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C79" sqref="C7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7" t="s">
        <v>23</v>
      </c>
      <c r="B52" s="376"/>
      <c r="C52" s="376"/>
      <c r="D52" s="376"/>
      <c r="E52" s="376"/>
      <c r="F52" s="376"/>
      <c r="G52" s="376"/>
      <c r="H52" s="376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9" t="s">
        <v>271</v>
      </c>
      <c r="J54" s="381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2" t="s">
        <v>272</v>
      </c>
      <c r="J55" s="381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6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7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6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7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8" t="s">
        <v>44</v>
      </c>
      <c r="B95" s="376"/>
      <c r="C95" s="376"/>
      <c r="D95" s="376"/>
      <c r="E95" s="376"/>
      <c r="F95" s="376"/>
      <c r="G95" s="376"/>
      <c r="H95" s="376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9" t="s">
        <v>50</v>
      </c>
      <c r="B107" s="370"/>
      <c r="C107" s="370"/>
      <c r="D107" s="370"/>
      <c r="E107" s="370"/>
      <c r="F107" s="370"/>
      <c r="G107" s="370"/>
      <c r="H107" s="370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C61" sqref="C6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6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7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7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22" workbookViewId="0">
      <selection activeCell="J79" sqref="J79:J8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5" si="3">F74*E74*D74</f>
        <v>288</v>
      </c>
      <c r="H74" s="352">
        <v>68</v>
      </c>
      <c r="I74" s="352">
        <f t="shared" ref="I74:I76" si="4">H74*F74*E74</f>
        <v>97920</v>
      </c>
      <c r="J74" s="386" t="s">
        <v>367</v>
      </c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7"/>
    </row>
    <row r="76" spans="1:10" ht="15.75" customHeight="1" x14ac:dyDescent="0.25">
      <c r="A76" s="236"/>
      <c r="B76" s="260"/>
      <c r="C76" s="261"/>
      <c r="D76" s="262"/>
      <c r="E76" s="48"/>
      <c r="F76" s="48"/>
      <c r="G76" s="351"/>
      <c r="H76" s="352"/>
      <c r="I76" s="352">
        <f t="shared" si="4"/>
        <v>0</v>
      </c>
      <c r="J76" s="353"/>
    </row>
    <row r="77" spans="1:10" ht="15.75" customHeight="1" x14ac:dyDescent="0.25">
      <c r="A77" s="236"/>
      <c r="B77" s="260"/>
      <c r="C77" s="261"/>
      <c r="D77" s="262"/>
      <c r="E77" s="48"/>
      <c r="F77" s="48"/>
      <c r="G77" s="351"/>
      <c r="H77" s="352"/>
      <c r="I77" s="352"/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7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5">D87*F87</f>
        <v>0</v>
      </c>
      <c r="H87" s="180"/>
      <c r="I87" s="180">
        <f t="shared" ref="I87:I88" si="6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5"/>
        <v>0</v>
      </c>
      <c r="H88" s="185"/>
      <c r="I88" s="180">
        <f t="shared" si="6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160</v>
      </c>
      <c r="F89" s="191">
        <f>SUM(F74:F86)</f>
        <v>36</v>
      </c>
      <c r="G89" s="192">
        <f>SUM(G74:G81)</f>
        <v>576</v>
      </c>
      <c r="H89" s="193"/>
      <c r="I89" s="193">
        <f>SUM(I74:I82)</f>
        <v>233424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576</v>
      </c>
      <c r="C92" s="200">
        <f>I25+H89+I89</f>
        <v>233424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7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7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7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8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8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18" workbookViewId="0">
      <selection activeCell="F83" sqref="F8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2.87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6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7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7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tabSelected="1" topLeftCell="A63" workbookViewId="0">
      <selection activeCell="C52" sqref="C52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335327.24999999994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/>
      <c r="F43" s="103"/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409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406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390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391</v>
      </c>
      <c r="D49" s="101">
        <v>0</v>
      </c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 t="s">
        <v>407</v>
      </c>
      <c r="D50" s="101">
        <v>1</v>
      </c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208" t="s">
        <v>408</v>
      </c>
      <c r="D51" s="120">
        <v>50</v>
      </c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610101</v>
      </c>
      <c r="E56" s="124"/>
      <c r="F56" s="124">
        <f>SUM(F43:F55)</f>
        <v>0</v>
      </c>
      <c r="G56" s="124"/>
      <c r="H56" s="124">
        <f>SUM(H43:H55)</f>
        <v>1612.5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275317.55000000005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/>
      <c r="B62" s="260"/>
      <c r="C62" s="261"/>
      <c r="D62" s="262"/>
      <c r="E62" s="48"/>
      <c r="F62" s="48"/>
      <c r="G62" s="351"/>
      <c r="H62" s="352"/>
      <c r="I62" s="352"/>
      <c r="J62" s="386"/>
    </row>
    <row r="63" spans="1:10" ht="15.75" customHeight="1" x14ac:dyDescent="0.25">
      <c r="A63" s="236"/>
      <c r="B63" s="260"/>
      <c r="C63" s="261"/>
      <c r="D63" s="262"/>
      <c r="E63" s="48"/>
      <c r="F63" s="48"/>
      <c r="G63" s="351"/>
      <c r="H63" s="352"/>
      <c r="I63" s="352"/>
      <c r="J63" s="387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/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7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0</v>
      </c>
      <c r="F77" s="191">
        <f>SUM(F62:F74)</f>
        <v>0</v>
      </c>
      <c r="G77" s="192">
        <f>SUM(G62:G69)</f>
        <v>0</v>
      </c>
      <c r="H77" s="193"/>
      <c r="I77" s="193">
        <f>SUM(I62:I70)</f>
        <v>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36</v>
      </c>
      <c r="C80" s="200">
        <f>I13+H77+I77</f>
        <v>2880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45</v>
      </c>
      <c r="C83" s="58" t="s">
        <v>130</v>
      </c>
      <c r="D83" s="219"/>
      <c r="E83" s="313"/>
      <c r="F83" s="57">
        <v>100</v>
      </c>
      <c r="G83" s="211"/>
      <c r="H83" s="301"/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 .</cp:lastModifiedBy>
  <dcterms:modified xsi:type="dcterms:W3CDTF">2025-07-15T12:24:46Z</dcterms:modified>
</cp:coreProperties>
</file>