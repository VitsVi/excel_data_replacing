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28" documentId="11_4859B067FFD28D9FD9096DEAB40B950AE04F5FF9" xr6:coauthVersionLast="47" xr6:coauthVersionMax="47" xr10:uidLastSave="{F9963052-F1FA-4EA7-9C0C-B14713D103A8}"/>
  <bookViews>
    <workbookView xWindow="14295" yWindow="0" windowWidth="14610" windowHeight="15585" activeTab="6" xr2:uid="{00000000-000D-0000-FFFF-FFFF00000000}"/>
  </bookViews>
  <sheets>
    <sheet name="Промстеклосн" sheetId="1" r:id="rId1"/>
    <sheet name="ПЭК" sheetId="3" r:id="rId2"/>
    <sheet name="ИП Козырева" sheetId="2" r:id="rId3"/>
    <sheet name="ИП Камалов" sheetId="4" r:id="rId4"/>
    <sheet name="ИП Савин" sheetId="6" r:id="rId5"/>
    <sheet name="Итеко России" sheetId="5" r:id="rId6"/>
    <sheet name="ФМ логистик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<sst xmlns="http://schemas.openxmlformats.org/spreadsheetml/2006/main" count="319" uniqueCount="78">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</sst>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6" sqref="D76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>I3-F4+H4</f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>I4-F5+H5</f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0">D6*E6</f>
        <v>0</v>
      </c>
      <c r="G6" s="11">
        <v>45624</v>
      </c>
      <c r="H6" s="9">
        <v>144000</v>
      </c>
      <c r="I6" s="9">
        <f>I5-F6+H6</f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>I6-F7+H7</f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>I7-F8+H8</f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>I8-F9+H9</f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0"/>
        <v>0</v>
      </c>
      <c r="G10" s="38"/>
      <c r="H10" s="41"/>
      <c r="I10" s="41">
        <f>I9-F10+H10</f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0"/>
        <v>11000</v>
      </c>
      <c r="G11" s="6"/>
      <c r="H11" s="9"/>
      <c r="I11" s="9">
        <f>I10-F11+H11</f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0"/>
        <v>0</v>
      </c>
      <c r="G12" s="11">
        <v>45677</v>
      </c>
      <c r="H12" s="9">
        <v>31000</v>
      </c>
      <c r="I12" s="9">
        <f>I11-F12+H12</f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0"/>
        <v>15000</v>
      </c>
      <c r="G13" s="6"/>
      <c r="H13" s="9"/>
      <c r="I13" s="9">
        <f>I12-F13+H13</f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0"/>
        <v>32000</v>
      </c>
      <c r="G14" s="6"/>
      <c r="H14" s="9"/>
      <c r="I14" s="9">
        <f>I13-F14+H14</f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>I14-F15+H15</f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>I15-F16+H16</f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>I16-F17+H17</f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>I17-F18+H18</f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0"/>
        <v>0</v>
      </c>
      <c r="G19" s="11">
        <v>45708</v>
      </c>
      <c r="H19" s="9">
        <v>60000</v>
      </c>
      <c r="I19" s="9">
        <f>I18-F19+H19</f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1">F20/D20</f>
        <v>0.70730452674897115</v>
      </c>
      <c r="F20" s="132">
        <v>11000</v>
      </c>
      <c r="G20" s="11"/>
      <c r="H20" s="9"/>
      <c r="I20" s="9">
        <f>I19-F20+H20</f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1"/>
        <v>1.6842105263157894</v>
      </c>
      <c r="F21" s="56">
        <v>32000</v>
      </c>
      <c r="G21" s="11">
        <v>45712</v>
      </c>
      <c r="H21" s="9">
        <v>32000</v>
      </c>
      <c r="I21" s="9">
        <f>I20-F21+H21</f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1"/>
        <v>1.3354700854700854</v>
      </c>
      <c r="F22" s="132">
        <v>15000</v>
      </c>
      <c r="G22" s="6"/>
      <c r="H22" s="9"/>
      <c r="I22" s="9">
        <f>I21-F22+H22</f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1"/>
        <v>9.8214285714285712</v>
      </c>
      <c r="F23" s="138">
        <v>22000</v>
      </c>
      <c r="G23" s="6"/>
      <c r="H23" s="9"/>
      <c r="I23" s="9">
        <f>I22-F23+H23</f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1"/>
        <v>0.5092592592592593</v>
      </c>
      <c r="F24" s="139">
        <v>11000</v>
      </c>
      <c r="G24" s="106"/>
      <c r="H24" s="9"/>
      <c r="I24" s="9">
        <f>I23-F24+H24</f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1"/>
        <v>12.244897959183673</v>
      </c>
      <c r="F25" s="140">
        <v>6000</v>
      </c>
      <c r="G25" s="137"/>
      <c r="H25" s="70"/>
      <c r="I25" s="70">
        <f>I24-F25+H25</f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1"/>
        <v>1.3678451178451179</v>
      </c>
      <c r="F26" s="133">
        <v>13000</v>
      </c>
      <c r="G26" s="18"/>
      <c r="H26" s="68"/>
      <c r="I26" s="68">
        <f>I25-F26+H26</f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2">C27*E27+D27*E27</f>
        <v>0</v>
      </c>
      <c r="G27" s="11">
        <v>45722</v>
      </c>
      <c r="H27" s="9">
        <v>10000</v>
      </c>
      <c r="I27" s="9">
        <f>I26-F27+H27</f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1"/>
        <v>0.69444444444444442</v>
      </c>
      <c r="F28" s="134">
        <v>12000</v>
      </c>
      <c r="G28" s="14"/>
      <c r="H28" s="70"/>
      <c r="I28" s="70">
        <f>I27-F28+H28</f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1"/>
        <v>0.54253472222222221</v>
      </c>
      <c r="F29" s="139">
        <v>7500</v>
      </c>
      <c r="G29" s="142"/>
      <c r="H29" s="68"/>
      <c r="I29" s="68">
        <f>I28-F29+H29</f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1"/>
        <v>5.208333333333333</v>
      </c>
      <c r="F30" s="140">
        <v>7500</v>
      </c>
      <c r="G30" s="106"/>
      <c r="H30" s="9"/>
      <c r="I30" s="9">
        <f>I29-F30+H30</f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>I30-F31+H31</f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1"/>
        <v>0.48225308641975306</v>
      </c>
      <c r="F32" s="132">
        <v>15000</v>
      </c>
      <c r="G32" s="11">
        <v>45730</v>
      </c>
      <c r="H32" s="9">
        <v>11000</v>
      </c>
      <c r="I32" s="9">
        <f>I31-F32+H32</f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>I32-F33+H33</f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2"/>
        <v>0</v>
      </c>
      <c r="G34" s="88">
        <v>45733</v>
      </c>
      <c r="H34" s="144">
        <v>8000</v>
      </c>
      <c r="I34" s="89">
        <f>I33-F34+H34</f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3">F35/D35</f>
        <v>0.62692901234567899</v>
      </c>
      <c r="F35" s="138">
        <v>13000</v>
      </c>
      <c r="G35" s="6"/>
      <c r="H35" s="9"/>
      <c r="I35" s="100">
        <f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3"/>
        <v>0.54253472222222221</v>
      </c>
      <c r="F36" s="139">
        <v>15000</v>
      </c>
      <c r="G36" s="106"/>
      <c r="H36" s="9"/>
      <c r="I36" s="100">
        <f>I35-F36+H36</f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3"/>
        <v>0.57870370370370372</v>
      </c>
      <c r="F37" s="140">
        <v>15000</v>
      </c>
      <c r="G37" s="137"/>
      <c r="H37" s="70"/>
      <c r="I37" s="92">
        <f>I36-F37+H37</f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2"/>
        <v>0</v>
      </c>
      <c r="G38" s="21">
        <v>45741</v>
      </c>
      <c r="H38" s="68">
        <v>22000</v>
      </c>
      <c r="I38" s="68">
        <f>I37-F38+H38</f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3"/>
        <v>0.94246031746031744</v>
      </c>
      <c r="F39" s="132">
        <v>19000</v>
      </c>
      <c r="G39" s="6"/>
      <c r="H39" s="9"/>
      <c r="I39" s="9">
        <f>I38-F39+H39</f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4">F40/D40</f>
        <v>5</v>
      </c>
      <c r="F40" s="132">
        <v>25000</v>
      </c>
      <c r="G40" s="6"/>
      <c r="H40" s="9"/>
      <c r="I40" s="9">
        <f>I39-F40+H40</f>
        <v>-251000</v>
      </c>
    </row>
    <row r="41" spans="1:9" x14ac:dyDescent="0.25">
      <c r="A41" s="44"/>
      <c r="B41" s="6"/>
      <c r="C41" s="6"/>
      <c r="D41" s="7"/>
      <c r="E41" s="20"/>
      <c r="F41" s="56">
        <f t="shared" si="2"/>
        <v>0</v>
      </c>
      <c r="G41" s="11">
        <v>45743</v>
      </c>
      <c r="H41" s="9">
        <v>26000</v>
      </c>
      <c r="I41" s="9">
        <f>I40-F41+H41</f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2"/>
        <v>0</v>
      </c>
      <c r="G42" s="74"/>
      <c r="H42" s="77">
        <v>-38000</v>
      </c>
      <c r="I42" s="77">
        <f>I41-F42+H42</f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2"/>
        <v>0</v>
      </c>
      <c r="G43" s="88">
        <v>45750</v>
      </c>
      <c r="H43" s="144">
        <v>22000</v>
      </c>
      <c r="I43" s="89">
        <f>I42-F43+H43</f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5">F44/D44</f>
        <v>0.94246031746031744</v>
      </c>
      <c r="F44" s="69">
        <v>19000</v>
      </c>
      <c r="G44" s="14"/>
      <c r="H44" s="70"/>
      <c r="I44" s="92">
        <f>I43-F44+H44</f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5"/>
        <v>1.6666666666666667</v>
      </c>
      <c r="F45" s="120">
        <v>12000</v>
      </c>
      <c r="G45" s="88">
        <v>45755</v>
      </c>
      <c r="H45" s="144">
        <v>49000</v>
      </c>
      <c r="I45" s="89">
        <f>I44-F45+H45</f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5"/>
        <v>2.2857142857142856</v>
      </c>
      <c r="F46" s="56">
        <v>32000</v>
      </c>
      <c r="G46" s="11"/>
      <c r="H46" s="9"/>
      <c r="I46" s="100">
        <f>I45-F46+H46</f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5"/>
        <v>4</v>
      </c>
      <c r="F47" s="56">
        <v>20000</v>
      </c>
      <c r="G47" s="11"/>
      <c r="H47" s="9"/>
      <c r="I47" s="100">
        <f>I46-F47+H47</f>
        <v>-275000</v>
      </c>
    </row>
    <row r="48" spans="1:9" x14ac:dyDescent="0.25">
      <c r="A48" s="102"/>
      <c r="B48" s="6"/>
      <c r="C48" s="6"/>
      <c r="D48" s="7"/>
      <c r="E48" s="8"/>
      <c r="F48" s="56">
        <f t="shared" si="2"/>
        <v>0</v>
      </c>
      <c r="G48" s="11">
        <v>45758</v>
      </c>
      <c r="H48" s="9">
        <v>25000</v>
      </c>
      <c r="I48" s="100">
        <f>I47-F48+H48</f>
        <v>-250000</v>
      </c>
    </row>
    <row r="49" spans="1:9" x14ac:dyDescent="0.25">
      <c r="A49" s="102"/>
      <c r="B49" s="6"/>
      <c r="C49" s="6"/>
      <c r="D49" s="7"/>
      <c r="E49" s="8"/>
      <c r="F49" s="56">
        <f t="shared" si="2"/>
        <v>0</v>
      </c>
      <c r="G49" s="11">
        <v>45762</v>
      </c>
      <c r="H49" s="9">
        <v>15000</v>
      </c>
      <c r="I49" s="100">
        <f>I48-F49+H49</f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6">F50/D50</f>
        <v>0.67129629629629628</v>
      </c>
      <c r="F50" s="69">
        <v>29000</v>
      </c>
      <c r="G50" s="13">
        <v>45763</v>
      </c>
      <c r="H50" s="70">
        <v>17000</v>
      </c>
      <c r="I50" s="92">
        <f>I49-F50+H50</f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2"/>
        <v>0</v>
      </c>
      <c r="G51" s="88">
        <v>45769</v>
      </c>
      <c r="H51" s="144">
        <v>43000</v>
      </c>
      <c r="I51" s="89">
        <f>I50-F51+H51</f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>I51-F52+H52</f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>I52-F53+H53</f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7">F54/D54</f>
        <v>1.3888888888888888</v>
      </c>
      <c r="F54" s="56">
        <v>14000</v>
      </c>
      <c r="G54" s="6"/>
      <c r="H54" s="9"/>
      <c r="I54" s="100">
        <f>I53-F54+H54</f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7"/>
        <v>2.5</v>
      </c>
      <c r="F55" s="69">
        <v>50000</v>
      </c>
      <c r="G55" s="14"/>
      <c r="H55" s="70"/>
      <c r="I55" s="92">
        <f>I54-F55+H55</f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2"/>
        <v>0</v>
      </c>
      <c r="G56" s="115"/>
      <c r="H56" s="118"/>
      <c r="I56" s="118">
        <f>I55-F56+H56</f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2"/>
        <v>0</v>
      </c>
      <c r="G57" s="11">
        <v>45784</v>
      </c>
      <c r="H57" s="9">
        <v>44000</v>
      </c>
      <c r="I57" s="9">
        <f>I56-F57+H57</f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8">F58/D58</f>
        <v>3.8</v>
      </c>
      <c r="F58" s="56">
        <v>19000</v>
      </c>
      <c r="G58" s="6"/>
      <c r="H58" s="9"/>
      <c r="I58" s="9">
        <f>I57-F58+H58</f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8"/>
        <v>1.2152777777777777</v>
      </c>
      <c r="F59" s="56">
        <v>14000</v>
      </c>
      <c r="G59" s="6"/>
      <c r="H59" s="9"/>
      <c r="I59" s="9">
        <f>I58-F59+H59</f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>I59-F60+H60</f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>I60-F61+H61</f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>I61-F62+H62</f>
        <v>-566000</v>
      </c>
    </row>
    <row r="63" spans="1:9" x14ac:dyDescent="0.25">
      <c r="A63" s="43"/>
      <c r="B63" s="6"/>
      <c r="C63" s="6"/>
      <c r="D63" s="7"/>
      <c r="E63" s="8"/>
      <c r="F63" s="56">
        <f t="shared" si="2"/>
        <v>0</v>
      </c>
      <c r="G63" s="6" t="s">
        <v>72</v>
      </c>
      <c r="H63" s="9">
        <v>20000</v>
      </c>
      <c r="I63" s="9">
        <f>I62-F63+H63</f>
        <v>-546000</v>
      </c>
    </row>
    <row r="64" spans="1:9" x14ac:dyDescent="0.25">
      <c r="A64" s="43"/>
      <c r="B64" s="6"/>
      <c r="C64" s="6"/>
      <c r="D64" s="7"/>
      <c r="E64" s="8"/>
      <c r="F64" s="56">
        <f t="shared" si="2"/>
        <v>0</v>
      </c>
      <c r="G64" s="6"/>
      <c r="H64" s="9"/>
      <c r="I64" s="9">
        <f>I63-F64+H64</f>
        <v>-546000</v>
      </c>
    </row>
    <row r="65" spans="1:9" x14ac:dyDescent="0.25">
      <c r="A65" s="43"/>
      <c r="B65" s="6"/>
      <c r="C65" s="6"/>
      <c r="D65" s="7"/>
      <c r="E65" s="8"/>
      <c r="F65" s="56">
        <f t="shared" si="2"/>
        <v>0</v>
      </c>
      <c r="G65" s="6"/>
      <c r="H65" s="9"/>
      <c r="I65" s="9">
        <f>I64-F65+H65</f>
        <v>-546000</v>
      </c>
    </row>
    <row r="66" spans="1:9" x14ac:dyDescent="0.25">
      <c r="A66" s="43"/>
      <c r="B66" s="6"/>
      <c r="C66" s="6"/>
      <c r="D66" s="7"/>
      <c r="E66" s="8"/>
      <c r="F66" s="56">
        <f t="shared" si="2"/>
        <v>0</v>
      </c>
      <c r="G66" s="6"/>
      <c r="H66" s="9"/>
      <c r="I66" s="9">
        <f>I65-F66+H66</f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>I3-F4+H4</f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>I4-F5+H5</f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0">D6*E6</f>
        <v>0</v>
      </c>
      <c r="G6" s="11"/>
      <c r="H6" s="8"/>
      <c r="I6" s="9">
        <f>I5-F6+H6</f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0"/>
        <v>0</v>
      </c>
      <c r="G7" s="6"/>
      <c r="H7" s="8"/>
      <c r="I7" s="9">
        <f>I6-F7+H7</f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0"/>
        <v>0</v>
      </c>
      <c r="G8" s="6"/>
      <c r="H8" s="8"/>
      <c r="I8" s="9">
        <f>I7-F8+H8</f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0"/>
        <v>0</v>
      </c>
      <c r="G9" s="6"/>
      <c r="H9" s="8"/>
      <c r="I9" s="9">
        <f>I8-F9+H9</f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0"/>
        <v>0</v>
      </c>
      <c r="G10" s="6"/>
      <c r="H10" s="8"/>
      <c r="I10" s="9">
        <f>I9-F10+H10</f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0"/>
        <v>0</v>
      </c>
      <c r="G11" s="6"/>
      <c r="H11" s="8"/>
      <c r="I11" s="9">
        <f>I10-F11+H11</f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0"/>
        <v>0</v>
      </c>
      <c r="G12" s="6"/>
      <c r="H12" s="8"/>
      <c r="I12" s="9">
        <f>I11-F12+H12</f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0"/>
        <v>0</v>
      </c>
      <c r="G13" s="6"/>
      <c r="H13" s="8"/>
      <c r="I13" s="9">
        <f>I12-F13+H13</f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0"/>
        <v>0</v>
      </c>
      <c r="G14" s="6"/>
      <c r="H14" s="8"/>
      <c r="I14" s="9">
        <f>I13-F14+H14</f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0"/>
        <v>0</v>
      </c>
      <c r="G15" s="14"/>
      <c r="H15" s="16"/>
      <c r="I15" s="9">
        <f>I14-F15+H15</f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0"/>
        <v>0</v>
      </c>
      <c r="G16" s="18"/>
      <c r="H16" s="20"/>
      <c r="I16" s="9">
        <f>I15-F16+H16</f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0"/>
        <v>0</v>
      </c>
      <c r="G17" s="6"/>
      <c r="H17" s="8"/>
      <c r="I17" s="9">
        <f>I16-F17+H17</f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0"/>
        <v>0</v>
      </c>
      <c r="G18" s="6"/>
      <c r="H18" s="8"/>
      <c r="I18" s="9">
        <f>I17-F18+H18</f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0"/>
        <v>0</v>
      </c>
      <c r="G19" s="11"/>
      <c r="H19" s="8"/>
      <c r="I19" s="9">
        <f>I18-F19+H19</f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0"/>
        <v>0</v>
      </c>
      <c r="G20" s="11"/>
      <c r="H20" s="8"/>
      <c r="I20" s="9">
        <f>I19-F20+H20</f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0"/>
        <v>0</v>
      </c>
      <c r="G21" s="6"/>
      <c r="H21" s="8"/>
      <c r="I21" s="9">
        <f>I20-F21+H21</f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0"/>
        <v>0</v>
      </c>
      <c r="G22" s="6"/>
      <c r="H22" s="8"/>
      <c r="I22" s="9">
        <f>I21-F22+H22</f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0"/>
        <v>0</v>
      </c>
      <c r="G23" s="6"/>
      <c r="H23" s="8"/>
      <c r="I23" s="9">
        <f>I22-F23+H23</f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1">C24*E24+D24*E24</f>
        <v>0</v>
      </c>
      <c r="G24" s="6"/>
      <c r="H24" s="8"/>
      <c r="I24" s="9">
        <f>I23-F24+H24</f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1"/>
        <v>0</v>
      </c>
      <c r="G25" s="6"/>
      <c r="H25" s="8"/>
      <c r="I25" s="9">
        <f>I24-F25+H25</f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1"/>
        <v>0</v>
      </c>
      <c r="G26" s="6"/>
      <c r="H26" s="8"/>
      <c r="I26" s="9">
        <f>I25-F26+H26</f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1"/>
        <v>0</v>
      </c>
      <c r="G27" s="6"/>
      <c r="H27" s="8"/>
      <c r="I27" s="9">
        <f>I26-F27+H27</f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1"/>
        <v>0</v>
      </c>
      <c r="G28" s="6"/>
      <c r="H28" s="8"/>
      <c r="I28" s="9">
        <f>I27-F28+H28</f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1"/>
        <v>0</v>
      </c>
      <c r="G29" s="6"/>
      <c r="H29" s="8"/>
      <c r="I29" s="9">
        <f>I28-F29+H29</f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1"/>
        <v>0</v>
      </c>
      <c r="G30" s="6"/>
      <c r="H30" s="8"/>
      <c r="I30" s="9">
        <f>I29-F30+H30</f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1"/>
        <v>0</v>
      </c>
      <c r="G31" s="11"/>
      <c r="H31" s="8"/>
      <c r="I31" s="9">
        <f>I30-F31+H31</f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1"/>
        <v>0</v>
      </c>
      <c r="G32" s="6"/>
      <c r="H32" s="8"/>
      <c r="I32" s="9">
        <f>I31-F32+H32</f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1"/>
        <v>0</v>
      </c>
      <c r="G33" s="6"/>
      <c r="H33" s="8"/>
      <c r="I33" s="9">
        <f>I32-F33+H33</f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1"/>
        <v>0</v>
      </c>
      <c r="G34" s="6"/>
      <c r="H34" s="8"/>
      <c r="I34" s="9">
        <f>I33-F34+H34</f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1"/>
        <v>0</v>
      </c>
      <c r="G35" s="6"/>
      <c r="H35" s="8"/>
      <c r="I35" s="9">
        <f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1"/>
        <v>0</v>
      </c>
      <c r="G36" s="6"/>
      <c r="H36" s="8"/>
      <c r="I36" s="9">
        <f>I35-F36+H36</f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1"/>
        <v>0</v>
      </c>
      <c r="G37" s="6"/>
      <c r="H37" s="8"/>
      <c r="I37" s="9">
        <f>I36-F37+H37</f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1"/>
        <v>0</v>
      </c>
      <c r="G38" s="6"/>
      <c r="H38" s="8"/>
      <c r="I38" s="9">
        <f>I37-F38+H38</f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1"/>
        <v>0</v>
      </c>
      <c r="G39" s="6"/>
      <c r="H39" s="8"/>
      <c r="I39" s="9">
        <f>I38-F39+H39</f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1"/>
        <v>0</v>
      </c>
      <c r="G40" s="6"/>
      <c r="H40" s="8"/>
      <c r="I40" s="9">
        <f>I39-F40+H40</f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1"/>
        <v>0</v>
      </c>
      <c r="G41" s="6"/>
      <c r="H41" s="8"/>
      <c r="I41" s="9">
        <f>I40-F41+H41</f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1"/>
        <v>0</v>
      </c>
      <c r="G42" s="14"/>
      <c r="H42" s="16"/>
      <c r="I42" s="9">
        <f>I41-F42+H42</f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1"/>
        <v>0</v>
      </c>
      <c r="G43" s="18"/>
      <c r="H43" s="20"/>
      <c r="I43" s="9">
        <f>I42-F43+H43</f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1"/>
        <v>0</v>
      </c>
      <c r="G44" s="11"/>
      <c r="H44" s="8"/>
      <c r="I44" s="9">
        <f>I43-F44+H44</f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1"/>
        <v>0</v>
      </c>
      <c r="G45" s="11"/>
      <c r="H45" s="8"/>
      <c r="I45" s="9">
        <f>I44-F45+H45</f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1"/>
        <v>0</v>
      </c>
      <c r="G46" s="6"/>
      <c r="H46" s="8"/>
      <c r="I46" s="9">
        <f>I45-F46+H46</f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1"/>
        <v>0</v>
      </c>
      <c r="G47" s="6"/>
      <c r="H47" s="8"/>
      <c r="I47" s="9">
        <f>I46-F47+H47</f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1"/>
        <v>0</v>
      </c>
      <c r="G48" s="6"/>
      <c r="H48" s="8"/>
      <c r="I48" s="9">
        <f>I47-F48+H48</f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1"/>
        <v>0</v>
      </c>
      <c r="G49" s="6"/>
      <c r="H49" s="8"/>
      <c r="I49" s="9">
        <f>I48-F49+H49</f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1"/>
        <v>0</v>
      </c>
      <c r="G50" s="6"/>
      <c r="H50" s="8"/>
      <c r="I50" s="9">
        <f>I49-F50+H50</f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1"/>
        <v>0</v>
      </c>
      <c r="G51" s="6"/>
      <c r="H51" s="8"/>
      <c r="I51" s="9">
        <f>I50-F51+H51</f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1"/>
        <v>0</v>
      </c>
      <c r="G52" s="6"/>
      <c r="H52" s="8"/>
      <c r="I52" s="9">
        <f>I51-F52+H52</f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1"/>
        <v>0</v>
      </c>
      <c r="G53" s="6"/>
      <c r="H53" s="8"/>
      <c r="I53" s="9">
        <f>I52-F53+H53</f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1"/>
        <v>0</v>
      </c>
      <c r="G54" s="6"/>
      <c r="H54" s="8"/>
      <c r="I54" s="9">
        <f>I53-F54+H54</f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1"/>
        <v>0</v>
      </c>
      <c r="G55" s="6"/>
      <c r="H55" s="8"/>
      <c r="I55" s="9">
        <f>I54-F55+H55</f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1"/>
        <v>0</v>
      </c>
      <c r="G56" s="6"/>
      <c r="H56" s="8"/>
      <c r="I56" s="9">
        <f>I55-F56+H56</f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>I3-F4+H4</f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>I4-F5+H5</f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0">D6*E6</f>
        <v>0</v>
      </c>
      <c r="G6" s="11"/>
      <c r="H6" s="6"/>
      <c r="I6" s="9">
        <f>I5-F6+H6</f>
        <v>0</v>
      </c>
    </row>
    <row r="7" spans="1:10" x14ac:dyDescent="0.25">
      <c r="A7" s="11"/>
      <c r="B7" s="6"/>
      <c r="C7" s="6"/>
      <c r="D7" s="7"/>
      <c r="E7" s="8"/>
      <c r="F7" s="8">
        <f t="shared" si="0"/>
        <v>0</v>
      </c>
      <c r="G7" s="6"/>
      <c r="H7" s="6"/>
      <c r="I7" s="9">
        <f>I6-F7+H7</f>
        <v>0</v>
      </c>
    </row>
    <row r="8" spans="1:10" x14ac:dyDescent="0.25">
      <c r="A8" s="11"/>
      <c r="B8" s="6"/>
      <c r="C8" s="6"/>
      <c r="D8" s="7"/>
      <c r="E8" s="8"/>
      <c r="F8" s="8">
        <f t="shared" si="0"/>
        <v>0</v>
      </c>
      <c r="G8" s="6"/>
      <c r="H8" s="6"/>
      <c r="I8" s="9">
        <f>I7-F8+H8</f>
        <v>0</v>
      </c>
    </row>
    <row r="9" spans="1:10" x14ac:dyDescent="0.25">
      <c r="A9" s="11"/>
      <c r="B9" s="6"/>
      <c r="C9" s="6"/>
      <c r="D9" s="7"/>
      <c r="E9" s="8"/>
      <c r="F9" s="8">
        <f t="shared" si="0"/>
        <v>0</v>
      </c>
      <c r="G9" s="6"/>
      <c r="H9" s="6"/>
      <c r="I9" s="9">
        <f>I8-F9+H9</f>
        <v>0</v>
      </c>
    </row>
    <row r="10" spans="1:10" x14ac:dyDescent="0.25">
      <c r="A10" s="11"/>
      <c r="B10" s="6"/>
      <c r="C10" s="6"/>
      <c r="D10" s="7"/>
      <c r="E10" s="8"/>
      <c r="F10" s="8">
        <f t="shared" si="0"/>
        <v>0</v>
      </c>
      <c r="G10" s="6"/>
      <c r="H10" s="6"/>
      <c r="I10" s="9">
        <f>I9-F10+H10</f>
        <v>0</v>
      </c>
    </row>
    <row r="11" spans="1:10" x14ac:dyDescent="0.25">
      <c r="A11" s="11"/>
      <c r="B11" s="6"/>
      <c r="C11" s="6"/>
      <c r="D11" s="7"/>
      <c r="E11" s="8"/>
      <c r="F11" s="8">
        <f t="shared" si="0"/>
        <v>0</v>
      </c>
      <c r="G11" s="6"/>
      <c r="H11" s="6"/>
      <c r="I11" s="9">
        <f>I10-F11+H11</f>
        <v>0</v>
      </c>
    </row>
    <row r="12" spans="1:10" x14ac:dyDescent="0.25">
      <c r="A12" s="11"/>
      <c r="B12" s="6"/>
      <c r="C12" s="6"/>
      <c r="D12" s="7"/>
      <c r="E12" s="8"/>
      <c r="F12" s="8">
        <f t="shared" si="0"/>
        <v>0</v>
      </c>
      <c r="G12" s="6"/>
      <c r="H12" s="6"/>
      <c r="I12" s="9">
        <f>I11-F12+H12</f>
        <v>0</v>
      </c>
    </row>
    <row r="13" spans="1:10" x14ac:dyDescent="0.25">
      <c r="A13" s="11"/>
      <c r="B13" s="6"/>
      <c r="C13" s="6"/>
      <c r="D13" s="7"/>
      <c r="E13" s="8"/>
      <c r="F13" s="8">
        <f t="shared" si="0"/>
        <v>0</v>
      </c>
      <c r="G13" s="6"/>
      <c r="H13" s="6"/>
      <c r="I13" s="9">
        <f>I12-F13+H13</f>
        <v>0</v>
      </c>
    </row>
    <row r="14" spans="1:10" x14ac:dyDescent="0.25">
      <c r="A14" s="11"/>
      <c r="B14" s="6"/>
      <c r="C14" s="6"/>
      <c r="D14" s="7"/>
      <c r="E14" s="8"/>
      <c r="F14" s="8">
        <f t="shared" si="0"/>
        <v>0</v>
      </c>
      <c r="G14" s="6"/>
      <c r="H14" s="6"/>
      <c r="I14" s="9">
        <f>I13-F14+H14</f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0"/>
        <v>0</v>
      </c>
      <c r="G15" s="14"/>
      <c r="H15" s="14"/>
      <c r="I15" s="9">
        <f>I14-F15+H15</f>
        <v>0</v>
      </c>
    </row>
    <row r="16" spans="1:10" x14ac:dyDescent="0.25">
      <c r="A16" s="17"/>
      <c r="B16" s="18"/>
      <c r="C16" s="18"/>
      <c r="D16" s="19"/>
      <c r="E16" s="20"/>
      <c r="F16" s="8">
        <f t="shared" si="0"/>
        <v>0</v>
      </c>
      <c r="G16" s="18"/>
      <c r="H16" s="18"/>
      <c r="I16" s="9">
        <f>I15-F16+H16</f>
        <v>0</v>
      </c>
    </row>
    <row r="17" spans="1:9" x14ac:dyDescent="0.25">
      <c r="A17" s="11"/>
      <c r="B17" s="6"/>
      <c r="C17" s="6"/>
      <c r="D17" s="7"/>
      <c r="E17" s="8"/>
      <c r="F17" s="8">
        <f t="shared" si="0"/>
        <v>0</v>
      </c>
      <c r="G17" s="6"/>
      <c r="H17" s="6"/>
      <c r="I17" s="9">
        <f>I16-F17+H17</f>
        <v>0</v>
      </c>
    </row>
    <row r="18" spans="1:9" x14ac:dyDescent="0.25">
      <c r="A18" s="11"/>
      <c r="B18" s="6"/>
      <c r="C18" s="6"/>
      <c r="D18" s="7"/>
      <c r="E18" s="8"/>
      <c r="F18" s="8">
        <f t="shared" si="0"/>
        <v>0</v>
      </c>
      <c r="G18" s="6"/>
      <c r="H18" s="6"/>
      <c r="I18" s="9">
        <f>I17-F18+H18</f>
        <v>0</v>
      </c>
    </row>
    <row r="19" spans="1:9" x14ac:dyDescent="0.25">
      <c r="A19" s="11"/>
      <c r="B19" s="6"/>
      <c r="C19" s="6"/>
      <c r="D19" s="7"/>
      <c r="E19" s="8"/>
      <c r="F19" s="8">
        <f t="shared" si="0"/>
        <v>0</v>
      </c>
      <c r="G19" s="11"/>
      <c r="H19" s="6"/>
      <c r="I19" s="9">
        <f>I18-F19+H19</f>
        <v>0</v>
      </c>
    </row>
    <row r="20" spans="1:9" x14ac:dyDescent="0.25">
      <c r="A20" s="6"/>
      <c r="B20" s="6"/>
      <c r="C20" s="6"/>
      <c r="D20" s="7"/>
      <c r="E20" s="8"/>
      <c r="F20" s="8">
        <f t="shared" si="0"/>
        <v>0</v>
      </c>
      <c r="G20" s="11"/>
      <c r="H20" s="6"/>
      <c r="I20" s="9">
        <f>I19-F20+H20</f>
        <v>0</v>
      </c>
    </row>
    <row r="21" spans="1:9" x14ac:dyDescent="0.25">
      <c r="A21" s="11"/>
      <c r="B21" s="6"/>
      <c r="C21" s="6"/>
      <c r="D21" s="7"/>
      <c r="E21" s="8"/>
      <c r="F21" s="8">
        <f t="shared" si="0"/>
        <v>0</v>
      </c>
      <c r="G21" s="6"/>
      <c r="H21" s="6"/>
      <c r="I21" s="9">
        <f>I20-F21+H21</f>
        <v>0</v>
      </c>
    </row>
    <row r="22" spans="1:9" x14ac:dyDescent="0.25">
      <c r="A22" s="11"/>
      <c r="B22" s="6"/>
      <c r="C22" s="6"/>
      <c r="D22" s="7"/>
      <c r="E22" s="8"/>
      <c r="F22" s="8">
        <f t="shared" si="0"/>
        <v>0</v>
      </c>
      <c r="G22" s="6"/>
      <c r="H22" s="6"/>
      <c r="I22" s="9">
        <f>I21-F22+H22</f>
        <v>0</v>
      </c>
    </row>
    <row r="23" spans="1:9" x14ac:dyDescent="0.25">
      <c r="A23" s="11"/>
      <c r="B23" s="6"/>
      <c r="C23" s="6"/>
      <c r="D23" s="7"/>
      <c r="E23" s="8"/>
      <c r="F23" s="8">
        <f t="shared" si="0"/>
        <v>0</v>
      </c>
      <c r="G23" s="6"/>
      <c r="H23" s="6"/>
      <c r="I23" s="9">
        <f>I22-F23+H23</f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1">C24*E24+D24*E24</f>
        <v>0</v>
      </c>
      <c r="G24" s="6"/>
      <c r="H24" s="6"/>
      <c r="I24" s="9">
        <f>I23-F24+H24</f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6"/>
      <c r="I25" s="9">
        <f>I24-F25+H25</f>
        <v>0</v>
      </c>
    </row>
    <row r="26" spans="1:9" x14ac:dyDescent="0.25">
      <c r="A26" s="11"/>
      <c r="B26" s="6"/>
      <c r="C26" s="6"/>
      <c r="D26" s="7"/>
      <c r="E26" s="8"/>
      <c r="F26" s="8">
        <f t="shared" si="1"/>
        <v>0</v>
      </c>
      <c r="G26" s="6"/>
      <c r="H26" s="6"/>
      <c r="I26" s="9">
        <f>I25-F26+H26</f>
        <v>0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/>
      <c r="H27" s="6"/>
      <c r="I27" s="9">
        <f>I26-F27+H27</f>
        <v>0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6"/>
      <c r="I28" s="9">
        <f>I27-F28+H28</f>
        <v>0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6"/>
      <c r="I29" s="9">
        <f>I28-F29+H29</f>
        <v>0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6"/>
      <c r="I30" s="9">
        <f>I29-F30+H30</f>
        <v>0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11"/>
      <c r="H31" s="6"/>
      <c r="I31" s="9">
        <f>I30-F31+H31</f>
        <v>0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6"/>
      <c r="I32" s="9">
        <f>I31-F32+H32</f>
        <v>0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6"/>
      <c r="H33" s="6"/>
      <c r="I33" s="9">
        <f>I32-F33+H33</f>
        <v>0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6"/>
      <c r="I34" s="9">
        <f>I33-F34+H34</f>
        <v>0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6"/>
      <c r="I35" s="9">
        <f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6"/>
      <c r="I36" s="9">
        <f>I35-F36+H36</f>
        <v>0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6"/>
      <c r="I37" s="9">
        <f>I36-F37+H37</f>
        <v>0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6"/>
      <c r="I38" s="9">
        <f>I37-F38+H38</f>
        <v>0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6"/>
      <c r="I39" s="9">
        <f>I38-F39+H39</f>
        <v>0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6"/>
      <c r="I40" s="9">
        <f>I39-F40+H40</f>
        <v>0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6"/>
      <c r="I41" s="9">
        <f>I40-F41+H41</f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1"/>
        <v>0</v>
      </c>
      <c r="G42" s="14"/>
      <c r="H42" s="14"/>
      <c r="I42" s="9">
        <f>I41-F42+H42</f>
        <v>0</v>
      </c>
    </row>
    <row r="43" spans="1:9" x14ac:dyDescent="0.25">
      <c r="A43" s="21"/>
      <c r="B43" s="18"/>
      <c r="C43" s="18"/>
      <c r="D43" s="19"/>
      <c r="E43" s="20"/>
      <c r="F43" s="20">
        <f t="shared" si="1"/>
        <v>0</v>
      </c>
      <c r="G43" s="18"/>
      <c r="H43" s="18"/>
      <c r="I43" s="9">
        <f>I42-F43+H43</f>
        <v>0</v>
      </c>
    </row>
    <row r="44" spans="1:9" x14ac:dyDescent="0.25">
      <c r="A44" s="11"/>
      <c r="B44" s="6"/>
      <c r="C44" s="6"/>
      <c r="D44" s="7"/>
      <c r="E44" s="8"/>
      <c r="F44" s="8">
        <f t="shared" si="1"/>
        <v>0</v>
      </c>
      <c r="G44" s="11"/>
      <c r="H44" s="6"/>
      <c r="I44" s="9">
        <f>I43-F44+H44</f>
        <v>0</v>
      </c>
    </row>
    <row r="45" spans="1:9" x14ac:dyDescent="0.25">
      <c r="A45" s="11"/>
      <c r="B45" s="6"/>
      <c r="C45" s="6"/>
      <c r="D45" s="7"/>
      <c r="E45" s="8"/>
      <c r="F45" s="8">
        <f t="shared" si="1"/>
        <v>0</v>
      </c>
      <c r="G45" s="11"/>
      <c r="H45" s="6"/>
      <c r="I45" s="9">
        <f>I44-F45+H45</f>
        <v>0</v>
      </c>
    </row>
    <row r="46" spans="1:9" x14ac:dyDescent="0.25">
      <c r="A46" s="11"/>
      <c r="B46" s="6"/>
      <c r="C46" s="6"/>
      <c r="D46" s="7"/>
      <c r="E46" s="8"/>
      <c r="F46" s="8">
        <f t="shared" si="1"/>
        <v>0</v>
      </c>
      <c r="G46" s="6"/>
      <c r="H46" s="6"/>
      <c r="I46" s="9">
        <f>I45-F46+H46</f>
        <v>0</v>
      </c>
    </row>
    <row r="47" spans="1:9" x14ac:dyDescent="0.25">
      <c r="A47" s="11"/>
      <c r="B47" s="6"/>
      <c r="C47" s="6"/>
      <c r="D47" s="7"/>
      <c r="E47" s="8"/>
      <c r="F47" s="8">
        <f t="shared" si="1"/>
        <v>0</v>
      </c>
      <c r="G47" s="6"/>
      <c r="H47" s="6"/>
      <c r="I47" s="9">
        <f>I46-F47+H47</f>
        <v>0</v>
      </c>
    </row>
    <row r="48" spans="1:9" x14ac:dyDescent="0.25">
      <c r="A48" s="11"/>
      <c r="B48" s="6"/>
      <c r="C48" s="6"/>
      <c r="D48" s="7"/>
      <c r="E48" s="8"/>
      <c r="F48" s="8">
        <f t="shared" si="1"/>
        <v>0</v>
      </c>
      <c r="G48" s="6"/>
      <c r="H48" s="6"/>
      <c r="I48" s="9">
        <f>I47-F48+H48</f>
        <v>0</v>
      </c>
    </row>
    <row r="49" spans="1:9" x14ac:dyDescent="0.25">
      <c r="A49" s="11"/>
      <c r="B49" s="6"/>
      <c r="C49" s="6"/>
      <c r="D49" s="7"/>
      <c r="E49" s="8"/>
      <c r="F49" s="8">
        <f t="shared" si="1"/>
        <v>0</v>
      </c>
      <c r="G49" s="6"/>
      <c r="H49" s="6"/>
      <c r="I49" s="9">
        <f>I48-F49+H49</f>
        <v>0</v>
      </c>
    </row>
    <row r="50" spans="1:9" x14ac:dyDescent="0.25">
      <c r="A50" s="11"/>
      <c r="B50" s="6"/>
      <c r="C50" s="6"/>
      <c r="D50" s="7"/>
      <c r="E50" s="8"/>
      <c r="F50" s="8">
        <f t="shared" si="1"/>
        <v>0</v>
      </c>
      <c r="G50" s="6"/>
      <c r="H50" s="6"/>
      <c r="I50" s="9">
        <f>I49-F50+H50</f>
        <v>0</v>
      </c>
    </row>
    <row r="51" spans="1:9" x14ac:dyDescent="0.25">
      <c r="A51" s="11"/>
      <c r="B51" s="6"/>
      <c r="C51" s="6"/>
      <c r="D51" s="7"/>
      <c r="E51" s="8"/>
      <c r="F51" s="8">
        <f t="shared" si="1"/>
        <v>0</v>
      </c>
      <c r="G51" s="6"/>
      <c r="H51" s="6"/>
      <c r="I51" s="9">
        <f>I50-F51+H51</f>
        <v>0</v>
      </c>
    </row>
    <row r="52" spans="1:9" x14ac:dyDescent="0.25">
      <c r="A52" s="11"/>
      <c r="B52" s="6"/>
      <c r="C52" s="6"/>
      <c r="D52" s="7"/>
      <c r="E52" s="8"/>
      <c r="F52" s="8">
        <f t="shared" si="1"/>
        <v>0</v>
      </c>
      <c r="G52" s="6"/>
      <c r="H52" s="6"/>
      <c r="I52" s="9">
        <f>I51-F52+H52</f>
        <v>0</v>
      </c>
    </row>
    <row r="53" spans="1:9" x14ac:dyDescent="0.25">
      <c r="A53" s="11"/>
      <c r="B53" s="6"/>
      <c r="C53" s="6"/>
      <c r="D53" s="7"/>
      <c r="E53" s="8"/>
      <c r="F53" s="8">
        <f t="shared" si="1"/>
        <v>0</v>
      </c>
      <c r="G53" s="6"/>
      <c r="H53" s="6"/>
      <c r="I53" s="9">
        <f>I52-F53+H53</f>
        <v>0</v>
      </c>
    </row>
    <row r="54" spans="1:9" x14ac:dyDescent="0.25">
      <c r="A54" s="6"/>
      <c r="B54" s="6"/>
      <c r="C54" s="6"/>
      <c r="D54" s="7"/>
      <c r="E54" s="8"/>
      <c r="F54" s="8">
        <f t="shared" si="1"/>
        <v>0</v>
      </c>
      <c r="G54" s="6"/>
      <c r="H54" s="6"/>
      <c r="I54" s="9">
        <f>I53-F54+H54</f>
        <v>0</v>
      </c>
    </row>
    <row r="55" spans="1:9" x14ac:dyDescent="0.25">
      <c r="A55" s="6"/>
      <c r="B55" s="6"/>
      <c r="C55" s="6"/>
      <c r="D55" s="7"/>
      <c r="E55" s="8"/>
      <c r="F55" s="8">
        <f t="shared" si="1"/>
        <v>0</v>
      </c>
      <c r="G55" s="6"/>
      <c r="H55" s="6"/>
      <c r="I55" s="9">
        <f>I54-F55+H55</f>
        <v>0</v>
      </c>
    </row>
    <row r="56" spans="1:9" x14ac:dyDescent="0.25">
      <c r="A56" s="6"/>
      <c r="B56" s="6"/>
      <c r="C56" s="6"/>
      <c r="D56" s="7"/>
      <c r="E56" s="8"/>
      <c r="F56" s="8">
        <f t="shared" si="1"/>
        <v>0</v>
      </c>
      <c r="G56" s="6"/>
      <c r="H56" s="6"/>
      <c r="I56" s="9">
        <f>I55-F56+H56</f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>I3-F4+H4</f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>I4-F5+H5</f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>I5-F6+H6</f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>I6-F7+H7</f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0">D8*E8</f>
        <v>0</v>
      </c>
      <c r="G8" s="11">
        <v>45716</v>
      </c>
      <c r="H8" s="8">
        <v>28600</v>
      </c>
      <c r="I8" s="9">
        <f>I7-F8+H8</f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0"/>
        <v>0</v>
      </c>
      <c r="G9" s="74"/>
      <c r="H9" s="76"/>
      <c r="I9" s="77">
        <f>I8-F9+H9</f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>I9-F10+H10</f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0"/>
        <v>0</v>
      </c>
      <c r="G11" s="88">
        <v>45736</v>
      </c>
      <c r="H11" s="87">
        <v>19500</v>
      </c>
      <c r="I11" s="89">
        <f>I10-F11+H11</f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>I11-F12+H12</f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0"/>
        <v>0</v>
      </c>
      <c r="G13" s="115"/>
      <c r="H13" s="117"/>
      <c r="I13" s="118">
        <f>I12-F13+H13</f>
        <v>-18100</v>
      </c>
    </row>
    <row r="14" spans="1:10" x14ac:dyDescent="0.25">
      <c r="A14" s="11"/>
      <c r="B14" s="6"/>
      <c r="C14" s="6"/>
      <c r="D14" s="7"/>
      <c r="E14" s="8"/>
      <c r="F14" s="8">
        <f t="shared" si="0"/>
        <v>0</v>
      </c>
      <c r="G14" s="11">
        <v>45749</v>
      </c>
      <c r="H14" s="8">
        <v>18100</v>
      </c>
      <c r="I14" s="9">
        <f>I13-F14+H14</f>
        <v>0</v>
      </c>
    </row>
    <row r="15" spans="1:10" x14ac:dyDescent="0.25">
      <c r="A15" s="11"/>
      <c r="B15" s="6"/>
      <c r="C15" s="6"/>
      <c r="D15" s="7"/>
      <c r="E15" s="8"/>
      <c r="F15" s="8">
        <f t="shared" si="0"/>
        <v>0</v>
      </c>
      <c r="G15" s="6"/>
      <c r="H15" s="8"/>
      <c r="I15" s="9">
        <f>I14-F15+H15</f>
        <v>0</v>
      </c>
    </row>
    <row r="16" spans="1:10" x14ac:dyDescent="0.25">
      <c r="A16" s="11"/>
      <c r="B16" s="6"/>
      <c r="C16" s="6"/>
      <c r="D16" s="7"/>
      <c r="E16" s="8"/>
      <c r="F16" s="8">
        <f t="shared" si="0"/>
        <v>0</v>
      </c>
      <c r="G16" s="6"/>
      <c r="H16" s="8"/>
      <c r="I16" s="9">
        <f>I15-F16+H16</f>
        <v>0</v>
      </c>
    </row>
    <row r="17" spans="1:9" x14ac:dyDescent="0.25">
      <c r="A17" s="11"/>
      <c r="B17" s="6"/>
      <c r="C17" s="6"/>
      <c r="D17" s="7"/>
      <c r="E17" s="8"/>
      <c r="F17" s="8">
        <f t="shared" si="0"/>
        <v>0</v>
      </c>
      <c r="G17" s="6"/>
      <c r="H17" s="8"/>
      <c r="I17" s="9">
        <f>I16-F17+H17</f>
        <v>0</v>
      </c>
    </row>
    <row r="18" spans="1:9" x14ac:dyDescent="0.25">
      <c r="A18" s="104"/>
      <c r="B18" s="6"/>
      <c r="C18" s="6"/>
      <c r="D18" s="7"/>
      <c r="E18" s="8"/>
      <c r="F18" s="8">
        <f t="shared" si="0"/>
        <v>0</v>
      </c>
      <c r="G18" s="6"/>
      <c r="H18" s="8"/>
      <c r="I18" s="9">
        <f>I17-F18+H18</f>
        <v>0</v>
      </c>
    </row>
    <row r="19" spans="1:9" x14ac:dyDescent="0.25">
      <c r="A19" s="11"/>
      <c r="B19" s="6"/>
      <c r="C19" s="6"/>
      <c r="D19" s="7"/>
      <c r="E19" s="8"/>
      <c r="F19" s="8">
        <f t="shared" si="0"/>
        <v>0</v>
      </c>
      <c r="G19" s="6"/>
      <c r="H19" s="8"/>
      <c r="I19" s="9">
        <f>I18-F19+H19</f>
        <v>0</v>
      </c>
    </row>
    <row r="20" spans="1:9" x14ac:dyDescent="0.25">
      <c r="A20" s="11"/>
      <c r="B20" s="6"/>
      <c r="C20" s="6"/>
      <c r="D20" s="7"/>
      <c r="E20" s="8"/>
      <c r="F20" s="8">
        <f t="shared" si="0"/>
        <v>0</v>
      </c>
      <c r="G20" s="6"/>
      <c r="H20" s="8"/>
      <c r="I20" s="9">
        <f>I19-F20+H20</f>
        <v>0</v>
      </c>
    </row>
    <row r="21" spans="1:9" x14ac:dyDescent="0.25">
      <c r="A21" s="11"/>
      <c r="B21" s="6"/>
      <c r="C21" s="6"/>
      <c r="D21" s="7"/>
      <c r="E21" s="8"/>
      <c r="F21" s="8">
        <f t="shared" si="0"/>
        <v>0</v>
      </c>
      <c r="G21" s="11"/>
      <c r="H21" s="8"/>
      <c r="I21" s="9">
        <f>I20-F21+H21</f>
        <v>0</v>
      </c>
    </row>
    <row r="22" spans="1:9" x14ac:dyDescent="0.25">
      <c r="A22" s="6"/>
      <c r="B22" s="6"/>
      <c r="C22" s="6"/>
      <c r="D22" s="7"/>
      <c r="E22" s="8"/>
      <c r="F22" s="8">
        <f t="shared" si="0"/>
        <v>0</v>
      </c>
      <c r="G22" s="11"/>
      <c r="H22" s="8"/>
      <c r="I22" s="9">
        <f>I21-F22+H22</f>
        <v>0</v>
      </c>
    </row>
    <row r="23" spans="1:9" x14ac:dyDescent="0.25">
      <c r="A23" s="11"/>
      <c r="B23" s="6"/>
      <c r="C23" s="6"/>
      <c r="D23" s="7"/>
      <c r="E23" s="8"/>
      <c r="F23" s="8">
        <f t="shared" si="0"/>
        <v>0</v>
      </c>
      <c r="G23" s="6"/>
      <c r="H23" s="8"/>
      <c r="I23" s="9">
        <f>I22-F23+H23</f>
        <v>0</v>
      </c>
    </row>
    <row r="24" spans="1:9" x14ac:dyDescent="0.25">
      <c r="A24" s="11"/>
      <c r="B24" s="6"/>
      <c r="C24" s="6"/>
      <c r="D24" s="7"/>
      <c r="E24" s="8"/>
      <c r="F24" s="8">
        <f t="shared" si="0"/>
        <v>0</v>
      </c>
      <c r="G24" s="6"/>
      <c r="H24" s="8"/>
      <c r="I24" s="9">
        <f>I23-F24+H24</f>
        <v>0</v>
      </c>
    </row>
    <row r="25" spans="1:9" x14ac:dyDescent="0.25">
      <c r="A25" s="11"/>
      <c r="B25" s="6"/>
      <c r="C25" s="6"/>
      <c r="D25" s="7"/>
      <c r="E25" s="8"/>
      <c r="F25" s="8">
        <f t="shared" si="0"/>
        <v>0</v>
      </c>
      <c r="G25" s="6"/>
      <c r="H25" s="8"/>
      <c r="I25" s="9">
        <f>I24-F25+H25</f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1">C26*E26+D26*E26</f>
        <v>0</v>
      </c>
      <c r="G26" s="6"/>
      <c r="H26" s="8"/>
      <c r="I26" s="9">
        <f>I25-F26+H26</f>
        <v>0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/>
      <c r="H27" s="8"/>
      <c r="I27" s="9">
        <f>I26-F27+H27</f>
        <v>0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>I27-F28+H28</f>
        <v>0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>I28-F29+H29</f>
        <v>0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>I29-F30+H30</f>
        <v>0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>I30-F31+H31</f>
        <v>0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>I31-F32+H32</f>
        <v>0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>I32-F33+H33</f>
        <v>0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>I33-F34+H34</f>
        <v>0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>I35-F36+H36</f>
        <v>0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>I36-F37+H37</f>
        <v>0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>I37-F38+H38</f>
        <v>0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>I38-F39+H39</f>
        <v>0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>I39-F40+H40</f>
        <v>0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>I40-F41+H41</f>
        <v>0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>I41-F42+H42</f>
        <v>0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>I42-F43+H43</f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1"/>
        <v>0</v>
      </c>
      <c r="G44" s="14"/>
      <c r="H44" s="16"/>
      <c r="I44" s="9">
        <f>I43-F44+H44</f>
        <v>0</v>
      </c>
    </row>
    <row r="45" spans="1:9" x14ac:dyDescent="0.25">
      <c r="A45" s="21"/>
      <c r="B45" s="18"/>
      <c r="C45" s="18"/>
      <c r="D45" s="19"/>
      <c r="E45" s="20"/>
      <c r="F45" s="20">
        <f t="shared" si="1"/>
        <v>0</v>
      </c>
      <c r="G45" s="18"/>
      <c r="H45" s="20"/>
      <c r="I45" s="9">
        <f>I44-F45+H45</f>
        <v>0</v>
      </c>
    </row>
    <row r="46" spans="1:9" x14ac:dyDescent="0.25">
      <c r="A46" s="11"/>
      <c r="B46" s="6"/>
      <c r="C46" s="6"/>
      <c r="D46" s="7"/>
      <c r="E46" s="8"/>
      <c r="F46" s="8">
        <f t="shared" si="1"/>
        <v>0</v>
      </c>
      <c r="G46" s="11"/>
      <c r="H46" s="8"/>
      <c r="I46" s="9">
        <f>I45-F46+H46</f>
        <v>0</v>
      </c>
    </row>
    <row r="47" spans="1:9" x14ac:dyDescent="0.25">
      <c r="A47" s="11"/>
      <c r="B47" s="6"/>
      <c r="C47" s="6"/>
      <c r="D47" s="7"/>
      <c r="E47" s="8"/>
      <c r="F47" s="8">
        <f t="shared" si="1"/>
        <v>0</v>
      </c>
      <c r="G47" s="11"/>
      <c r="H47" s="8"/>
      <c r="I47" s="9">
        <f>I46-F47+H47</f>
        <v>0</v>
      </c>
    </row>
    <row r="48" spans="1:9" x14ac:dyDescent="0.25">
      <c r="A48" s="11"/>
      <c r="B48" s="6"/>
      <c r="C48" s="6"/>
      <c r="D48" s="7"/>
      <c r="E48" s="8"/>
      <c r="F48" s="8">
        <f t="shared" si="1"/>
        <v>0</v>
      </c>
      <c r="G48" s="6"/>
      <c r="H48" s="8"/>
      <c r="I48" s="9">
        <f>I47-F48+H48</f>
        <v>0</v>
      </c>
    </row>
    <row r="49" spans="1:9" x14ac:dyDescent="0.25">
      <c r="A49" s="11"/>
      <c r="B49" s="6"/>
      <c r="C49" s="6"/>
      <c r="D49" s="7"/>
      <c r="E49" s="8"/>
      <c r="F49" s="8">
        <f t="shared" si="1"/>
        <v>0</v>
      </c>
      <c r="G49" s="6"/>
      <c r="H49" s="8"/>
      <c r="I49" s="9">
        <f>I48-F49+H49</f>
        <v>0</v>
      </c>
    </row>
    <row r="50" spans="1:9" x14ac:dyDescent="0.25">
      <c r="A50" s="11"/>
      <c r="B50" s="6"/>
      <c r="C50" s="6"/>
      <c r="D50" s="7"/>
      <c r="E50" s="8"/>
      <c r="F50" s="8">
        <f t="shared" si="1"/>
        <v>0</v>
      </c>
      <c r="G50" s="6"/>
      <c r="H50" s="8"/>
      <c r="I50" s="9">
        <f>I49-F50+H50</f>
        <v>0</v>
      </c>
    </row>
    <row r="51" spans="1:9" x14ac:dyDescent="0.25">
      <c r="A51" s="11"/>
      <c r="B51" s="6"/>
      <c r="C51" s="6"/>
      <c r="D51" s="7"/>
      <c r="E51" s="8"/>
      <c r="F51" s="8">
        <f t="shared" si="1"/>
        <v>0</v>
      </c>
      <c r="G51" s="6"/>
      <c r="H51" s="8"/>
      <c r="I51" s="9">
        <f>I50-F51+H51</f>
        <v>0</v>
      </c>
    </row>
    <row r="52" spans="1:9" x14ac:dyDescent="0.25">
      <c r="A52" s="11"/>
      <c r="B52" s="6"/>
      <c r="C52" s="6"/>
      <c r="D52" s="7"/>
      <c r="E52" s="8"/>
      <c r="F52" s="8">
        <f t="shared" si="1"/>
        <v>0</v>
      </c>
      <c r="G52" s="6"/>
      <c r="H52" s="8"/>
      <c r="I52" s="9">
        <f>I51-F52+H52</f>
        <v>0</v>
      </c>
    </row>
    <row r="53" spans="1:9" x14ac:dyDescent="0.25">
      <c r="A53" s="11"/>
      <c r="B53" s="6"/>
      <c r="C53" s="6"/>
      <c r="D53" s="7"/>
      <c r="E53" s="8"/>
      <c r="F53" s="8">
        <f t="shared" si="1"/>
        <v>0</v>
      </c>
      <c r="G53" s="6"/>
      <c r="H53" s="8"/>
      <c r="I53" s="9">
        <f>I52-F53+H53</f>
        <v>0</v>
      </c>
    </row>
    <row r="54" spans="1:9" x14ac:dyDescent="0.25">
      <c r="A54" s="11"/>
      <c r="B54" s="6"/>
      <c r="C54" s="6"/>
      <c r="D54" s="7"/>
      <c r="E54" s="8"/>
      <c r="F54" s="8">
        <f t="shared" si="1"/>
        <v>0</v>
      </c>
      <c r="G54" s="6"/>
      <c r="H54" s="8"/>
      <c r="I54" s="9">
        <f>I53-F54+H54</f>
        <v>0</v>
      </c>
    </row>
    <row r="55" spans="1:9" x14ac:dyDescent="0.25">
      <c r="A55" s="11"/>
      <c r="B55" s="6"/>
      <c r="C55" s="6"/>
      <c r="D55" s="7"/>
      <c r="E55" s="8"/>
      <c r="F55" s="8">
        <f t="shared" si="1"/>
        <v>0</v>
      </c>
      <c r="G55" s="6"/>
      <c r="H55" s="8"/>
      <c r="I55" s="9">
        <f>I54-F55+H55</f>
        <v>0</v>
      </c>
    </row>
    <row r="56" spans="1:9" x14ac:dyDescent="0.25">
      <c r="A56" s="6"/>
      <c r="B56" s="6"/>
      <c r="C56" s="6"/>
      <c r="D56" s="7"/>
      <c r="E56" s="8"/>
      <c r="F56" s="8">
        <f t="shared" si="1"/>
        <v>0</v>
      </c>
      <c r="G56" s="6"/>
      <c r="H56" s="8"/>
      <c r="I56" s="9">
        <f>I55-F56+H56</f>
        <v>0</v>
      </c>
    </row>
    <row r="57" spans="1:9" x14ac:dyDescent="0.25">
      <c r="A57" s="6"/>
      <c r="B57" s="6"/>
      <c r="C57" s="6"/>
      <c r="D57" s="7"/>
      <c r="E57" s="8"/>
      <c r="F57" s="8">
        <f t="shared" si="1"/>
        <v>0</v>
      </c>
      <c r="G57" s="6"/>
      <c r="H57" s="8"/>
      <c r="I57" s="9">
        <f>I56-F57+H57</f>
        <v>0</v>
      </c>
    </row>
    <row r="58" spans="1:9" x14ac:dyDescent="0.25">
      <c r="A58" s="6"/>
      <c r="B58" s="6"/>
      <c r="C58" s="6"/>
      <c r="D58" s="7"/>
      <c r="E58" s="8"/>
      <c r="F58" s="8">
        <f t="shared" si="1"/>
        <v>0</v>
      </c>
      <c r="G58" s="6"/>
      <c r="H58" s="8"/>
      <c r="I58" s="9">
        <f>I57-F58+H58</f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>I3-F4+H4</f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>I4-F5+H5</f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>I5-F6+H6</f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>I6-F7+H7</f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>I7-F8+H8</f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0">D9*E9</f>
        <v>0</v>
      </c>
      <c r="G9" s="105">
        <v>45762</v>
      </c>
      <c r="H9" s="8">
        <v>3000</v>
      </c>
      <c r="I9" s="9">
        <f>I8-F9+H9</f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>I9-F10+H10</f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1">F11/D11</f>
        <v>8.8748019017432647</v>
      </c>
      <c r="F11" s="147">
        <v>14000</v>
      </c>
      <c r="G11" s="106"/>
      <c r="H11" s="8"/>
      <c r="I11" s="9">
        <f>I10-F11+H11</f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1"/>
        <v>44.444444444444443</v>
      </c>
      <c r="F12" s="147">
        <v>8000</v>
      </c>
      <c r="G12" s="106"/>
      <c r="H12" s="8"/>
      <c r="I12" s="9">
        <f>I11-F12+H12</f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1"/>
        <v>7.4404761904761904E-2</v>
      </c>
      <c r="F13" s="147">
        <v>3000</v>
      </c>
      <c r="G13" s="105">
        <v>45772</v>
      </c>
      <c r="H13" s="8">
        <v>25000</v>
      </c>
      <c r="I13" s="9">
        <f>I12-F13+H13</f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1"/>
        <v>5.9523809523809526</v>
      </c>
      <c r="F14" s="147">
        <v>10000</v>
      </c>
      <c r="G14" s="106"/>
      <c r="H14" s="8"/>
      <c r="I14" s="9">
        <f>I13-F14+H14</f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0"/>
        <v>0</v>
      </c>
      <c r="G15" s="105">
        <v>45777</v>
      </c>
      <c r="H15" s="8">
        <v>10000</v>
      </c>
      <c r="I15" s="9">
        <f>I14-F15+H15</f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0"/>
        <v>0</v>
      </c>
      <c r="G16" s="38"/>
      <c r="H16" s="40"/>
      <c r="I16" s="41">
        <f>I15-F16+H16</f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>I16-F17+H17</f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>I17-F18+H18</f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>I18-F19+H19</f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>I19-F20+H20</f>
        <v>29000</v>
      </c>
      <c r="J20" s="130">
        <v>78000</v>
      </c>
      <c r="K20" s="183">
        <f t="shared" ref="K20" si="2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>I20-F21+H21</f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>I21-F22+H22</f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>I22-F23+H23</f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>I23-F24+H24</f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>I24-F25+H25</f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>I25-F26+H26</f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>I26-F27+H27</f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>I27-F28+H28</f>
        <v>-30000</v>
      </c>
    </row>
    <row r="29" spans="1:14" x14ac:dyDescent="0.25">
      <c r="A29" s="157"/>
      <c r="B29" s="6"/>
      <c r="C29" s="6"/>
      <c r="D29" s="7"/>
      <c r="E29" s="8"/>
      <c r="F29" s="8"/>
      <c r="G29" s="6"/>
      <c r="H29" s="8"/>
      <c r="I29" s="9">
        <f>I28-F29+H29</f>
        <v>-30000</v>
      </c>
    </row>
    <row r="30" spans="1:14" x14ac:dyDescent="0.25">
      <c r="A30" s="157"/>
      <c r="B30" s="6"/>
      <c r="C30" s="6"/>
      <c r="D30" s="7"/>
      <c r="E30" s="8"/>
      <c r="F30" s="8"/>
      <c r="G30" s="6"/>
      <c r="H30" s="8"/>
      <c r="I30" s="9">
        <f>I29-F30+H30</f>
        <v>-30000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>I30-F31+H31</f>
        <v>-30000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>I31-F32+H32</f>
        <v>-30000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>I32-F33+H33</f>
        <v>-30000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>I33-F34+H34</f>
        <v>-30000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>I34-F35+H35</f>
        <v>-30000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>I35-F36+H36</f>
        <v>-30000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>I36-F37+H37</f>
        <v>-30000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>I37-F38+H38</f>
        <v>-30000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>I38-F39+H39</f>
        <v>-30000</v>
      </c>
    </row>
    <row r="40" spans="1:9" x14ac:dyDescent="0.25">
      <c r="A40" s="157"/>
      <c r="B40" s="6"/>
      <c r="C40" s="6"/>
      <c r="D40" s="7"/>
      <c r="E40" s="8"/>
      <c r="F40" s="8">
        <f t="shared" ref="F40:F56" si="3">C40*E40+D40*E40</f>
        <v>0</v>
      </c>
      <c r="G40" s="6"/>
      <c r="H40" s="8"/>
      <c r="I40" s="9">
        <f>I39-F40+H40</f>
        <v>-30000</v>
      </c>
    </row>
    <row r="41" spans="1:9" x14ac:dyDescent="0.25">
      <c r="A41" s="157"/>
      <c r="B41" s="6"/>
      <c r="C41" s="6"/>
      <c r="D41" s="7"/>
      <c r="E41" s="8"/>
      <c r="F41" s="8">
        <f t="shared" si="3"/>
        <v>0</v>
      </c>
      <c r="G41" s="6"/>
      <c r="H41" s="8"/>
      <c r="I41" s="9">
        <f>I40-F41+H41</f>
        <v>-30000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3"/>
        <v>0</v>
      </c>
      <c r="G42" s="14"/>
      <c r="H42" s="16"/>
      <c r="I42" s="9">
        <f>I41-F42+H42</f>
        <v>-30000</v>
      </c>
    </row>
    <row r="43" spans="1:9" x14ac:dyDescent="0.25">
      <c r="A43" s="164"/>
      <c r="B43" s="18"/>
      <c r="C43" s="18"/>
      <c r="D43" s="19"/>
      <c r="E43" s="20"/>
      <c r="F43" s="20">
        <f t="shared" si="3"/>
        <v>0</v>
      </c>
      <c r="G43" s="18"/>
      <c r="H43" s="20"/>
      <c r="I43" s="9">
        <f>I42-F43+H43</f>
        <v>-30000</v>
      </c>
    </row>
    <row r="44" spans="1:9" x14ac:dyDescent="0.25">
      <c r="A44" s="157"/>
      <c r="B44" s="6"/>
      <c r="C44" s="6"/>
      <c r="D44" s="7"/>
      <c r="E44" s="8"/>
      <c r="F44" s="8">
        <f t="shared" si="3"/>
        <v>0</v>
      </c>
      <c r="G44" s="11"/>
      <c r="H44" s="8"/>
      <c r="I44" s="9">
        <f>I43-F44+H44</f>
        <v>-30000</v>
      </c>
    </row>
    <row r="45" spans="1:9" x14ac:dyDescent="0.25">
      <c r="A45" s="157"/>
      <c r="B45" s="6"/>
      <c r="C45" s="6"/>
      <c r="D45" s="7"/>
      <c r="E45" s="8"/>
      <c r="F45" s="8">
        <f t="shared" si="3"/>
        <v>0</v>
      </c>
      <c r="G45" s="11"/>
      <c r="H45" s="8"/>
      <c r="I45" s="9">
        <f>I44-F45+H45</f>
        <v>-30000</v>
      </c>
    </row>
    <row r="46" spans="1:9" x14ac:dyDescent="0.25">
      <c r="A46" s="157"/>
      <c r="B46" s="6"/>
      <c r="C46" s="6"/>
      <c r="D46" s="7"/>
      <c r="E46" s="8"/>
      <c r="F46" s="8">
        <f t="shared" si="3"/>
        <v>0</v>
      </c>
      <c r="G46" s="6"/>
      <c r="H46" s="8"/>
      <c r="I46" s="9">
        <f>I45-F46+H46</f>
        <v>-30000</v>
      </c>
    </row>
    <row r="47" spans="1:9" x14ac:dyDescent="0.25">
      <c r="A47" s="157"/>
      <c r="B47" s="6"/>
      <c r="C47" s="6"/>
      <c r="D47" s="7"/>
      <c r="E47" s="8"/>
      <c r="F47" s="8">
        <f t="shared" si="3"/>
        <v>0</v>
      </c>
      <c r="G47" s="6"/>
      <c r="H47" s="8"/>
      <c r="I47" s="9">
        <f>I46-F47+H47</f>
        <v>-30000</v>
      </c>
    </row>
    <row r="48" spans="1:9" x14ac:dyDescent="0.25">
      <c r="A48" s="157"/>
      <c r="B48" s="6"/>
      <c r="C48" s="6"/>
      <c r="D48" s="7"/>
      <c r="E48" s="8"/>
      <c r="F48" s="8">
        <f t="shared" si="3"/>
        <v>0</v>
      </c>
      <c r="G48" s="6"/>
      <c r="H48" s="8"/>
      <c r="I48" s="9">
        <f>I47-F48+H48</f>
        <v>-30000</v>
      </c>
    </row>
    <row r="49" spans="1:14" x14ac:dyDescent="0.25">
      <c r="A49" s="157"/>
      <c r="B49" s="6"/>
      <c r="C49" s="6"/>
      <c r="D49" s="7"/>
      <c r="E49" s="8"/>
      <c r="F49" s="8">
        <f t="shared" si="3"/>
        <v>0</v>
      </c>
      <c r="G49" s="6"/>
      <c r="H49" s="8"/>
      <c r="I49" s="9">
        <f>I48-F49+H49</f>
        <v>-30000</v>
      </c>
    </row>
    <row r="50" spans="1:14" x14ac:dyDescent="0.25">
      <c r="A50" s="157"/>
      <c r="B50" s="6"/>
      <c r="C50" s="6"/>
      <c r="D50" s="7"/>
      <c r="E50" s="8"/>
      <c r="F50" s="8">
        <f t="shared" si="3"/>
        <v>0</v>
      </c>
      <c r="G50" s="6"/>
      <c r="H50" s="8"/>
      <c r="I50" s="9">
        <f>I49-F50+H50</f>
        <v>-30000</v>
      </c>
    </row>
    <row r="51" spans="1:14" x14ac:dyDescent="0.25">
      <c r="A51" s="157"/>
      <c r="B51" s="6"/>
      <c r="C51" s="6"/>
      <c r="D51" s="7"/>
      <c r="E51" s="8"/>
      <c r="F51" s="8">
        <f t="shared" si="3"/>
        <v>0</v>
      </c>
      <c r="G51" s="6"/>
      <c r="H51" s="8"/>
      <c r="I51" s="9">
        <f>I50-F51+H51</f>
        <v>-30000</v>
      </c>
    </row>
    <row r="52" spans="1:14" x14ac:dyDescent="0.25">
      <c r="A52" s="157"/>
      <c r="B52" s="6"/>
      <c r="C52" s="6"/>
      <c r="D52" s="7"/>
      <c r="E52" s="8"/>
      <c r="F52" s="8">
        <f t="shared" si="3"/>
        <v>0</v>
      </c>
      <c r="G52" s="6"/>
      <c r="H52" s="8"/>
      <c r="I52" s="9">
        <f>I51-F52+H52</f>
        <v>-30000</v>
      </c>
    </row>
    <row r="53" spans="1:14" x14ac:dyDescent="0.25">
      <c r="A53" s="157"/>
      <c r="B53" s="6"/>
      <c r="C53" s="6"/>
      <c r="D53" s="7"/>
      <c r="E53" s="8"/>
      <c r="F53" s="8">
        <f t="shared" si="3"/>
        <v>0</v>
      </c>
      <c r="G53" s="6"/>
      <c r="H53" s="8"/>
      <c r="I53" s="9">
        <f>I52-F53+H53</f>
        <v>-30000</v>
      </c>
    </row>
    <row r="54" spans="1:14" x14ac:dyDescent="0.25">
      <c r="A54" s="156"/>
      <c r="B54" s="6"/>
      <c r="C54" s="6"/>
      <c r="D54" s="7"/>
      <c r="E54" s="8"/>
      <c r="F54" s="8">
        <f t="shared" si="3"/>
        <v>0</v>
      </c>
      <c r="G54" s="6"/>
      <c r="H54" s="8"/>
      <c r="I54" s="9">
        <f>I53-F54+H54</f>
        <v>-30000</v>
      </c>
    </row>
    <row r="55" spans="1:14" x14ac:dyDescent="0.25">
      <c r="A55" s="156"/>
      <c r="B55" s="6"/>
      <c r="C55" s="6"/>
      <c r="D55" s="7"/>
      <c r="E55" s="8"/>
      <c r="F55" s="8">
        <f t="shared" si="3"/>
        <v>0</v>
      </c>
      <c r="G55" s="6"/>
      <c r="H55" s="8"/>
      <c r="I55" s="9">
        <f>I54-F55+H55</f>
        <v>-30000</v>
      </c>
    </row>
    <row r="56" spans="1:14" x14ac:dyDescent="0.25">
      <c r="A56" s="156"/>
      <c r="B56" s="6"/>
      <c r="C56" s="6"/>
      <c r="D56" s="7"/>
      <c r="E56" s="8"/>
      <c r="F56" s="8">
        <f t="shared" si="3"/>
        <v>0</v>
      </c>
      <c r="G56" s="6"/>
      <c r="H56" s="8"/>
      <c r="I56" s="9">
        <f>I55-F56+H56</f>
        <v>-30000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>I3+F4-H4</f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>I4+F5-H5</f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>I5+F6-H6</f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>I6+F7-H7</f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0">D8*E8</f>
        <v>0</v>
      </c>
      <c r="G8" s="11">
        <v>45712</v>
      </c>
      <c r="H8" s="8">
        <v>36739</v>
      </c>
      <c r="I8" s="9">
        <f>I7+F8-H8</f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>I8+F9-H9</f>
        <v>48352</v>
      </c>
    </row>
    <row r="10" spans="1:10" x14ac:dyDescent="0.25">
      <c r="A10" s="84"/>
      <c r="B10" s="85"/>
      <c r="C10" s="85"/>
      <c r="D10" s="86"/>
      <c r="E10" s="87"/>
      <c r="F10" s="87">
        <f t="shared" si="0"/>
        <v>0</v>
      </c>
      <c r="G10" s="98">
        <v>45719</v>
      </c>
      <c r="H10" s="87">
        <v>48352</v>
      </c>
      <c r="I10" s="89">
        <f>I9+F10-H10</f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>I10+F11-H11</f>
        <v>48718</v>
      </c>
    </row>
    <row r="12" spans="1:10" x14ac:dyDescent="0.25">
      <c r="A12" s="84"/>
      <c r="B12" s="85"/>
      <c r="C12" s="85"/>
      <c r="D12" s="86"/>
      <c r="E12" s="87"/>
      <c r="F12" s="87">
        <f t="shared" si="0"/>
        <v>0</v>
      </c>
      <c r="G12" s="88">
        <v>45728</v>
      </c>
      <c r="H12" s="87">
        <v>48718</v>
      </c>
      <c r="I12" s="89">
        <f>I11+F12-H12</f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>I12+F13-H13</f>
        <v>89843</v>
      </c>
    </row>
    <row r="14" spans="1:10" x14ac:dyDescent="0.25">
      <c r="A14" s="84"/>
      <c r="B14" s="85"/>
      <c r="C14" s="85"/>
      <c r="D14" s="86"/>
      <c r="E14" s="87"/>
      <c r="F14" s="87">
        <f t="shared" si="0"/>
        <v>0</v>
      </c>
      <c r="G14" s="88">
        <v>45733</v>
      </c>
      <c r="H14" s="87">
        <v>89843</v>
      </c>
      <c r="I14" s="89">
        <f>I13+F14-H14</f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>I14+F15-H15</f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>I15+F16-H16</f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>I16+F17-H17</f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>I17+F18-H18</f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0"/>
        <v>0</v>
      </c>
      <c r="G19" s="115"/>
      <c r="H19" s="117"/>
      <c r="I19" s="118">
        <f>I18+F19-H19</f>
        <v>285898</v>
      </c>
    </row>
    <row r="20" spans="1:9" x14ac:dyDescent="0.25">
      <c r="A20" s="11"/>
      <c r="B20" s="6"/>
      <c r="C20" s="6"/>
      <c r="D20" s="7"/>
      <c r="E20" s="8"/>
      <c r="F20" s="8">
        <f t="shared" si="0"/>
        <v>0</v>
      </c>
      <c r="G20" s="11">
        <v>45749</v>
      </c>
      <c r="H20" s="8">
        <v>285898</v>
      </c>
      <c r="I20" s="9">
        <f>I19+F20-H20</f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0"/>
        <v>0</v>
      </c>
      <c r="G21" s="190"/>
      <c r="H21" s="193"/>
      <c r="I21" s="194">
        <f>I20+F21-H21</f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>I21+F22-H22</f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>I22+F23-H23</f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>I23+F24-H24</f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>I25-F26+H26</f>
        <v>-32075</v>
      </c>
    </row>
    <row r="27" spans="1:9" x14ac:dyDescent="0.25">
      <c r="A27" s="11"/>
      <c r="B27" s="6"/>
      <c r="C27" s="6"/>
      <c r="D27" s="7"/>
      <c r="E27" s="8"/>
      <c r="F27" s="8">
        <f t="shared" si="0"/>
        <v>0</v>
      </c>
      <c r="G27" s="6" t="s">
        <v>74</v>
      </c>
      <c r="H27" s="203">
        <v>101021</v>
      </c>
      <c r="I27" s="9">
        <f>I26-F27+H27</f>
        <v>68946</v>
      </c>
    </row>
    <row r="28" spans="1:9" x14ac:dyDescent="0.25">
      <c r="A28" s="11"/>
      <c r="B28" s="6"/>
      <c r="C28" s="6"/>
      <c r="D28" s="7"/>
      <c r="E28" s="8"/>
      <c r="F28" s="8">
        <f t="shared" si="0"/>
        <v>0</v>
      </c>
      <c r="G28" s="6"/>
      <c r="H28" s="8"/>
      <c r="I28" s="9">
        <f>I27-F28+H28</f>
        <v>68946</v>
      </c>
    </row>
    <row r="29" spans="1:9" x14ac:dyDescent="0.25">
      <c r="A29" s="11"/>
      <c r="B29" s="6"/>
      <c r="C29" s="6"/>
      <c r="D29" s="7"/>
      <c r="E29" s="8"/>
      <c r="F29" s="8">
        <f t="shared" si="0"/>
        <v>0</v>
      </c>
      <c r="G29" s="6"/>
      <c r="H29" s="8"/>
      <c r="I29" s="9">
        <f>I28-F29+H29</f>
        <v>68946</v>
      </c>
    </row>
    <row r="30" spans="1:9" x14ac:dyDescent="0.25">
      <c r="A30" s="11"/>
      <c r="B30" s="6"/>
      <c r="C30" s="6"/>
      <c r="D30" s="7"/>
      <c r="E30" s="8"/>
      <c r="F30" s="8">
        <f t="shared" si="0"/>
        <v>0</v>
      </c>
      <c r="G30" s="6"/>
      <c r="H30" s="8"/>
      <c r="I30" s="9">
        <f>I29-F30+H30</f>
        <v>68946</v>
      </c>
    </row>
    <row r="31" spans="1:9" x14ac:dyDescent="0.25">
      <c r="A31" s="11"/>
      <c r="B31" s="6"/>
      <c r="C31" s="6"/>
      <c r="D31" s="7"/>
      <c r="E31" s="8"/>
      <c r="F31" s="8">
        <f t="shared" si="0"/>
        <v>0</v>
      </c>
      <c r="G31" s="6"/>
      <c r="H31" s="8"/>
      <c r="I31" s="9">
        <f>I30-F31+H31</f>
        <v>68946</v>
      </c>
    </row>
    <row r="32" spans="1:9" x14ac:dyDescent="0.25">
      <c r="A32" s="11"/>
      <c r="B32" s="6"/>
      <c r="C32" s="6"/>
      <c r="D32" s="7"/>
      <c r="E32" s="8"/>
      <c r="F32" s="8">
        <f t="shared" si="0"/>
        <v>0</v>
      </c>
      <c r="G32" s="6"/>
      <c r="H32" s="8"/>
      <c r="I32" s="9">
        <f>I31-F32+H32</f>
        <v>68946</v>
      </c>
    </row>
    <row r="33" spans="1:9" x14ac:dyDescent="0.25">
      <c r="A33" s="11"/>
      <c r="B33" s="6"/>
      <c r="C33" s="6"/>
      <c r="D33" s="7"/>
      <c r="E33" s="8"/>
      <c r="F33" s="8">
        <f t="shared" si="0"/>
        <v>0</v>
      </c>
      <c r="G33" s="11"/>
      <c r="H33" s="8"/>
      <c r="I33" s="9">
        <f>I32-F33+H33</f>
        <v>68946</v>
      </c>
    </row>
    <row r="34" spans="1:9" x14ac:dyDescent="0.25">
      <c r="A34" s="11"/>
      <c r="B34" s="6"/>
      <c r="C34" s="6"/>
      <c r="D34" s="7"/>
      <c r="E34" s="8"/>
      <c r="F34" s="8">
        <f t="shared" si="0"/>
        <v>0</v>
      </c>
      <c r="G34" s="6"/>
      <c r="H34" s="8"/>
      <c r="I34" s="9">
        <f>I33-F34+H34</f>
        <v>68946</v>
      </c>
    </row>
    <row r="35" spans="1:9" x14ac:dyDescent="0.25">
      <c r="A35" s="11"/>
      <c r="B35" s="6"/>
      <c r="C35" s="6"/>
      <c r="D35" s="7"/>
      <c r="E35" s="8"/>
      <c r="F35" s="8">
        <f t="shared" si="0"/>
        <v>0</v>
      </c>
      <c r="G35" s="6"/>
      <c r="H35" s="8"/>
      <c r="I35" s="9">
        <f>I34-F35+H35</f>
        <v>68946</v>
      </c>
    </row>
    <row r="36" spans="1:9" x14ac:dyDescent="0.25">
      <c r="A36" s="11"/>
      <c r="B36" s="6"/>
      <c r="C36" s="6"/>
      <c r="D36" s="7"/>
      <c r="E36" s="8"/>
      <c r="F36" s="8">
        <f t="shared" si="0"/>
        <v>0</v>
      </c>
      <c r="G36" s="6"/>
      <c r="H36" s="8"/>
      <c r="I36" s="9">
        <f>I35-F36+H36</f>
        <v>68946</v>
      </c>
    </row>
    <row r="37" spans="1:9" x14ac:dyDescent="0.25">
      <c r="A37" s="11"/>
      <c r="B37" s="6"/>
      <c r="C37" s="6"/>
      <c r="D37" s="7"/>
      <c r="E37" s="8"/>
      <c r="F37" s="8">
        <f t="shared" si="0"/>
        <v>0</v>
      </c>
      <c r="G37" s="6"/>
      <c r="H37" s="8"/>
      <c r="I37" s="9">
        <f>I36-F37+H37</f>
        <v>68946</v>
      </c>
    </row>
    <row r="38" spans="1:9" x14ac:dyDescent="0.25">
      <c r="A38" s="11"/>
      <c r="B38" s="6"/>
      <c r="C38" s="6"/>
      <c r="D38" s="7"/>
      <c r="E38" s="8"/>
      <c r="F38" s="8">
        <f t="shared" si="0"/>
        <v>0</v>
      </c>
      <c r="G38" s="6"/>
      <c r="H38" s="8"/>
      <c r="I38" s="9">
        <f>I37-F38+H38</f>
        <v>68946</v>
      </c>
    </row>
    <row r="39" spans="1:9" x14ac:dyDescent="0.25">
      <c r="A39" s="11"/>
      <c r="B39" s="6"/>
      <c r="C39" s="6"/>
      <c r="D39" s="7"/>
      <c r="E39" s="8"/>
      <c r="F39" s="8">
        <f t="shared" si="0"/>
        <v>0</v>
      </c>
      <c r="G39" s="6"/>
      <c r="H39" s="8"/>
      <c r="I39" s="9">
        <f>I38-F39+H39</f>
        <v>68946</v>
      </c>
    </row>
    <row r="40" spans="1:9" x14ac:dyDescent="0.25">
      <c r="A40" s="11"/>
      <c r="B40" s="6"/>
      <c r="C40" s="6"/>
      <c r="D40" s="7"/>
      <c r="E40" s="8"/>
      <c r="F40" s="8">
        <f t="shared" si="0"/>
        <v>0</v>
      </c>
      <c r="G40" s="6"/>
      <c r="H40" s="8"/>
      <c r="I40" s="9">
        <f>I39-F40+H40</f>
        <v>68946</v>
      </c>
    </row>
    <row r="41" spans="1:9" x14ac:dyDescent="0.25">
      <c r="A41" s="11"/>
      <c r="B41" s="6"/>
      <c r="C41" s="6"/>
      <c r="D41" s="7"/>
      <c r="E41" s="8"/>
      <c r="F41" s="8">
        <f t="shared" si="0"/>
        <v>0</v>
      </c>
      <c r="G41" s="6"/>
      <c r="H41" s="8"/>
      <c r="I41" s="9">
        <f>I40-F41+H41</f>
        <v>68946</v>
      </c>
    </row>
    <row r="42" spans="1:9" x14ac:dyDescent="0.25">
      <c r="A42" s="11"/>
      <c r="B42" s="6"/>
      <c r="C42" s="6"/>
      <c r="D42" s="7"/>
      <c r="E42" s="8"/>
      <c r="F42" s="8">
        <f t="shared" si="0"/>
        <v>0</v>
      </c>
      <c r="G42" s="6"/>
      <c r="H42" s="8"/>
      <c r="I42" s="9">
        <f>I41-F42+H42</f>
        <v>68946</v>
      </c>
    </row>
    <row r="43" spans="1:9" x14ac:dyDescent="0.25">
      <c r="A43" s="11"/>
      <c r="B43" s="6"/>
      <c r="C43" s="6"/>
      <c r="D43" s="7"/>
      <c r="E43" s="8"/>
      <c r="F43" s="8">
        <f t="shared" si="0"/>
        <v>0</v>
      </c>
      <c r="G43" s="6"/>
      <c r="H43" s="8"/>
      <c r="I43" s="9">
        <f>I42-F43+H43</f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1">C44*E44+D44*E44</f>
        <v>0</v>
      </c>
      <c r="G44" s="14"/>
      <c r="H44" s="16"/>
      <c r="I44" s="9">
        <f>I43-F44+H44</f>
        <v>68946</v>
      </c>
    </row>
    <row r="45" spans="1:9" x14ac:dyDescent="0.25">
      <c r="A45" s="21"/>
      <c r="B45" s="18"/>
      <c r="C45" s="18"/>
      <c r="D45" s="19"/>
      <c r="E45" s="20"/>
      <c r="F45" s="20">
        <f t="shared" si="1"/>
        <v>0</v>
      </c>
      <c r="G45" s="18"/>
      <c r="H45" s="20"/>
      <c r="I45" s="9">
        <f>I44-F45+H45</f>
        <v>68946</v>
      </c>
    </row>
    <row r="46" spans="1:9" x14ac:dyDescent="0.25">
      <c r="A46" s="11"/>
      <c r="B46" s="6"/>
      <c r="C46" s="6"/>
      <c r="D46" s="7"/>
      <c r="E46" s="8"/>
      <c r="F46" s="8">
        <f t="shared" si="1"/>
        <v>0</v>
      </c>
      <c r="G46" s="11"/>
      <c r="H46" s="8"/>
      <c r="I46" s="9">
        <f>I45-F46+H46</f>
        <v>68946</v>
      </c>
    </row>
    <row r="47" spans="1:9" x14ac:dyDescent="0.25">
      <c r="A47" s="11"/>
      <c r="B47" s="6"/>
      <c r="C47" s="6"/>
      <c r="D47" s="7"/>
      <c r="E47" s="8"/>
      <c r="F47" s="8">
        <f t="shared" si="1"/>
        <v>0</v>
      </c>
      <c r="G47" s="11"/>
      <c r="H47" s="8"/>
      <c r="I47" s="9">
        <f>I46-F47+H47</f>
        <v>68946</v>
      </c>
    </row>
    <row r="48" spans="1:9" x14ac:dyDescent="0.25">
      <c r="A48" s="11"/>
      <c r="B48" s="6"/>
      <c r="C48" s="6"/>
      <c r="D48" s="7"/>
      <c r="E48" s="8"/>
      <c r="F48" s="8">
        <f t="shared" si="1"/>
        <v>0</v>
      </c>
      <c r="G48" s="6"/>
      <c r="H48" s="8"/>
      <c r="I48" s="9">
        <f>I47-F48+H48</f>
        <v>68946</v>
      </c>
    </row>
    <row r="49" spans="1:9" x14ac:dyDescent="0.25">
      <c r="A49" s="11"/>
      <c r="B49" s="6"/>
      <c r="C49" s="6"/>
      <c r="D49" s="7"/>
      <c r="E49" s="8"/>
      <c r="F49" s="8">
        <f t="shared" si="1"/>
        <v>0</v>
      </c>
      <c r="G49" s="6"/>
      <c r="H49" s="8"/>
      <c r="I49" s="9">
        <f>I48-F49+H49</f>
        <v>68946</v>
      </c>
    </row>
    <row r="50" spans="1:9" x14ac:dyDescent="0.25">
      <c r="A50" s="11"/>
      <c r="B50" s="6"/>
      <c r="C50" s="6"/>
      <c r="D50" s="7"/>
      <c r="E50" s="8"/>
      <c r="F50" s="8">
        <f t="shared" si="1"/>
        <v>0</v>
      </c>
      <c r="G50" s="6"/>
      <c r="H50" s="8"/>
      <c r="I50" s="9">
        <f>I49-F50+H50</f>
        <v>68946</v>
      </c>
    </row>
    <row r="51" spans="1:9" x14ac:dyDescent="0.25">
      <c r="A51" s="11"/>
      <c r="B51" s="6"/>
      <c r="C51" s="6"/>
      <c r="D51" s="7"/>
      <c r="E51" s="8"/>
      <c r="F51" s="8">
        <f t="shared" si="1"/>
        <v>0</v>
      </c>
      <c r="G51" s="6"/>
      <c r="H51" s="8"/>
      <c r="I51" s="9">
        <f>I50-F51+H51</f>
        <v>68946</v>
      </c>
    </row>
    <row r="52" spans="1:9" x14ac:dyDescent="0.25">
      <c r="A52" s="11"/>
      <c r="B52" s="6"/>
      <c r="C52" s="6"/>
      <c r="D52" s="7"/>
      <c r="E52" s="8"/>
      <c r="F52" s="8">
        <f t="shared" si="1"/>
        <v>0</v>
      </c>
      <c r="G52" s="6"/>
      <c r="H52" s="8"/>
      <c r="I52" s="9">
        <f>I51-F52+H52</f>
        <v>68946</v>
      </c>
    </row>
    <row r="53" spans="1:9" x14ac:dyDescent="0.25">
      <c r="A53" s="11"/>
      <c r="B53" s="6"/>
      <c r="C53" s="6"/>
      <c r="D53" s="7"/>
      <c r="E53" s="8"/>
      <c r="F53" s="8">
        <f t="shared" si="1"/>
        <v>0</v>
      </c>
      <c r="G53" s="6"/>
      <c r="H53" s="8"/>
      <c r="I53" s="9">
        <f>I52-F53+H53</f>
        <v>68946</v>
      </c>
    </row>
    <row r="54" spans="1:9" x14ac:dyDescent="0.25">
      <c r="A54" s="11"/>
      <c r="B54" s="6"/>
      <c r="C54" s="6"/>
      <c r="D54" s="7"/>
      <c r="E54" s="8"/>
      <c r="F54" s="8">
        <f t="shared" si="1"/>
        <v>0</v>
      </c>
      <c r="G54" s="6"/>
      <c r="H54" s="8"/>
      <c r="I54" s="9">
        <f>I53-F54+H54</f>
        <v>68946</v>
      </c>
    </row>
    <row r="55" spans="1:9" x14ac:dyDescent="0.25">
      <c r="A55" s="11"/>
      <c r="B55" s="6"/>
      <c r="C55" s="6"/>
      <c r="D55" s="7"/>
      <c r="E55" s="8"/>
      <c r="F55" s="8">
        <f t="shared" si="1"/>
        <v>0</v>
      </c>
      <c r="G55" s="6"/>
      <c r="H55" s="8"/>
      <c r="I55" s="9">
        <f>I54-F55+H55</f>
        <v>68946</v>
      </c>
    </row>
    <row r="56" spans="1:9" x14ac:dyDescent="0.25">
      <c r="A56" s="6"/>
      <c r="B56" s="6"/>
      <c r="C56" s="6"/>
      <c r="D56" s="7"/>
      <c r="E56" s="8"/>
      <c r="F56" s="8">
        <f t="shared" si="1"/>
        <v>0</v>
      </c>
      <c r="G56" s="6"/>
      <c r="H56" s="8"/>
      <c r="I56" s="9">
        <f>I55-F56+H56</f>
        <v>68946</v>
      </c>
    </row>
    <row r="57" spans="1:9" x14ac:dyDescent="0.25">
      <c r="A57" s="6"/>
      <c r="B57" s="6"/>
      <c r="C57" s="6"/>
      <c r="D57" s="7"/>
      <c r="E57" s="8"/>
      <c r="F57" s="8">
        <f t="shared" si="1"/>
        <v>0</v>
      </c>
      <c r="G57" s="6"/>
      <c r="H57" s="8"/>
      <c r="I57" s="9">
        <f>I56-F57+H57</f>
        <v>68946</v>
      </c>
    </row>
    <row r="58" spans="1:9" x14ac:dyDescent="0.25">
      <c r="A58" s="6"/>
      <c r="B58" s="6"/>
      <c r="C58" s="6"/>
      <c r="D58" s="7"/>
      <c r="E58" s="8"/>
      <c r="F58" s="8">
        <f t="shared" si="1"/>
        <v>0</v>
      </c>
      <c r="G58" s="6"/>
      <c r="H58" s="8"/>
      <c r="I58" s="9">
        <f>I57-F58+H58</f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I28" sqref="I28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>I3+F4-H4</f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>I4+F5-H5</f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>I5+F6-H6</f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>I6+F7-H7</f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0">F8/D8</f>
        <v>4.25</v>
      </c>
      <c r="F8" s="56">
        <v>110160</v>
      </c>
      <c r="G8" s="6"/>
      <c r="H8" s="8"/>
      <c r="I8" s="100">
        <f>I7+F8-H8</f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0"/>
        <v>3.9166666666666665</v>
      </c>
      <c r="F9" s="56">
        <v>56400</v>
      </c>
      <c r="G9" s="11"/>
      <c r="H9" s="8"/>
      <c r="I9" s="100">
        <f>I8+F9-H9</f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0"/>
        <v>3.5916666666666668</v>
      </c>
      <c r="F10" s="69">
        <v>10344</v>
      </c>
      <c r="G10" s="14"/>
      <c r="H10" s="16"/>
      <c r="I10" s="92">
        <f>I9+F10-H10</f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0"/>
        <v>4.333333333333333</v>
      </c>
      <c r="F11" s="152">
        <v>37440</v>
      </c>
      <c r="G11" s="88"/>
      <c r="H11" s="87"/>
      <c r="I11" s="89">
        <f>I10+F11-H11</f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0"/>
        <v>4.25</v>
      </c>
      <c r="F12" s="155">
        <v>36720</v>
      </c>
      <c r="G12" s="6"/>
      <c r="H12" s="8"/>
      <c r="I12" s="100">
        <f>I11+F12-H12</f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0"/>
        <v>3.9166666666666665</v>
      </c>
      <c r="F13" s="155">
        <v>11280</v>
      </c>
      <c r="G13" s="11"/>
      <c r="H13" s="8"/>
      <c r="I13" s="100">
        <f>I12+F13-H13</f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0"/>
        <v>2.125</v>
      </c>
      <c r="F14" s="8">
        <v>6120</v>
      </c>
      <c r="G14" s="6"/>
      <c r="H14" s="8"/>
      <c r="I14" s="100">
        <f>I13+F14-H14</f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0"/>
        <v>1.8395833333333333</v>
      </c>
      <c r="F15" s="8">
        <v>10596</v>
      </c>
      <c r="G15" s="11"/>
      <c r="H15" s="8"/>
      <c r="I15" s="100">
        <f>I14+F15-H15</f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0"/>
        <v>7.7583333333333337</v>
      </c>
      <c r="F16" s="16">
        <v>11172</v>
      </c>
      <c r="G16" s="14"/>
      <c r="H16" s="16"/>
      <c r="I16" s="92">
        <f>I15+F16-H16</f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1">D17*E17</f>
        <v>0</v>
      </c>
      <c r="G17" s="115"/>
      <c r="H17" s="117"/>
      <c r="I17" s="170">
        <f>I16+F17-H17</f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2">F18/D18</f>
        <v>6.4652777777777777</v>
      </c>
      <c r="F18" s="8">
        <v>18620</v>
      </c>
      <c r="G18" s="6"/>
      <c r="H18" s="8"/>
      <c r="I18" s="100">
        <f>I17+F18-H18</f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2"/>
        <v>4.416666666666667</v>
      </c>
      <c r="F19" s="54">
        <v>19080</v>
      </c>
      <c r="G19" s="6"/>
      <c r="H19" s="8"/>
      <c r="I19" s="100">
        <f>I18+F19-H19</f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2"/>
        <v>9.25</v>
      </c>
      <c r="F20" s="54">
        <v>66600</v>
      </c>
      <c r="G20" s="6"/>
      <c r="H20" s="8"/>
      <c r="I20" s="100">
        <f>I19+F20-H20</f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>I20+F21-H21</f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>I21+F22-H22</f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>I22+F23-H23</f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>I23+F24-H24</f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>I24+F25-H25</f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>I25+F26-H26</f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>I26+F27-H27</f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>I27+F28-H28</f>
        <v>409040</v>
      </c>
    </row>
    <row r="29" spans="1:10" x14ac:dyDescent="0.25">
      <c r="A29" s="157"/>
      <c r="B29" s="6"/>
      <c r="C29" s="6"/>
      <c r="D29" s="7"/>
      <c r="E29" s="8"/>
      <c r="F29" s="8">
        <f t="shared" si="1"/>
        <v>0</v>
      </c>
      <c r="G29" s="6"/>
      <c r="H29" s="8"/>
      <c r="I29" s="100">
        <f>I28+F29-H29</f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3">C30*E30+D30*E30</f>
        <v>0</v>
      </c>
      <c r="G30" s="6"/>
      <c r="H30" s="8"/>
      <c r="I30" s="100">
        <f>I29+F30-H30</f>
        <v>409040</v>
      </c>
    </row>
    <row r="31" spans="1:10" x14ac:dyDescent="0.25">
      <c r="A31" s="157"/>
      <c r="B31" s="6"/>
      <c r="C31" s="6"/>
      <c r="D31" s="7"/>
      <c r="E31" s="8"/>
      <c r="F31" s="8">
        <f t="shared" si="3"/>
        <v>0</v>
      </c>
      <c r="G31" s="6"/>
      <c r="H31" s="8"/>
      <c r="I31" s="100">
        <f>I30+F31-H31</f>
        <v>409040</v>
      </c>
    </row>
    <row r="32" spans="1:10" x14ac:dyDescent="0.25">
      <c r="A32" s="157"/>
      <c r="B32" s="6"/>
      <c r="C32" s="6"/>
      <c r="D32" s="7"/>
      <c r="E32" s="8"/>
      <c r="F32" s="8">
        <f t="shared" si="3"/>
        <v>0</v>
      </c>
      <c r="G32" s="6"/>
      <c r="H32" s="8"/>
      <c r="I32" s="100">
        <f>I31+F32-H32</f>
        <v>409040</v>
      </c>
    </row>
    <row r="33" spans="1:9" x14ac:dyDescent="0.25">
      <c r="A33" s="157"/>
      <c r="B33" s="6"/>
      <c r="C33" s="6"/>
      <c r="D33" s="7"/>
      <c r="E33" s="8"/>
      <c r="F33" s="8">
        <f t="shared" si="3"/>
        <v>0</v>
      </c>
      <c r="G33" s="6"/>
      <c r="H33" s="8"/>
      <c r="I33" s="100">
        <f>I32+F33-H33</f>
        <v>409040</v>
      </c>
    </row>
    <row r="34" spans="1:9" x14ac:dyDescent="0.25">
      <c r="A34" s="157"/>
      <c r="B34" s="6"/>
      <c r="C34" s="6"/>
      <c r="D34" s="7"/>
      <c r="E34" s="8"/>
      <c r="F34" s="8">
        <f t="shared" si="3"/>
        <v>0</v>
      </c>
      <c r="G34" s="11"/>
      <c r="H34" s="8"/>
      <c r="I34" s="100">
        <f>I33+F34-H34</f>
        <v>409040</v>
      </c>
    </row>
    <row r="35" spans="1:9" x14ac:dyDescent="0.25">
      <c r="A35" s="157"/>
      <c r="B35" s="6"/>
      <c r="C35" s="6"/>
      <c r="D35" s="7"/>
      <c r="E35" s="8"/>
      <c r="F35" s="8">
        <f t="shared" si="3"/>
        <v>0</v>
      </c>
      <c r="G35" s="6"/>
      <c r="H35" s="8"/>
      <c r="I35" s="100">
        <f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3"/>
        <v>0</v>
      </c>
      <c r="G36" s="6"/>
      <c r="H36" s="8"/>
      <c r="I36" s="100">
        <f>I35+F36-H36</f>
        <v>409040</v>
      </c>
    </row>
    <row r="37" spans="1:9" x14ac:dyDescent="0.25">
      <c r="A37" s="157"/>
      <c r="B37" s="6"/>
      <c r="C37" s="6"/>
      <c r="D37" s="7"/>
      <c r="E37" s="8"/>
      <c r="F37" s="8">
        <f t="shared" si="3"/>
        <v>0</v>
      </c>
      <c r="G37" s="6"/>
      <c r="H37" s="8"/>
      <c r="I37" s="100">
        <f>I36+F37-H37</f>
        <v>409040</v>
      </c>
    </row>
    <row r="38" spans="1:9" x14ac:dyDescent="0.25">
      <c r="A38" s="157"/>
      <c r="B38" s="6"/>
      <c r="C38" s="6"/>
      <c r="D38" s="7"/>
      <c r="E38" s="8"/>
      <c r="F38" s="8">
        <f t="shared" si="3"/>
        <v>0</v>
      </c>
      <c r="G38" s="6"/>
      <c r="H38" s="8"/>
      <c r="I38" s="100">
        <f>I37+F38-H38</f>
        <v>409040</v>
      </c>
    </row>
    <row r="39" spans="1:9" x14ac:dyDescent="0.25">
      <c r="A39" s="157"/>
      <c r="B39" s="6"/>
      <c r="C39" s="6"/>
      <c r="D39" s="7"/>
      <c r="E39" s="8"/>
      <c r="F39" s="8">
        <f t="shared" si="3"/>
        <v>0</v>
      </c>
      <c r="G39" s="6"/>
      <c r="H39" s="8"/>
      <c r="I39" s="100">
        <f>I38+F39-H39</f>
        <v>409040</v>
      </c>
    </row>
    <row r="40" spans="1:9" x14ac:dyDescent="0.25">
      <c r="A40" s="157"/>
      <c r="B40" s="6"/>
      <c r="C40" s="6"/>
      <c r="D40" s="7"/>
      <c r="E40" s="8"/>
      <c r="F40" s="8">
        <f t="shared" si="3"/>
        <v>0</v>
      </c>
      <c r="G40" s="6"/>
      <c r="H40" s="8"/>
      <c r="I40" s="100">
        <f>I39+F40-H40</f>
        <v>409040</v>
      </c>
    </row>
    <row r="41" spans="1:9" x14ac:dyDescent="0.25">
      <c r="A41" s="157"/>
      <c r="B41" s="6"/>
      <c r="C41" s="6"/>
      <c r="D41" s="7"/>
      <c r="E41" s="8"/>
      <c r="F41" s="8">
        <f t="shared" si="3"/>
        <v>0</v>
      </c>
      <c r="G41" s="6"/>
      <c r="H41" s="8"/>
      <c r="I41" s="100">
        <f>I40+F41-H41</f>
        <v>409040</v>
      </c>
    </row>
    <row r="42" spans="1:9" x14ac:dyDescent="0.25">
      <c r="A42" s="157"/>
      <c r="B42" s="6"/>
      <c r="C42" s="6"/>
      <c r="D42" s="7"/>
      <c r="E42" s="8"/>
      <c r="F42" s="8">
        <f t="shared" si="3"/>
        <v>0</v>
      </c>
      <c r="G42" s="6"/>
      <c r="H42" s="8"/>
      <c r="I42" s="100">
        <f>I41+F42-H42</f>
        <v>409040</v>
      </c>
    </row>
    <row r="43" spans="1:9" x14ac:dyDescent="0.25">
      <c r="A43" s="157"/>
      <c r="B43" s="6"/>
      <c r="C43" s="6"/>
      <c r="D43" s="7"/>
      <c r="E43" s="8"/>
      <c r="F43" s="8">
        <f t="shared" si="3"/>
        <v>0</v>
      </c>
      <c r="G43" s="6"/>
      <c r="H43" s="8"/>
      <c r="I43" s="100">
        <f>I42+F43-H43</f>
        <v>409040</v>
      </c>
    </row>
    <row r="44" spans="1:9" x14ac:dyDescent="0.25">
      <c r="A44" s="157"/>
      <c r="B44" s="6"/>
      <c r="C44" s="6"/>
      <c r="D44" s="7"/>
      <c r="E44" s="8"/>
      <c r="F44" s="8">
        <f t="shared" si="3"/>
        <v>0</v>
      </c>
      <c r="G44" s="6"/>
      <c r="H44" s="8"/>
      <c r="I44" s="100">
        <f>I43+F44-H44</f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3"/>
        <v>0</v>
      </c>
      <c r="G45" s="14"/>
      <c r="H45" s="16"/>
      <c r="I45" s="100">
        <f>I44+F45-H45</f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3"/>
        <v>0</v>
      </c>
      <c r="G46" s="18"/>
      <c r="H46" s="20"/>
      <c r="I46" s="100">
        <f>I45+F46-H46</f>
        <v>409040</v>
      </c>
    </row>
    <row r="47" spans="1:9" x14ac:dyDescent="0.25">
      <c r="A47" s="157"/>
      <c r="B47" s="6"/>
      <c r="C47" s="6"/>
      <c r="D47" s="7"/>
      <c r="E47" s="8"/>
      <c r="F47" s="8">
        <f t="shared" si="3"/>
        <v>0</v>
      </c>
      <c r="G47" s="11"/>
      <c r="H47" s="8"/>
      <c r="I47" s="100">
        <f>I46+F47-H47</f>
        <v>409040</v>
      </c>
    </row>
    <row r="48" spans="1:9" x14ac:dyDescent="0.25">
      <c r="A48" s="157"/>
      <c r="B48" s="6"/>
      <c r="C48" s="6"/>
      <c r="D48" s="7"/>
      <c r="E48" s="8"/>
      <c r="F48" s="8">
        <f t="shared" si="3"/>
        <v>0</v>
      </c>
      <c r="G48" s="11"/>
      <c r="H48" s="8"/>
      <c r="I48" s="100">
        <f>I47+F48-H48</f>
        <v>409040</v>
      </c>
    </row>
    <row r="49" spans="1:10" x14ac:dyDescent="0.25">
      <c r="A49" s="157"/>
      <c r="B49" s="6"/>
      <c r="C49" s="6"/>
      <c r="D49" s="7"/>
      <c r="E49" s="8"/>
      <c r="F49" s="8">
        <f t="shared" si="3"/>
        <v>0</v>
      </c>
      <c r="G49" s="6"/>
      <c r="H49" s="8"/>
      <c r="I49" s="100">
        <f>I48+F49-H49</f>
        <v>409040</v>
      </c>
    </row>
    <row r="50" spans="1:10" x14ac:dyDescent="0.25">
      <c r="A50" s="157"/>
      <c r="B50" s="6"/>
      <c r="C50" s="6"/>
      <c r="D50" s="7"/>
      <c r="E50" s="8"/>
      <c r="F50" s="8">
        <f t="shared" si="3"/>
        <v>0</v>
      </c>
      <c r="G50" s="6"/>
      <c r="H50" s="8"/>
      <c r="I50" s="100">
        <f>I49+F50-H50</f>
        <v>409040</v>
      </c>
    </row>
    <row r="51" spans="1:10" x14ac:dyDescent="0.25">
      <c r="A51" s="157"/>
      <c r="B51" s="6"/>
      <c r="C51" s="6"/>
      <c r="D51" s="7"/>
      <c r="E51" s="8"/>
      <c r="F51" s="8">
        <f t="shared" si="3"/>
        <v>0</v>
      </c>
      <c r="G51" s="6"/>
      <c r="H51" s="8"/>
      <c r="I51" s="100">
        <f>I50+F51-H51</f>
        <v>409040</v>
      </c>
    </row>
    <row r="52" spans="1:10" x14ac:dyDescent="0.25">
      <c r="A52" s="157"/>
      <c r="B52" s="6"/>
      <c r="C52" s="6"/>
      <c r="D52" s="7"/>
      <c r="E52" s="8"/>
      <c r="F52" s="8">
        <f t="shared" si="3"/>
        <v>0</v>
      </c>
      <c r="G52" s="6"/>
      <c r="H52" s="8"/>
      <c r="I52" s="100">
        <f>I51+F52-H52</f>
        <v>409040</v>
      </c>
    </row>
    <row r="53" spans="1:10" x14ac:dyDescent="0.25">
      <c r="A53" s="157"/>
      <c r="B53" s="6"/>
      <c r="C53" s="6"/>
      <c r="D53" s="7"/>
      <c r="E53" s="8"/>
      <c r="F53" s="8">
        <f t="shared" si="3"/>
        <v>0</v>
      </c>
      <c r="G53" s="6"/>
      <c r="H53" s="8"/>
      <c r="I53" s="100">
        <f>I52+F53-H53</f>
        <v>409040</v>
      </c>
    </row>
    <row r="54" spans="1:10" x14ac:dyDescent="0.25">
      <c r="A54" s="157"/>
      <c r="B54" s="6"/>
      <c r="C54" s="6"/>
      <c r="D54" s="7"/>
      <c r="E54" s="8"/>
      <c r="F54" s="8">
        <f t="shared" si="3"/>
        <v>0</v>
      </c>
      <c r="G54" s="6"/>
      <c r="H54" s="8"/>
      <c r="I54" s="100">
        <f>I53+F54-H54</f>
        <v>409040</v>
      </c>
    </row>
    <row r="55" spans="1:10" x14ac:dyDescent="0.25">
      <c r="A55" s="157"/>
      <c r="B55" s="6"/>
      <c r="C55" s="6"/>
      <c r="D55" s="7"/>
      <c r="E55" s="8"/>
      <c r="F55" s="8">
        <f t="shared" si="3"/>
        <v>0</v>
      </c>
      <c r="G55" s="6"/>
      <c r="H55" s="8"/>
      <c r="I55" s="100">
        <f>I54+F55-H55</f>
        <v>409040</v>
      </c>
    </row>
    <row r="56" spans="1:10" x14ac:dyDescent="0.25">
      <c r="A56" s="157"/>
      <c r="B56" s="6"/>
      <c r="C56" s="6"/>
      <c r="D56" s="7"/>
      <c r="E56" s="8"/>
      <c r="F56" s="8">
        <f t="shared" si="3"/>
        <v>0</v>
      </c>
      <c r="G56" s="6"/>
      <c r="H56" s="8"/>
      <c r="I56" s="100">
        <f>I55+F56-H56</f>
        <v>409040</v>
      </c>
    </row>
    <row r="57" spans="1:10" x14ac:dyDescent="0.25">
      <c r="A57" s="156"/>
      <c r="B57" s="6"/>
      <c r="C57" s="6"/>
      <c r="D57" s="7"/>
      <c r="E57" s="8"/>
      <c r="F57" s="8">
        <f t="shared" si="3"/>
        <v>0</v>
      </c>
      <c r="G57" s="6"/>
      <c r="H57" s="8"/>
      <c r="I57" s="100">
        <f>I56+F57-H57</f>
        <v>409040</v>
      </c>
    </row>
    <row r="58" spans="1:10" x14ac:dyDescent="0.25">
      <c r="A58" s="156"/>
      <c r="B58" s="6"/>
      <c r="C58" s="6"/>
      <c r="D58" s="7"/>
      <c r="E58" s="8"/>
      <c r="F58" s="8">
        <f t="shared" si="3"/>
        <v>0</v>
      </c>
      <c r="G58" s="6"/>
      <c r="H58" s="8"/>
      <c r="I58" s="100">
        <f>I57+F58-H58</f>
        <v>409040</v>
      </c>
    </row>
    <row r="59" spans="1:10" x14ac:dyDescent="0.25">
      <c r="A59" s="156"/>
      <c r="B59" s="6"/>
      <c r="C59" s="6"/>
      <c r="D59" s="7"/>
      <c r="E59" s="8"/>
      <c r="F59" s="8">
        <f t="shared" si="3"/>
        <v>0</v>
      </c>
      <c r="G59" s="6"/>
      <c r="H59" s="8"/>
      <c r="I59" s="100">
        <f>I58+F59-H59</f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Промстеклосн</vt:lpstr>
      <vt:lpstr>ПЭК</vt:lpstr>
      <vt:lpstr>ИП Козырева</vt:lpstr>
      <vt:lpstr>ИП Камалов</vt:lpstr>
      <vt:lpstr>ИП Савин</vt:lpstr>
      <vt:lpstr>Итеко России</vt:lpstr>
      <vt:lpstr>ФМ логистик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2025-07-07T16:10:11Z</dcterms:modified>
</cp:coreProperties>
</file>