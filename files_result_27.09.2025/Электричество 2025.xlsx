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9264771-11D1-4474-A6B8-FB664A25A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D178" i="1"/>
  <c r="D179" i="1"/>
  <c r="I179" i="1" s="1"/>
  <c r="L180" i="1"/>
  <c r="D180" i="1"/>
  <c r="L150" i="1"/>
  <c r="L151" i="1"/>
  <c r="L152" i="1"/>
  <c r="L153" i="1"/>
  <c r="L154" i="1"/>
  <c r="L155" i="1"/>
  <c r="D177" i="1"/>
  <c r="E103" i="1"/>
  <c r="L156" i="1" l="1"/>
  <c r="L157" i="1"/>
  <c r="L146" i="1"/>
  <c r="L147" i="1"/>
  <c r="L148" i="1"/>
  <c r="L149" i="1"/>
  <c r="L162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61" i="1" l="1"/>
  <c r="D162" i="1"/>
  <c r="D163" i="1"/>
  <c r="D155" i="1"/>
  <c r="D156" i="1"/>
  <c r="D157" i="1"/>
  <c r="D158" i="1"/>
  <c r="D159" i="1"/>
  <c r="D160" i="1"/>
  <c r="D147" i="1" l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</calcChain>
</file>

<file path=xl/sharedStrings.xml><?xml version="1.0" encoding="utf-8"?>
<sst xmlns="http://schemas.openxmlformats.org/spreadsheetml/2006/main" count="59" uniqueCount="50">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</sst>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pane ySplit="1" topLeftCell="A170" activePane="bottomLeft" state="frozen"/>
      <selection pane="bottomLeft" activeCell="D178" sqref="D178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3.14062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7.1406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16</v>
      </c>
      <c r="K1" s="31" t="s">
        <v>48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0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0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0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0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0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0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</row>
    <row r="71" spans="1:10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0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0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0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0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0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0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0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0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0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11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14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12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13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15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17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14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12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48">
        <v>22474.243333333299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22</v>
      </c>
      <c r="L140" s="49">
        <v>20168.253333333301</v>
      </c>
    </row>
    <row r="141" spans="1:12" ht="16.5" thickBot="1" x14ac:dyDescent="0.3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0">
        <v>17862.2633333333</v>
      </c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48">
        <v>15556.2733333333</v>
      </c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49">
        <v>13250.2833333333</v>
      </c>
    </row>
    <row r="144" spans="1:12" ht="16.5" thickBot="1" x14ac:dyDescent="0.3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0">
        <v>10944.2933333333</v>
      </c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48">
        <v>8638.3033333333406</v>
      </c>
    </row>
    <row r="146" spans="1:15" ht="16.5" thickBot="1" x14ac:dyDescent="0.3">
      <c r="A146" s="59" t="s">
        <v>21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4">
        <f>J158*K158</f>
        <v>0</v>
      </c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18</v>
      </c>
      <c r="H147" s="57">
        <v>100000</v>
      </c>
      <c r="I147" s="8">
        <f t="shared" si="3"/>
        <v>98838.302999999869</v>
      </c>
      <c r="L147" s="54">
        <f>J159*K159</f>
        <v>788.79449999999997</v>
      </c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18</v>
      </c>
      <c r="H148" s="54">
        <v>318741.33</v>
      </c>
      <c r="I148" s="8">
        <f t="shared" si="3"/>
        <v>-219903.02700000015</v>
      </c>
      <c r="L148" s="54">
        <f>J160*K160</f>
        <v>0</v>
      </c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19</v>
      </c>
      <c r="G149" s="6"/>
      <c r="H149" s="54">
        <v>-57033</v>
      </c>
      <c r="I149" s="8">
        <f t="shared" si="3"/>
        <v>-162870.02700000015</v>
      </c>
      <c r="L149" s="54">
        <f>J161*K161</f>
        <v>0</v>
      </c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20</v>
      </c>
      <c r="G150" s="6"/>
      <c r="H150" s="54">
        <v>-1080</v>
      </c>
      <c r="I150" s="8">
        <f t="shared" si="3"/>
        <v>-161790.02700000015</v>
      </c>
      <c r="L150" s="54">
        <f t="shared" ref="L150:L155" si="4">J162*K162</f>
        <v>0</v>
      </c>
    </row>
    <row r="151" spans="1:15" x14ac:dyDescent="0.25">
      <c r="A151" s="11" t="s">
        <v>33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4">
        <f t="shared" si="4"/>
        <v>0</v>
      </c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4">
        <f t="shared" si="4"/>
        <v>0</v>
      </c>
    </row>
    <row r="153" spans="1:15" x14ac:dyDescent="0.25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4">
        <f t="shared" si="4"/>
        <v>0</v>
      </c>
    </row>
    <row r="154" spans="1:15" ht="16.5" thickBot="1" x14ac:dyDescent="0.3">
      <c r="A154" s="65"/>
      <c r="B154" s="83"/>
      <c r="C154" s="84"/>
      <c r="D154" s="85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54">
        <f t="shared" si="4"/>
        <v>0</v>
      </c>
    </row>
    <row r="155" spans="1:15" x14ac:dyDescent="0.25">
      <c r="A155" s="10" t="s">
        <v>24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7" si="5">I154+D155-H155</f>
        <v>-119137.15700000014</v>
      </c>
      <c r="J155" s="82">
        <v>16.833600000000001</v>
      </c>
      <c r="K155" s="6">
        <v>7.5</v>
      </c>
      <c r="L155" s="54">
        <f t="shared" si="4"/>
        <v>0</v>
      </c>
      <c r="M155" s="6"/>
      <c r="N155" s="6"/>
      <c r="O155" s="6"/>
    </row>
    <row r="156" spans="1:15" x14ac:dyDescent="0.25">
      <c r="A156" s="6" t="s">
        <v>26</v>
      </c>
      <c r="B156" s="7">
        <v>108</v>
      </c>
      <c r="C156" s="34">
        <v>10.79</v>
      </c>
      <c r="D156" s="34">
        <f t="shared" ref="D156:D176" si="6">B156*C156</f>
        <v>1165.32</v>
      </c>
      <c r="E156" s="9"/>
      <c r="F156" s="6"/>
      <c r="G156" s="6"/>
      <c r="H156" s="54"/>
      <c r="I156" s="8">
        <f t="shared" si="5"/>
        <v>-117971.83700000013</v>
      </c>
      <c r="J156" s="6"/>
      <c r="K156" s="6"/>
      <c r="L156" s="54">
        <f t="shared" ref="L156:L162" si="7">J156*K156</f>
        <v>0</v>
      </c>
      <c r="M156" s="6"/>
      <c r="N156" s="6"/>
      <c r="O156" s="6"/>
    </row>
    <row r="157" spans="1:15" x14ac:dyDescent="0.25">
      <c r="A157" s="6" t="s">
        <v>27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5"/>
        <v>-114044.27700000013</v>
      </c>
      <c r="J157" s="6"/>
      <c r="K157" s="6"/>
      <c r="L157" s="54">
        <f t="shared" si="7"/>
        <v>0</v>
      </c>
      <c r="M157" s="6"/>
      <c r="N157" s="6"/>
      <c r="O157" s="6"/>
    </row>
    <row r="158" spans="1:15" x14ac:dyDescent="0.25">
      <c r="A158" s="6" t="s">
        <v>28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5"/>
        <v>-110116.71700000014</v>
      </c>
      <c r="J158" s="6"/>
      <c r="K158" s="6"/>
      <c r="M158" s="6"/>
      <c r="N158" s="6"/>
      <c r="O158" s="6"/>
    </row>
    <row r="159" spans="1:15" x14ac:dyDescent="0.25">
      <c r="A159" s="6" t="s">
        <v>31</v>
      </c>
      <c r="B159" s="7">
        <v>730</v>
      </c>
      <c r="C159" s="34">
        <v>10.79</v>
      </c>
      <c r="D159" s="34">
        <f t="shared" si="6"/>
        <v>7876.7</v>
      </c>
      <c r="E159" s="9"/>
      <c r="F159" s="6"/>
      <c r="G159" s="6"/>
      <c r="H159" s="54"/>
      <c r="I159" s="8">
        <f t="shared" si="5"/>
        <v>-102240.01700000014</v>
      </c>
      <c r="J159" s="6">
        <v>105.1726</v>
      </c>
      <c r="K159" s="6">
        <v>7.5</v>
      </c>
      <c r="M159" s="6"/>
      <c r="N159" s="6"/>
      <c r="O159" s="6"/>
    </row>
    <row r="160" spans="1:15" x14ac:dyDescent="0.25">
      <c r="A160" s="11" t="s">
        <v>25</v>
      </c>
      <c r="B160" s="7">
        <v>539</v>
      </c>
      <c r="C160" s="34">
        <v>10.79</v>
      </c>
      <c r="D160" s="34">
        <f t="shared" si="6"/>
        <v>5815.8099999999995</v>
      </c>
      <c r="E160" s="9"/>
      <c r="F160" s="6"/>
      <c r="G160" s="6"/>
      <c r="H160" s="54"/>
      <c r="I160" s="8">
        <f t="shared" si="5"/>
        <v>-96424.20700000014</v>
      </c>
      <c r="J160" s="6"/>
      <c r="K160" s="6"/>
      <c r="M160" s="6"/>
      <c r="N160" s="6"/>
      <c r="O160" s="6"/>
    </row>
    <row r="161" spans="1:15" x14ac:dyDescent="0.25">
      <c r="A161" s="6" t="s">
        <v>32</v>
      </c>
      <c r="B161" s="7">
        <v>261</v>
      </c>
      <c r="C161" s="34">
        <v>10.79</v>
      </c>
      <c r="D161" s="34">
        <f t="shared" si="6"/>
        <v>2816.1899999999996</v>
      </c>
      <c r="E161" s="9"/>
      <c r="F161" s="6"/>
      <c r="G161" s="6"/>
      <c r="H161" s="54"/>
      <c r="I161" s="8">
        <f t="shared" si="5"/>
        <v>-93608.017000000138</v>
      </c>
      <c r="J161" s="6"/>
      <c r="K161" s="6"/>
      <c r="M161" s="6"/>
      <c r="N161" s="6"/>
 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2" s="34">
        <f t="shared" si="6"/>
        <v>4208.0999999999995</v>
      </c>
      <c r="E162" s="43"/>
      <c r="F162" s="44"/>
      <c r="G162" s="44"/>
      <c r="H162" s="57"/>
      <c r="I162" s="8">
        <f t="shared" si="5"/>
        <v>-89399.917000000132</v>
      </c>
      <c r="J162" s="6"/>
      <c r="K162" s="6"/>
      <c r="L162" s="54">
        <f t="shared" si="7"/>
        <v>0</v>
      </c>
      <c r="M162" s="6"/>
      <c r="N162" s="6"/>
      <c r="O162" s="6"/>
    </row>
    <row r="163" spans="1:15" x14ac:dyDescent="0.25">
      <c r="A163" s="6" t="s">
        <v>30</v>
      </c>
      <c r="B163" s="7">
        <v>308</v>
      </c>
      <c r="C163" s="8">
        <v>10.79</v>
      </c>
      <c r="D163" s="8">
        <f t="shared" si="6"/>
        <v>3323.3199999999997</v>
      </c>
      <c r="E163" s="9"/>
      <c r="F163" s="6"/>
      <c r="G163" s="6"/>
      <c r="H163" s="54"/>
      <c r="I163" s="8">
        <f t="shared" si="5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34</v>
      </c>
      <c r="B164" s="33">
        <v>390</v>
      </c>
      <c r="C164" s="8">
        <v>10.79</v>
      </c>
      <c r="D164" s="8">
        <f t="shared" si="6"/>
        <v>4208.0999999999995</v>
      </c>
      <c r="E164" s="43"/>
      <c r="F164" s="44"/>
      <c r="G164" s="44"/>
      <c r="H164" s="57"/>
      <c r="I164" s="8">
        <f t="shared" si="5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35</v>
      </c>
      <c r="B165" s="7"/>
      <c r="C165" s="8">
        <v>10.79</v>
      </c>
      <c r="D165" s="8">
        <f t="shared" si="6"/>
        <v>0</v>
      </c>
      <c r="E165" s="9"/>
      <c r="F165" s="6"/>
      <c r="G165" s="6"/>
      <c r="H165" s="54"/>
      <c r="I165" s="8">
        <f t="shared" si="5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36</v>
      </c>
      <c r="B166" s="7"/>
      <c r="C166" s="8">
        <v>10.79</v>
      </c>
      <c r="D166" s="8">
        <f t="shared" si="6"/>
        <v>0</v>
      </c>
      <c r="E166" s="9"/>
      <c r="F166" s="6"/>
      <c r="G166" s="6"/>
      <c r="H166" s="54"/>
      <c r="I166" s="8">
        <f t="shared" si="5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37</v>
      </c>
      <c r="B167" s="7"/>
      <c r="C167" s="8">
        <v>10.79</v>
      </c>
      <c r="D167" s="8">
        <f t="shared" si="6"/>
        <v>0</v>
      </c>
      <c r="E167" s="9"/>
      <c r="F167" s="6"/>
      <c r="G167" s="6"/>
      <c r="H167" s="54"/>
      <c r="I167" s="8">
        <f t="shared" si="5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38</v>
      </c>
      <c r="B168" s="7">
        <v>1172</v>
      </c>
      <c r="C168" s="8">
        <v>10.79</v>
      </c>
      <c r="D168" s="8">
        <f t="shared" si="6"/>
        <v>12645.88</v>
      </c>
      <c r="E168" s="9"/>
      <c r="F168" s="6"/>
      <c r="G168" s="6" t="s">
        <v>18</v>
      </c>
      <c r="H168" s="54">
        <v>112331.84</v>
      </c>
      <c r="I168" s="8">
        <f t="shared" si="5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39</v>
      </c>
      <c r="B169" s="7">
        <v>329</v>
      </c>
      <c r="C169" s="8">
        <v>10.79</v>
      </c>
      <c r="D169" s="8">
        <f t="shared" si="6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40</v>
      </c>
      <c r="B170" s="7">
        <v>85</v>
      </c>
      <c r="C170" s="8">
        <v>10.79</v>
      </c>
      <c r="D170" s="8">
        <f t="shared" si="6"/>
        <v>917.15</v>
      </c>
      <c r="E170" s="9"/>
      <c r="F170" s="6"/>
      <c r="G170" s="6"/>
      <c r="H170" s="54"/>
      <c r="I170" s="8">
        <f t="shared" si="5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41</v>
      </c>
      <c r="B171" s="7">
        <v>192</v>
      </c>
      <c r="C171" s="8">
        <v>10.79</v>
      </c>
      <c r="D171" s="8">
        <f t="shared" si="6"/>
        <v>2071.6799999999998</v>
      </c>
      <c r="E171" s="9"/>
      <c r="F171" s="6"/>
      <c r="G171" s="6"/>
      <c r="H171" s="54"/>
      <c r="I171" s="8">
        <f t="shared" si="5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42</v>
      </c>
      <c r="B172" s="7">
        <v>227</v>
      </c>
      <c r="C172" s="8">
        <v>10.79</v>
      </c>
      <c r="D172" s="8">
        <f t="shared" si="6"/>
        <v>2449.33</v>
      </c>
      <c r="E172" s="9"/>
      <c r="F172" s="6"/>
      <c r="G172" s="6"/>
      <c r="H172" s="54"/>
      <c r="I172" s="8">
        <f t="shared" si="5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43</v>
      </c>
      <c r="B173" s="7">
        <v>119</v>
      </c>
      <c r="C173" s="8">
        <v>10.79</v>
      </c>
      <c r="D173" s="8">
        <f t="shared" si="6"/>
        <v>1284.01</v>
      </c>
      <c r="E173" s="9"/>
      <c r="F173" s="6"/>
      <c r="G173" s="6"/>
      <c r="H173" s="54"/>
      <c r="I173" s="8">
        <f t="shared" si="5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44</v>
      </c>
      <c r="B174" s="7"/>
      <c r="C174" s="8">
        <v>10.79</v>
      </c>
      <c r="D174" s="8">
        <f t="shared" si="6"/>
        <v>0</v>
      </c>
      <c r="E174" s="9"/>
      <c r="F174" s="6"/>
      <c r="G174" s="6"/>
      <c r="H174" s="54"/>
      <c r="I174" s="8">
        <f t="shared" si="5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45</v>
      </c>
      <c r="B175" s="7"/>
      <c r="C175" s="8">
        <v>10.79</v>
      </c>
      <c r="D175" s="8">
        <f t="shared" si="6"/>
        <v>0</v>
      </c>
      <c r="E175" s="9"/>
      <c r="F175" s="6"/>
      <c r="G175" s="6"/>
      <c r="H175" s="54"/>
      <c r="I175" s="8">
        <f t="shared" si="5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46</v>
      </c>
      <c r="B176" s="7"/>
      <c r="C176" s="8">
        <v>10.79</v>
      </c>
      <c r="D176" s="8">
        <f t="shared" si="6"/>
        <v>0</v>
      </c>
      <c r="E176" s="9"/>
      <c r="F176" s="6"/>
      <c r="G176" s="6"/>
      <c r="H176" s="54"/>
      <c r="I176" s="8">
        <f t="shared" si="5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47</v>
      </c>
      <c r="B177" s="7">
        <v>344</v>
      </c>
      <c r="C177" s="8">
        <v>10.79</v>
      </c>
      <c r="D177" s="8">
        <f>B177*C177</f>
        <v>3711.7599999999998</v>
      </c>
      <c r="E177" s="9"/>
      <c r="F177" s="6"/>
      <c r="G177" s="6"/>
      <c r="H177" s="54"/>
      <c r="I177" s="8">
        <f t="shared" si="5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6" t="s">
        <v>23</v>
      </c>
      <c r="B178" s="7">
        <v>344</v>
      </c>
      <c r="C178" s="8">
        <v>10.79</v>
      </c>
      <c r="D178" s="8">
        <f t="shared" ref="D178:D179" si="8">B178*C178</f>
        <v>3711.7599999999998</v>
      </c>
      <c r="E178" s="9"/>
      <c r="F178" s="6"/>
      <c r="G178" s="6"/>
      <c r="H178" s="54"/>
      <c r="I178" s="8">
        <f t="shared" ref="I178:I179" si="9">I177+D178-H178</f>
        <v>-163858.85700000011</v>
      </c>
      <c r="J178" s="6"/>
      <c r="K178" s="6"/>
      <c r="L178" s="6"/>
      <c r="M178" s="6"/>
      <c r="N178" s="6"/>
      <c r="O178" s="6"/>
    </row>
    <row r="179" spans="1:15" x14ac:dyDescent="0.25">
      <c r="A179" s="6" t="s">
        <v>49</v>
      </c>
      <c r="B179" s="7">
        <v>252</v>
      </c>
      <c r="C179" s="8">
        <v>10.79</v>
      </c>
      <c r="D179" s="8">
        <f t="shared" si="8"/>
        <v>2719.08</v>
      </c>
      <c r="E179" s="9"/>
      <c r="F179" s="6"/>
      <c r="G179" s="6"/>
      <c r="H179" s="54"/>
      <c r="I179" s="8">
        <f t="shared" si="9"/>
        <v>-161139.77700000012</v>
      </c>
      <c r="J179" s="6"/>
      <c r="K179" s="6"/>
      <c r="L179" s="54"/>
      <c r="M179" s="6"/>
      <c r="N179" s="6"/>
      <c r="O179" s="6"/>
    </row>
    <row r="180" spans="1:15" x14ac:dyDescent="0.25">
      <c r="D180" s="15">
        <f t="shared" ref="D179:D180" si="10">SUM(D3:D179)</f>
        <v>519032.55300000001</v>
      </c>
      <c r="L180" s="10">
        <f t="shared" ref="L179:L180" si="11">SUM(L3:L179)</f>
        <v>190941.37783333313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2025-09-27T11:06:06Z</dcterms:modified>
</cp:coreProperties>
</file>