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8DEE464-A18E-4784-9FA1-0087741D0DA5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ООО &quot;ПРОМСТЕКЛОСНАБ&quot;" sheetId="1" r:id="rId1"/>
    <sheet name="ООО &quot;ПЭК&quot;" sheetId="3" r:id="rId2"/>
    <sheet name="ИП Козырева" sheetId="2" r:id="rId3"/>
    <sheet name="ИП Камалов" sheetId="4" r:id="rId4"/>
    <sheet name="ИП Савин Денис Валерьевич" sheetId="6" r:id="rId5"/>
    <sheet name="ООО &quot;ИТЕКО" sheetId="5" r:id="rId6"/>
    <sheet name="ООО &quot;ЮГ-ЛОГИСТИКА&quot;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5" l="1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K20" i="6" l="1"/>
  <c r="E20" i="7" l="1"/>
  <c r="E19" i="7"/>
  <c r="E59" i="1"/>
  <c r="E58" i="1" l="1"/>
  <c r="F63" i="1"/>
  <c r="F64" i="1"/>
  <c r="F65" i="1"/>
  <c r="F66" i="1"/>
  <c r="E18" i="6" l="1"/>
  <c r="L19" i="6"/>
  <c r="N19" i="6" s="1"/>
  <c r="K13" i="6"/>
  <c r="K18" i="6" l="1"/>
  <c r="E18" i="7"/>
  <c r="E17" i="6"/>
  <c r="K15" i="6" l="1"/>
  <c r="E14" i="7" l="1"/>
  <c r="E15" i="7"/>
  <c r="E16" i="7"/>
  <c r="E55" i="1" l="1"/>
  <c r="E54" i="1"/>
  <c r="E14" i="6"/>
  <c r="E13" i="6" l="1"/>
  <c r="E11" i="6" l="1"/>
  <c r="E12" i="6"/>
  <c r="E13" i="7" l="1"/>
  <c r="E12" i="7"/>
  <c r="E11" i="7" l="1"/>
  <c r="K10" i="6"/>
  <c r="E10" i="6" l="1"/>
  <c r="K9" i="6"/>
  <c r="E10" i="7" l="1"/>
  <c r="E9" i="7"/>
  <c r="E8" i="7"/>
  <c r="E50" i="1"/>
  <c r="E8" i="6" l="1"/>
  <c r="E47" i="1"/>
  <c r="E46" i="1"/>
  <c r="E45" i="1"/>
  <c r="E5" i="7"/>
  <c r="E3" i="7" l="1"/>
  <c r="E4" i="7"/>
  <c r="F17" i="7"/>
  <c r="F29" i="7"/>
  <c r="C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E44" i="1" l="1"/>
  <c r="E6" i="6" l="1"/>
  <c r="E18" i="5" l="1"/>
  <c r="E17" i="5"/>
  <c r="E39" i="1"/>
  <c r="E40" i="1"/>
  <c r="E16" i="5" l="1"/>
  <c r="E36" i="1"/>
  <c r="E37" i="1"/>
  <c r="E15" i="5" l="1"/>
  <c r="E35" i="1" l="1"/>
  <c r="E13" i="5" l="1"/>
  <c r="E32" i="1" l="1"/>
  <c r="E30" i="1" l="1"/>
  <c r="E29" i="1"/>
  <c r="E11" i="5" l="1"/>
  <c r="E28" i="1" l="1"/>
  <c r="E26" i="1" l="1"/>
  <c r="E4" i="6" l="1"/>
  <c r="E9" i="5" l="1"/>
  <c r="E3" i="6" l="1"/>
  <c r="C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16" i="6"/>
  <c r="F15" i="6"/>
  <c r="F9" i="6"/>
  <c r="F5" i="6"/>
  <c r="I3" i="6"/>
  <c r="I4" i="6" s="1"/>
  <c r="I5" i="6" s="1"/>
  <c r="I6" i="6" s="1"/>
  <c r="I7" i="6" s="1"/>
  <c r="I8" i="6" s="1"/>
  <c r="I9" i="6" s="1"/>
  <c r="E25" i="1"/>
  <c r="E24" i="1"/>
  <c r="E23" i="1"/>
  <c r="E22" i="1"/>
  <c r="E21" i="1"/>
  <c r="I10" i="6" l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F6" i="5"/>
  <c r="E7" i="5"/>
  <c r="E4" i="5"/>
  <c r="E3" i="5"/>
  <c r="E20" i="1"/>
  <c r="I29" i="6" l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E4" i="4"/>
  <c r="I3" i="5" l="1"/>
  <c r="I4" i="5" s="1"/>
  <c r="C59" i="5" l="1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21" i="5"/>
  <c r="F20" i="5"/>
  <c r="F19" i="5"/>
  <c r="F14" i="5"/>
  <c r="F12" i="5"/>
  <c r="F10" i="5"/>
  <c r="F8" i="5"/>
  <c r="F5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E18" i="1"/>
  <c r="E3" i="4"/>
  <c r="C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1" i="4"/>
  <c r="F9" i="4"/>
  <c r="F8" i="4"/>
  <c r="F5" i="4"/>
  <c r="I3" i="4"/>
  <c r="I4" i="4" s="1"/>
  <c r="I5" i="4" s="1"/>
  <c r="I6" i="4" s="1"/>
  <c r="I7" i="4" s="1"/>
  <c r="I8" i="4" l="1"/>
  <c r="I25" i="5"/>
  <c r="I26" i="5" s="1"/>
  <c r="I27" i="5" s="1"/>
  <c r="E17" i="1"/>
  <c r="I28" i="5" l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9" i="4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E16" i="1"/>
  <c r="E15" i="1" l="1"/>
  <c r="C57" i="3" l="1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I3" i="3" s="1"/>
  <c r="I4" i="3" l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F5" i="2" l="1"/>
  <c r="C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4" i="2"/>
  <c r="F3" i="2"/>
  <c r="I3" i="2" s="1"/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E5" i="1"/>
  <c r="F6" i="1"/>
  <c r="F10" i="1"/>
  <c r="F11" i="1"/>
  <c r="F12" i="1"/>
  <c r="F13" i="1"/>
  <c r="F14" i="1"/>
  <c r="F19" i="1"/>
  <c r="F3" i="1" l="1"/>
  <c r="I3" i="1" s="1"/>
  <c r="F4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C67" i="1"/>
  <c r="F57" i="1"/>
  <c r="F56" i="1"/>
  <c r="F51" i="1"/>
  <c r="F49" i="1"/>
  <c r="F48" i="1"/>
  <c r="F43" i="1"/>
  <c r="F42" i="1"/>
  <c r="F41" i="1"/>
  <c r="F38" i="1"/>
  <c r="F34" i="1"/>
  <c r="F27" i="1"/>
  <c r="I17" i="1" l="1"/>
  <c r="I18" i="1" s="1"/>
  <c r="I19" i="1" s="1"/>
  <c r="I20" i="1" s="1"/>
  <c r="I21" i="1" s="1"/>
  <c r="I22" i="1" s="1"/>
  <c r="I23" i="1" s="1"/>
  <c r="I24" i="1" s="1"/>
  <c r="I25" i="1" s="1"/>
  <c r="I26" i="1" l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l="1"/>
  <c r="I65" i="1" s="1"/>
  <c r="I66" i="1" s="1"/>
  <c r="I3" i="7"/>
  <c r="I4" i="7" s="1"/>
  <c r="I5" i="7" s="1"/>
  <c r="I6" i="7" s="1"/>
  <c r="I7" i="7" l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</calcChain>
</file>

<file path=xl/sharedStrings.xml><?xml version="1.0" encoding="utf-8"?>
<sst xmlns="http://schemas.openxmlformats.org/spreadsheetml/2006/main" count="323" uniqueCount="80">
  <si>
    <t>дата оказания</t>
  </si>
  <si>
    <t>кг</t>
  </si>
  <si>
    <t>цена</t>
  </si>
  <si>
    <t>сумма</t>
  </si>
  <si>
    <t>дата оплаты</t>
  </si>
  <si>
    <t>итого</t>
  </si>
  <si>
    <t>что</t>
  </si>
  <si>
    <t xml:space="preserve">арахис </t>
  </si>
  <si>
    <t>на производство</t>
  </si>
  <si>
    <t xml:space="preserve"> ОптТорг</t>
  </si>
  <si>
    <t>ДОСТАВКА, куда-кому</t>
  </si>
  <si>
    <t>ТМК-Сервис</t>
  </si>
  <si>
    <t>арахис на пр-во</t>
  </si>
  <si>
    <t>жиротопка</t>
  </si>
  <si>
    <t>Снекпром</t>
  </si>
  <si>
    <t>Рыбацкое дело</t>
  </si>
  <si>
    <t>арахис в ассортименте</t>
  </si>
  <si>
    <t>2025 год</t>
  </si>
  <si>
    <t>тарелки</t>
  </si>
  <si>
    <t>фасовка</t>
  </si>
  <si>
    <t>на пр-во (28.12.24)</t>
  </si>
  <si>
    <t>Акваэлемент</t>
  </si>
  <si>
    <t>арахис обжареный</t>
  </si>
  <si>
    <t>гофрокороба</t>
  </si>
  <si>
    <t>Яндекс Лавка</t>
  </si>
  <si>
    <t>арахис</t>
  </si>
  <si>
    <t>Экобиотехнология</t>
  </si>
  <si>
    <t>масло пальмовое отработка</t>
  </si>
  <si>
    <t>кг/шт</t>
  </si>
  <si>
    <t>ЯндексЛавка</t>
  </si>
  <si>
    <t>комплект.на склад</t>
  </si>
  <si>
    <t>Куб для масла, ящики хозяйст.,пакеты вакуумные</t>
  </si>
  <si>
    <t>патока</t>
  </si>
  <si>
    <t>Компас.</t>
  </si>
  <si>
    <t>арахис жареный</t>
  </si>
  <si>
    <t>масло пальмовое</t>
  </si>
  <si>
    <t>Универсам Бегемаг</t>
  </si>
  <si>
    <t>арахис, тарелка 200г</t>
  </si>
  <si>
    <t>фасов оборудование</t>
  </si>
  <si>
    <t>Снекпром, Калуга</t>
  </si>
  <si>
    <t>пищевые добавки</t>
  </si>
  <si>
    <t>на склад</t>
  </si>
  <si>
    <t>ПД+ароматизаторы</t>
  </si>
  <si>
    <t>Монетка</t>
  </si>
  <si>
    <t>стабилизатор</t>
  </si>
  <si>
    <t>апрель</t>
  </si>
  <si>
    <t>тарелка 200г</t>
  </si>
  <si>
    <t>в счет Зп</t>
  </si>
  <si>
    <t>услуга</t>
  </si>
  <si>
    <t>общая сумма оплаты</t>
  </si>
  <si>
    <t>для Монетка</t>
  </si>
  <si>
    <t>арахис тарелки</t>
  </si>
  <si>
    <t>гофроящики</t>
  </si>
  <si>
    <t>пленка</t>
  </si>
  <si>
    <t>корректировка</t>
  </si>
  <si>
    <t>долг за 24г. 48.000р.</t>
  </si>
  <si>
    <t>было</t>
  </si>
  <si>
    <t>май</t>
  </si>
  <si>
    <t>%</t>
  </si>
  <si>
    <t>порошковая окраска</t>
  </si>
  <si>
    <t>09.-11.05</t>
  </si>
  <si>
    <t>диоксид титана</t>
  </si>
  <si>
    <t>Зп апрель</t>
  </si>
  <si>
    <t>20 мая</t>
  </si>
  <si>
    <t>Яндекс лавка возврат</t>
  </si>
  <si>
    <t>19 мая</t>
  </si>
  <si>
    <t>Снекпром- Пластик</t>
  </si>
  <si>
    <t>FM Logistic-Снекпром</t>
  </si>
  <si>
    <t>Снекпром-ТД Крахмал продукт</t>
  </si>
  <si>
    <t>Снекпром-Экоресурс</t>
  </si>
  <si>
    <t>22 мая</t>
  </si>
  <si>
    <t>Элемент трейд</t>
  </si>
  <si>
    <t>29 мая</t>
  </si>
  <si>
    <t>27 мая</t>
  </si>
  <si>
    <t>28 мая</t>
  </si>
  <si>
    <t>30.05-01.06</t>
  </si>
  <si>
    <t>Элемент-Трейд</t>
  </si>
  <si>
    <t>23-25 мая</t>
  </si>
  <si>
    <t>02.06.2025</t>
  </si>
  <si>
    <t>Кому / От кого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</si>
</sst>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8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8" fontId="1" fillId="0" borderId="1" xfId="0" applyNumberFormat="1" applyFont="1" applyBorder="1"/>
    <xf numFmtId="0" fontId="1" fillId="0" borderId="0" xfId="0" applyFont="1"/>
    <xf numFmtId="16" fontId="1" fillId="0" borderId="1" xfId="0" applyNumberFormat="1" applyFont="1" applyBorder="1"/>
    <xf numFmtId="0" fontId="2" fillId="0" borderId="0" xfId="0" applyFont="1"/>
    <xf numFmtId="16" fontId="1" fillId="0" borderId="2" xfId="0" applyNumberFormat="1" applyFont="1" applyBorder="1"/>
    <xf numFmtId="0" fontId="1" fillId="0" borderId="2" xfId="0" applyFont="1" applyBorder="1"/>
    <xf numFmtId="2" fontId="1" fillId="0" borderId="2" xfId="0" applyNumberFormat="1" applyFont="1" applyBorder="1"/>
    <xf numFmtId="164" fontId="1" fillId="0" borderId="2" xfId="0" applyNumberFormat="1" applyFont="1" applyBorder="1"/>
    <xf numFmtId="16" fontId="2" fillId="0" borderId="3" xfId="0" applyNumberFormat="1" applyFont="1" applyBorder="1"/>
    <xf numFmtId="0" fontId="1" fillId="0" borderId="3" xfId="0" applyFont="1" applyBorder="1"/>
    <xf numFmtId="2" fontId="1" fillId="0" borderId="3" xfId="0" applyNumberFormat="1" applyFont="1" applyBorder="1"/>
    <xf numFmtId="164" fontId="1" fillId="0" borderId="3" xfId="0" applyNumberFormat="1" applyFont="1" applyBorder="1"/>
    <xf numFmtId="16" fontId="1" fillId="0" borderId="3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2" fontId="1" fillId="0" borderId="0" xfId="0" applyNumberFormat="1" applyFont="1"/>
    <xf numFmtId="164" fontId="1" fillId="0" borderId="0" xfId="0" applyNumberFormat="1" applyFont="1"/>
    <xf numFmtId="8" fontId="1" fillId="0" borderId="0" xfId="0" applyNumberFormat="1" applyFont="1"/>
    <xf numFmtId="164" fontId="2" fillId="0" borderId="1" xfId="0" applyNumberFormat="1" applyFont="1" applyBorder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4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/>
    <xf numFmtId="0" fontId="6" fillId="0" borderId="0" xfId="0" applyFont="1"/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8" fontId="2" fillId="2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6" fontId="8" fillId="2" borderId="1" xfId="0" applyNumberFormat="1" applyFont="1" applyFill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/>
    <xf numFmtId="2" fontId="9" fillId="0" borderId="1" xfId="0" applyNumberFormat="1" applyFont="1" applyBorder="1"/>
    <xf numFmtId="164" fontId="9" fillId="0" borderId="1" xfId="0" applyNumberFormat="1" applyFont="1" applyBorder="1"/>
    <xf numFmtId="16" fontId="9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8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" fontId="2" fillId="2" borderId="3" xfId="0" applyNumberFormat="1" applyFont="1" applyFill="1" applyBorder="1" applyAlignment="1">
      <alignment horizontal="center" vertical="center"/>
    </xf>
    <xf numFmtId="0" fontId="9" fillId="0" borderId="3" xfId="0" applyFont="1" applyBorder="1"/>
    <xf numFmtId="164" fontId="2" fillId="0" borderId="3" xfId="0" applyNumberFormat="1" applyFont="1" applyBorder="1"/>
    <xf numFmtId="8" fontId="1" fillId="0" borderId="3" xfId="0" applyNumberFormat="1" applyFont="1" applyBorder="1"/>
    <xf numFmtId="164" fontId="2" fillId="0" borderId="2" xfId="0" applyNumberFormat="1" applyFont="1" applyBorder="1"/>
    <xf numFmtId="8" fontId="1" fillId="0" borderId="2" xfId="0" applyNumberFormat="1" applyFont="1" applyBorder="1"/>
    <xf numFmtId="0" fontId="9" fillId="0" borderId="2" xfId="0" applyFont="1" applyBorder="1"/>
    <xf numFmtId="164" fontId="4" fillId="0" borderId="2" xfId="0" applyNumberFormat="1" applyFont="1" applyBorder="1"/>
    <xf numFmtId="16" fontId="2" fillId="2" borderId="4" xfId="0" applyNumberFormat="1" applyFont="1" applyFill="1" applyBorder="1"/>
    <xf numFmtId="0" fontId="2" fillId="2" borderId="4" xfId="0" applyFont="1" applyFill="1" applyBorder="1"/>
    <xf numFmtId="2" fontId="2" fillId="2" borderId="4" xfId="0" applyNumberFormat="1" applyFont="1" applyFill="1" applyBorder="1"/>
    <xf numFmtId="164" fontId="2" fillId="2" borderId="4" xfId="0" applyNumberFormat="1" applyFont="1" applyFill="1" applyBorder="1"/>
    <xf numFmtId="8" fontId="2" fillId="2" borderId="4" xfId="0" applyNumberFormat="1" applyFont="1" applyFill="1" applyBorder="1"/>
    <xf numFmtId="16" fontId="2" fillId="0" borderId="5" xfId="0" applyNumberFormat="1" applyFont="1" applyBorder="1"/>
    <xf numFmtId="0" fontId="1" fillId="0" borderId="6" xfId="0" applyFont="1" applyBorder="1"/>
    <xf numFmtId="0" fontId="2" fillId="0" borderId="6" xfId="0" applyFont="1" applyBorder="1"/>
    <xf numFmtId="2" fontId="2" fillId="0" borderId="6" xfId="0" applyNumberFormat="1" applyFont="1" applyBorder="1"/>
    <xf numFmtId="164" fontId="2" fillId="0" borderId="6" xfId="0" applyNumberFormat="1" applyFont="1" applyBorder="1"/>
    <xf numFmtId="8" fontId="1" fillId="0" borderId="7" xfId="0" applyNumberFormat="1" applyFont="1" applyBorder="1"/>
    <xf numFmtId="16" fontId="1" fillId="0" borderId="8" xfId="0" applyNumberFormat="1" applyFont="1" applyBorder="1"/>
    <xf numFmtId="0" fontId="1" fillId="0" borderId="9" xfId="0" applyFont="1" applyBorder="1"/>
    <xf numFmtId="2" fontId="1" fillId="0" borderId="9" xfId="0" applyNumberFormat="1" applyFont="1" applyBorder="1"/>
    <xf numFmtId="164" fontId="1" fillId="0" borderId="9" xfId="0" applyNumberFormat="1" applyFont="1" applyBorder="1"/>
    <xf numFmtId="16" fontId="1" fillId="0" borderId="9" xfId="0" applyNumberFormat="1" applyFont="1" applyBorder="1"/>
    <xf numFmtId="8" fontId="1" fillId="0" borderId="10" xfId="0" applyNumberFormat="1" applyFont="1" applyBorder="1"/>
    <xf numFmtId="16" fontId="1" fillId="0" borderId="11" xfId="0" applyNumberFormat="1" applyFont="1" applyBorder="1"/>
    <xf numFmtId="0" fontId="2" fillId="0" borderId="2" xfId="0" applyFont="1" applyBorder="1"/>
    <xf numFmtId="8" fontId="1" fillId="0" borderId="12" xfId="0" applyNumberFormat="1" applyFont="1" applyBorder="1"/>
    <xf numFmtId="16" fontId="1" fillId="0" borderId="4" xfId="0" applyNumberFormat="1" applyFont="1" applyBorder="1"/>
    <xf numFmtId="0" fontId="1" fillId="0" borderId="4" xfId="0" applyFont="1" applyBorder="1"/>
    <xf numFmtId="2" fontId="1" fillId="0" borderId="4" xfId="0" applyNumberFormat="1" applyFont="1" applyBorder="1"/>
    <xf numFmtId="164" fontId="1" fillId="0" borderId="4" xfId="0" applyNumberFormat="1" applyFont="1" applyBorder="1"/>
    <xf numFmtId="8" fontId="1" fillId="0" borderId="4" xfId="0" applyNumberFormat="1" applyFont="1" applyBorder="1"/>
    <xf numFmtId="16" fontId="2" fillId="2" borderId="9" xfId="0" applyNumberFormat="1" applyFont="1" applyFill="1" applyBorder="1"/>
    <xf numFmtId="16" fontId="1" fillId="0" borderId="13" xfId="0" applyNumberFormat="1" applyFont="1" applyBorder="1"/>
    <xf numFmtId="8" fontId="1" fillId="0" borderId="14" xfId="0" applyNumberFormat="1" applyFont="1" applyBorder="1"/>
    <xf numFmtId="16" fontId="1" fillId="0" borderId="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/>
    </xf>
    <xf numFmtId="16" fontId="2" fillId="0" borderId="1" xfId="0" applyNumberFormat="1" applyFont="1" applyBorder="1"/>
    <xf numFmtId="16" fontId="1" fillId="0" borderId="15" xfId="0" applyNumberFormat="1" applyFont="1" applyBorder="1"/>
    <xf numFmtId="0" fontId="1" fillId="0" borderId="15" xfId="0" applyFont="1" applyBorder="1"/>
    <xf numFmtId="164" fontId="1" fillId="0" borderId="10" xfId="0" applyNumberFormat="1" applyFont="1" applyBorder="1"/>
    <xf numFmtId="164" fontId="1" fillId="0" borderId="12" xfId="0" applyNumberFormat="1" applyFont="1" applyBorder="1"/>
    <xf numFmtId="16" fontId="1" fillId="0" borderId="16" xfId="0" applyNumberFormat="1" applyFont="1" applyBorder="1"/>
    <xf numFmtId="2" fontId="1" fillId="0" borderId="17" xfId="0" applyNumberFormat="1" applyFont="1" applyBorder="1"/>
    <xf numFmtId="0" fontId="1" fillId="0" borderId="17" xfId="0" applyFont="1" applyBorder="1"/>
    <xf numFmtId="164" fontId="1" fillId="0" borderId="17" xfId="0" applyNumberFormat="1" applyFont="1" applyBorder="1"/>
    <xf numFmtId="16" fontId="2" fillId="0" borderId="11" xfId="0" applyNumberFormat="1" applyFont="1" applyBorder="1"/>
    <xf numFmtId="16" fontId="2" fillId="2" borderId="3" xfId="0" applyNumberFormat="1" applyFont="1" applyFill="1" applyBorder="1"/>
    <xf numFmtId="0" fontId="2" fillId="2" borderId="3" xfId="0" applyFont="1" applyFill="1" applyBorder="1"/>
    <xf numFmtId="2" fontId="2" fillId="2" borderId="3" xfId="0" applyNumberFormat="1" applyFont="1" applyFill="1" applyBorder="1"/>
    <xf numFmtId="164" fontId="2" fillId="2" borderId="3" xfId="0" applyNumberFormat="1" applyFont="1" applyFill="1" applyBorder="1"/>
    <xf numFmtId="8" fontId="2" fillId="2" borderId="3" xfId="0" applyNumberFormat="1" applyFont="1" applyFill="1" applyBorder="1"/>
    <xf numFmtId="0" fontId="2" fillId="0" borderId="1" xfId="0" applyFont="1" applyBorder="1"/>
    <xf numFmtId="164" fontId="2" fillId="0" borderId="9" xfId="0" applyNumberFormat="1" applyFont="1" applyBorder="1"/>
    <xf numFmtId="16" fontId="2" fillId="2" borderId="4" xfId="0" applyNumberFormat="1" applyFont="1" applyFill="1" applyBorder="1" applyAlignment="1">
      <alignment horizontal="center" vertical="center"/>
    </xf>
    <xf numFmtId="8" fontId="1" fillId="0" borderId="19" xfId="0" applyNumberFormat="1" applyFont="1" applyBorder="1"/>
    <xf numFmtId="164" fontId="1" fillId="0" borderId="0" xfId="0" applyNumberFormat="1" applyFont="1" applyAlignment="1">
      <alignment vertical="center" wrapText="1"/>
    </xf>
    <xf numFmtId="164" fontId="3" fillId="0" borderId="0" xfId="0" applyNumberFormat="1" applyFont="1"/>
    <xf numFmtId="164" fontId="1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/>
    <xf numFmtId="164" fontId="10" fillId="0" borderId="0" xfId="0" applyNumberFormat="1" applyFont="1"/>
    <xf numFmtId="8" fontId="11" fillId="0" borderId="1" xfId="0" applyNumberFormat="1" applyFont="1" applyBorder="1" applyAlignment="1">
      <alignment vertical="center" wrapText="1"/>
    </xf>
    <xf numFmtId="8" fontId="11" fillId="0" borderId="1" xfId="0" applyNumberFormat="1" applyFont="1" applyBorder="1"/>
    <xf numFmtId="8" fontId="11" fillId="0" borderId="0" xfId="0" applyNumberFormat="1" applyFont="1"/>
    <xf numFmtId="164" fontId="2" fillId="3" borderId="1" xfId="0" applyNumberFormat="1" applyFont="1" applyFill="1" applyBorder="1"/>
    <xf numFmtId="164" fontId="2" fillId="3" borderId="3" xfId="0" applyNumberFormat="1" applyFont="1" applyFill="1" applyBorder="1"/>
    <xf numFmtId="164" fontId="2" fillId="3" borderId="2" xfId="0" applyNumberFormat="1" applyFont="1" applyFill="1" applyBorder="1"/>
    <xf numFmtId="164" fontId="1" fillId="0" borderId="20" xfId="0" applyNumberFormat="1" applyFont="1" applyBorder="1"/>
    <xf numFmtId="164" fontId="1" fillId="0" borderId="21" xfId="0" applyNumberFormat="1" applyFont="1" applyBorder="1"/>
    <xf numFmtId="0" fontId="1" fillId="0" borderId="22" xfId="0" applyFont="1" applyBorder="1"/>
    <xf numFmtId="164" fontId="2" fillId="3" borderId="4" xfId="0" applyNumberFormat="1" applyFont="1" applyFill="1" applyBorder="1"/>
    <xf numFmtId="164" fontId="2" fillId="3" borderId="23" xfId="0" applyNumberFormat="1" applyFont="1" applyFill="1" applyBorder="1"/>
    <xf numFmtId="164" fontId="2" fillId="3" borderId="24" xfId="0" applyNumberFormat="1" applyFont="1" applyFill="1" applyBorder="1"/>
    <xf numFmtId="164" fontId="1" fillId="0" borderId="25" xfId="0" applyNumberFormat="1" applyFont="1" applyBorder="1"/>
    <xf numFmtId="0" fontId="1" fillId="0" borderId="26" xfId="0" applyFont="1" applyBorder="1"/>
    <xf numFmtId="8" fontId="2" fillId="0" borderId="0" xfId="0" applyNumberFormat="1" applyFont="1" applyAlignment="1">
      <alignment vertical="center" wrapText="1"/>
    </xf>
    <xf numFmtId="8" fontId="1" fillId="0" borderId="9" xfId="0" applyNumberFormat="1" applyFont="1" applyBorder="1"/>
    <xf numFmtId="8" fontId="3" fillId="0" borderId="1" xfId="0" applyNumberFormat="1" applyFont="1" applyBorder="1"/>
    <xf numFmtId="0" fontId="12" fillId="0" borderId="9" xfId="0" applyFont="1" applyBorder="1"/>
    <xf numFmtId="164" fontId="1" fillId="0" borderId="14" xfId="0" applyNumberFormat="1" applyFont="1" applyBorder="1"/>
    <xf numFmtId="0" fontId="1" fillId="0" borderId="27" xfId="0" applyFont="1" applyBorder="1"/>
    <xf numFmtId="164" fontId="2" fillId="0" borderId="0" xfId="0" applyNumberFormat="1" applyFont="1"/>
    <xf numFmtId="164" fontId="4" fillId="0" borderId="0" xfId="0" applyNumberFormat="1" applyFont="1"/>
    <xf numFmtId="0" fontId="4" fillId="0" borderId="0" xfId="0" applyFont="1"/>
    <xf numFmtId="164" fontId="4" fillId="2" borderId="9" xfId="0" applyNumberFormat="1" applyFont="1" applyFill="1" applyBorder="1"/>
    <xf numFmtId="164" fontId="2" fillId="0" borderId="4" xfId="0" applyNumberFormat="1" applyFont="1" applyBorder="1"/>
    <xf numFmtId="0" fontId="4" fillId="0" borderId="1" xfId="0" applyFont="1" applyBorder="1"/>
    <xf numFmtId="164" fontId="4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  <xf numFmtId="16" fontId="1" fillId="0" borderId="8" xfId="0" applyNumberFormat="1" applyFont="1" applyBorder="1" applyAlignment="1">
      <alignment horizontal="center"/>
    </xf>
    <xf numFmtId="16" fontId="1" fillId="0" borderId="11" xfId="0" applyNumberFormat="1" applyFont="1" applyBorder="1" applyAlignment="1">
      <alignment horizontal="center"/>
    </xf>
    <xf numFmtId="16" fontId="1" fillId="0" borderId="13" xfId="0" applyNumberFormat="1" applyFont="1" applyBorder="1" applyAlignment="1">
      <alignment horizontal="center"/>
    </xf>
    <xf numFmtId="16" fontId="2" fillId="2" borderId="3" xfId="0" applyNumberFormat="1" applyFont="1" applyFill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29" xfId="0" applyFont="1" applyFill="1" applyBorder="1"/>
    <xf numFmtId="2" fontId="2" fillId="2" borderId="29" xfId="0" applyNumberFormat="1" applyFont="1" applyFill="1" applyBorder="1"/>
    <xf numFmtId="164" fontId="2" fillId="2" borderId="29" xfId="0" applyNumberFormat="1" applyFont="1" applyFill="1" applyBorder="1"/>
    <xf numFmtId="8" fontId="2" fillId="2" borderId="28" xfId="0" applyNumberFormat="1" applyFont="1" applyFill="1" applyBorder="1"/>
    <xf numFmtId="0" fontId="1" fillId="0" borderId="4" xfId="0" applyFont="1" applyBorder="1" applyAlignment="1">
      <alignment horizontal="center"/>
    </xf>
    <xf numFmtId="16" fontId="1" fillId="0" borderId="18" xfId="0" applyNumberFormat="1" applyFont="1" applyBorder="1" applyAlignment="1">
      <alignment horizontal="center"/>
    </xf>
    <xf numFmtId="8" fontId="1" fillId="0" borderId="0" xfId="0" applyNumberFormat="1" applyFont="1" applyAlignment="1">
      <alignment vertical="center" wrapText="1"/>
    </xf>
    <xf numFmtId="8" fontId="3" fillId="0" borderId="0" xfId="0" applyNumberFormat="1" applyFont="1"/>
    <xf numFmtId="0" fontId="2" fillId="2" borderId="3" xfId="0" applyFont="1" applyFill="1" applyBorder="1" applyAlignment="1">
      <alignment horizontal="center" vertical="center"/>
    </xf>
    <xf numFmtId="16" fontId="2" fillId="2" borderId="1" xfId="0" applyNumberFormat="1" applyFont="1" applyFill="1" applyBorder="1"/>
    <xf numFmtId="0" fontId="5" fillId="2" borderId="1" xfId="0" applyFont="1" applyFill="1" applyBorder="1"/>
    <xf numFmtId="8" fontId="11" fillId="0" borderId="20" xfId="0" applyNumberFormat="1" applyFont="1" applyBorder="1"/>
    <xf numFmtId="8" fontId="11" fillId="2" borderId="20" xfId="0" applyNumberFormat="1" applyFont="1" applyFill="1" applyBorder="1"/>
    <xf numFmtId="164" fontId="1" fillId="0" borderId="15" xfId="0" applyNumberFormat="1" applyFont="1" applyBorder="1"/>
    <xf numFmtId="164" fontId="2" fillId="2" borderId="15" xfId="0" applyNumberFormat="1" applyFont="1" applyFill="1" applyBorder="1"/>
    <xf numFmtId="164" fontId="10" fillId="0" borderId="4" xfId="0" applyNumberFormat="1" applyFont="1" applyBorder="1"/>
    <xf numFmtId="164" fontId="10" fillId="0" borderId="3" xfId="0" applyNumberFormat="1" applyFont="1" applyBorder="1"/>
    <xf numFmtId="164" fontId="10" fillId="3" borderId="23" xfId="0" applyNumberFormat="1" applyFont="1" applyFill="1" applyBorder="1"/>
    <xf numFmtId="164" fontId="10" fillId="3" borderId="30" xfId="0" applyNumberFormat="1" applyFont="1" applyFill="1" applyBorder="1"/>
    <xf numFmtId="164" fontId="10" fillId="3" borderId="24" xfId="0" applyNumberFormat="1" applyFont="1" applyFill="1" applyBorder="1"/>
    <xf numFmtId="164" fontId="1" fillId="0" borderId="31" xfId="0" applyNumberFormat="1" applyFont="1" applyBorder="1"/>
    <xf numFmtId="8" fontId="3" fillId="3" borderId="32" xfId="0" applyNumberFormat="1" applyFont="1" applyFill="1" applyBorder="1"/>
    <xf numFmtId="164" fontId="3" fillId="3" borderId="33" xfId="0" applyNumberFormat="1" applyFont="1" applyFill="1" applyBorder="1"/>
    <xf numFmtId="16" fontId="1" fillId="2" borderId="1" xfId="0" applyNumberFormat="1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164" fontId="1" fillId="2" borderId="1" xfId="0" applyNumberFormat="1" applyFont="1" applyFill="1" applyBorder="1"/>
    <xf numFmtId="8" fontId="1" fillId="2" borderId="1" xfId="0" applyNumberFormat="1" applyFont="1" applyFill="1" applyBorder="1"/>
    <xf numFmtId="0" fontId="6" fillId="0" borderId="34" xfId="0" applyFont="1" applyBorder="1" applyAlignment="1">
      <alignment vertical="center"/>
    </xf>
    <xf numFmtId="0" fontId="6" fillId="0" borderId="34" xfId="0" applyFont="1" applyBorder="1"/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/>
    </xf>
    <xf numFmtId="164" fontId="5" fillId="0" borderId="34" xfId="0" applyNumberFormat="1" applyFont="1" applyBorder="1"/>
    <xf numFmtId="164" fontId="6" fillId="0" borderId="34" xfId="0" applyNumberFormat="1" applyFont="1" applyBorder="1" applyAlignment="1">
      <alignment vertical="center"/>
    </xf>
    <xf numFmtId="164" fontId="6" fillId="0" borderId="34" xfId="0" applyNumberFormat="1" applyFont="1" applyBorder="1"/>
    <xf numFmtId="164" fontId="13" fillId="0" borderId="35" xfId="0" applyNumberFormat="1" applyFont="1" applyBorder="1" applyAlignment="1">
      <alignment horizontal="right" vertical="center"/>
    </xf>
    <xf numFmtId="164" fontId="14" fillId="0" borderId="3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workbookViewId="0">
      <pane ySplit="1" topLeftCell="A47" activePane="bottomLeft" state="frozen"/>
      <selection pane="bottomLeft" activeCell="D72" sqref="D72"/>
    </sheetView>
  </sheetViews>
  <sheetFormatPr defaultColWidth="8.85546875" defaultRowHeight="15.75" x14ac:dyDescent="0.25"/>
  <cols>
    <col min="1" max="1" width="10.7109375" style="51" customWidth="1"/>
    <col min="2" max="2" width="17.28515625" style="10" customWidth="1"/>
    <col min="3" max="3" width="18.5703125" style="10" customWidth="1"/>
    <col min="4" max="4" width="9.28515625" style="26" bestFit="1" customWidth="1"/>
    <col min="5" max="5" width="11.5703125" style="27" bestFit="1" customWidth="1"/>
    <col min="6" max="6" width="13.42578125" style="12" bestFit="1" customWidth="1"/>
    <col min="7" max="7" width="8.85546875" style="10"/>
    <col min="8" max="8" width="13.7109375" style="28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42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1" t="s">
        <v>3</v>
      </c>
      <c r="G1" s="1" t="s">
        <v>4</v>
      </c>
      <c r="H1" s="143" t="s">
        <v>3</v>
      </c>
      <c r="I1" s="4" t="s">
        <v>5</v>
      </c>
    </row>
    <row r="2" spans="1:10" x14ac:dyDescent="0.25">
      <c r="A2" s="43"/>
      <c r="B2" s="6"/>
      <c r="C2" s="6"/>
      <c r="D2" s="7"/>
      <c r="E2" s="8"/>
      <c r="F2" s="119"/>
      <c r="G2" s="6"/>
      <c r="H2" s="9"/>
      <c r="I2" s="9">
        <v>0</v>
      </c>
    </row>
    <row r="3" spans="1:10" x14ac:dyDescent="0.25">
      <c r="A3" s="44">
        <v>45597</v>
      </c>
      <c r="B3" s="6" t="s">
        <v>8</v>
      </c>
      <c r="C3" s="6" t="s">
        <v>7</v>
      </c>
      <c r="D3" s="7">
        <v>5000</v>
      </c>
      <c r="E3" s="8">
        <v>3</v>
      </c>
      <c r="F3" s="56">
        <f>D3*E3</f>
        <v>15000</v>
      </c>
      <c r="G3" s="6"/>
      <c r="H3" s="9"/>
      <c r="I3" s="9">
        <f t="shared" ref="I3:I34" si="0">I2-F3+H3</f>
        <v>-15000</v>
      </c>
    </row>
    <row r="4" spans="1:10" x14ac:dyDescent="0.25">
      <c r="A4" s="44">
        <v>45601</v>
      </c>
      <c r="B4" s="6" t="s">
        <v>9</v>
      </c>
      <c r="C4" s="6" t="s">
        <v>7</v>
      </c>
      <c r="D4" s="7">
        <v>2000</v>
      </c>
      <c r="E4" s="8">
        <v>8.5</v>
      </c>
      <c r="F4" s="56">
        <f>D4*E4</f>
        <v>17000</v>
      </c>
      <c r="G4" s="6"/>
      <c r="H4" s="9"/>
      <c r="I4" s="9">
        <f t="shared" si="0"/>
        <v>-32000</v>
      </c>
    </row>
    <row r="5" spans="1:10" x14ac:dyDescent="0.25">
      <c r="A5" s="44">
        <v>45607</v>
      </c>
      <c r="B5" s="6" t="s">
        <v>11</v>
      </c>
      <c r="C5" s="6" t="s">
        <v>7</v>
      </c>
      <c r="D5" s="7">
        <v>999</v>
      </c>
      <c r="E5" s="8">
        <f>F5/D5</f>
        <v>16.016016016016017</v>
      </c>
      <c r="F5" s="56">
        <v>16000</v>
      </c>
      <c r="G5" s="6"/>
      <c r="H5" s="9"/>
      <c r="I5" s="9">
        <f t="shared" si="0"/>
        <v>-48000</v>
      </c>
      <c r="J5" s="12"/>
    </row>
    <row r="6" spans="1:10" x14ac:dyDescent="0.25">
      <c r="A6" s="44">
        <v>45624</v>
      </c>
      <c r="B6" s="6"/>
      <c r="C6" s="6"/>
      <c r="D6" s="7"/>
      <c r="E6" s="8"/>
      <c r="F6" s="56">
        <f t="shared" ref="F6:F19" si="1">D6*E6</f>
        <v>0</v>
      </c>
      <c r="G6" s="11">
        <v>45624</v>
      </c>
      <c r="H6" s="9">
        <v>144000</v>
      </c>
      <c r="I6" s="9">
        <f t="shared" si="0"/>
        <v>96000</v>
      </c>
    </row>
    <row r="7" spans="1:10" x14ac:dyDescent="0.25">
      <c r="A7" s="44"/>
      <c r="B7" s="6"/>
      <c r="C7" s="6"/>
      <c r="D7" s="7"/>
      <c r="E7" s="8"/>
      <c r="F7" s="31">
        <v>15000</v>
      </c>
      <c r="G7" s="11"/>
      <c r="H7" s="9"/>
      <c r="I7" s="9">
        <f t="shared" si="0"/>
        <v>81000</v>
      </c>
    </row>
    <row r="8" spans="1:10" x14ac:dyDescent="0.25">
      <c r="A8" s="45">
        <v>45508</v>
      </c>
      <c r="B8" s="6"/>
      <c r="C8" s="6" t="s">
        <v>12</v>
      </c>
      <c r="D8" s="7"/>
      <c r="E8" s="8"/>
      <c r="F8" s="31">
        <v>65000</v>
      </c>
      <c r="G8" s="6"/>
      <c r="H8" s="9"/>
      <c r="I8" s="9">
        <f t="shared" si="0"/>
        <v>16000</v>
      </c>
    </row>
    <row r="9" spans="1:10" x14ac:dyDescent="0.25">
      <c r="A9" s="46"/>
      <c r="B9" s="6"/>
      <c r="C9" s="6"/>
      <c r="D9" s="7"/>
      <c r="E9" s="8"/>
      <c r="F9" s="31">
        <v>16000</v>
      </c>
      <c r="G9" s="6"/>
      <c r="H9" s="9"/>
      <c r="I9" s="9">
        <f t="shared" si="0"/>
        <v>0</v>
      </c>
    </row>
    <row r="10" spans="1:10" x14ac:dyDescent="0.25">
      <c r="A10" s="47" t="s">
        <v>17</v>
      </c>
      <c r="B10" s="38"/>
      <c r="C10" s="38"/>
      <c r="D10" s="39"/>
      <c r="E10" s="40"/>
      <c r="F10" s="40">
        <f t="shared" si="1"/>
        <v>0</v>
      </c>
      <c r="G10" s="38"/>
      <c r="H10" s="41"/>
      <c r="I10" s="41">
        <f t="shared" si="0"/>
        <v>0</v>
      </c>
    </row>
    <row r="11" spans="1:10" x14ac:dyDescent="0.25">
      <c r="A11" s="55">
        <v>45674</v>
      </c>
      <c r="B11" s="52" t="s">
        <v>8</v>
      </c>
      <c r="C11" s="52" t="s">
        <v>18</v>
      </c>
      <c r="D11" s="53">
        <v>1</v>
      </c>
      <c r="E11" s="54">
        <v>11000</v>
      </c>
      <c r="F11" s="132">
        <f t="shared" si="1"/>
        <v>11000</v>
      </c>
      <c r="G11" s="6"/>
      <c r="H11" s="9"/>
      <c r="I11" s="9">
        <f t="shared" si="0"/>
        <v>-11000</v>
      </c>
    </row>
    <row r="12" spans="1:10" x14ac:dyDescent="0.25">
      <c r="A12" s="55">
        <v>45677</v>
      </c>
      <c r="B12" s="52"/>
      <c r="C12" s="52"/>
      <c r="D12" s="53"/>
      <c r="E12" s="54"/>
      <c r="F12" s="56">
        <f t="shared" si="1"/>
        <v>0</v>
      </c>
      <c r="G12" s="11">
        <v>45677</v>
      </c>
      <c r="H12" s="9">
        <v>31000</v>
      </c>
      <c r="I12" s="9">
        <f t="shared" si="0"/>
        <v>20000</v>
      </c>
    </row>
    <row r="13" spans="1:10" x14ac:dyDescent="0.25">
      <c r="A13" s="55">
        <v>45678</v>
      </c>
      <c r="B13" s="52" t="s">
        <v>20</v>
      </c>
      <c r="C13" s="52" t="s">
        <v>19</v>
      </c>
      <c r="D13" s="53">
        <v>1</v>
      </c>
      <c r="E13" s="54">
        <v>15000</v>
      </c>
      <c r="F13" s="56">
        <f t="shared" si="1"/>
        <v>15000</v>
      </c>
      <c r="G13" s="6"/>
      <c r="H13" s="9"/>
      <c r="I13" s="9">
        <f t="shared" si="0"/>
        <v>5000</v>
      </c>
    </row>
    <row r="14" spans="1:10" x14ac:dyDescent="0.25">
      <c r="A14" s="55">
        <v>45680</v>
      </c>
      <c r="B14" s="52" t="s">
        <v>21</v>
      </c>
      <c r="C14" s="52" t="s">
        <v>22</v>
      </c>
      <c r="D14" s="53">
        <v>1</v>
      </c>
      <c r="E14" s="54">
        <v>32000</v>
      </c>
      <c r="F14" s="132">
        <f t="shared" si="1"/>
        <v>32000</v>
      </c>
      <c r="G14" s="6"/>
      <c r="H14" s="9"/>
      <c r="I14" s="9">
        <f t="shared" si="0"/>
        <v>-27000</v>
      </c>
    </row>
    <row r="15" spans="1:10" x14ac:dyDescent="0.25">
      <c r="A15" s="55"/>
      <c r="B15" s="6" t="s">
        <v>8</v>
      </c>
      <c r="C15" s="6" t="s">
        <v>7</v>
      </c>
      <c r="D15" s="53">
        <v>9246</v>
      </c>
      <c r="E15" s="54">
        <f>F15/D15</f>
        <v>6.4892926670992859</v>
      </c>
      <c r="F15" s="132">
        <v>60000</v>
      </c>
      <c r="G15" s="6"/>
      <c r="H15" s="9"/>
      <c r="I15" s="9">
        <f t="shared" si="0"/>
        <v>-87000</v>
      </c>
    </row>
    <row r="16" spans="1:10" x14ac:dyDescent="0.25">
      <c r="A16" s="55">
        <v>45686</v>
      </c>
      <c r="B16" s="52" t="s">
        <v>8</v>
      </c>
      <c r="C16" s="52" t="s">
        <v>23</v>
      </c>
      <c r="D16" s="53">
        <v>3800</v>
      </c>
      <c r="E16" s="54">
        <f>F16/D16</f>
        <v>2.6315789473684212</v>
      </c>
      <c r="F16" s="132">
        <v>10000</v>
      </c>
      <c r="G16" s="6"/>
      <c r="H16" s="9"/>
      <c r="I16" s="9">
        <f t="shared" si="0"/>
        <v>-97000</v>
      </c>
    </row>
    <row r="17" spans="1:9" x14ac:dyDescent="0.25">
      <c r="A17" s="47">
        <v>45695</v>
      </c>
      <c r="B17" s="52" t="s">
        <v>24</v>
      </c>
      <c r="C17" s="52" t="s">
        <v>25</v>
      </c>
      <c r="D17" s="53">
        <v>10032</v>
      </c>
      <c r="E17" s="54">
        <f>F17/D17</f>
        <v>1.0964912280701755</v>
      </c>
      <c r="F17" s="132">
        <v>11000</v>
      </c>
      <c r="G17" s="6"/>
      <c r="H17" s="9"/>
      <c r="I17" s="9">
        <f t="shared" si="0"/>
        <v>-108000</v>
      </c>
    </row>
    <row r="18" spans="1:9" x14ac:dyDescent="0.25">
      <c r="A18" s="55">
        <v>45701</v>
      </c>
      <c r="B18" s="52" t="s">
        <v>24</v>
      </c>
      <c r="C18" s="52" t="s">
        <v>25</v>
      </c>
      <c r="D18" s="53">
        <v>9336</v>
      </c>
      <c r="E18" s="54">
        <f>F18/D18</f>
        <v>1.1782347900599828</v>
      </c>
      <c r="F18" s="132">
        <v>11000</v>
      </c>
      <c r="G18" s="6"/>
      <c r="H18" s="9"/>
      <c r="I18" s="9">
        <f t="shared" si="0"/>
        <v>-119000</v>
      </c>
    </row>
    <row r="19" spans="1:9" x14ac:dyDescent="0.25">
      <c r="A19" s="55"/>
      <c r="B19" s="52"/>
      <c r="C19" s="52"/>
      <c r="D19" s="53"/>
      <c r="E19" s="54"/>
      <c r="F19" s="56">
        <f t="shared" si="1"/>
        <v>0</v>
      </c>
      <c r="G19" s="11">
        <v>45708</v>
      </c>
      <c r="H19" s="9">
        <v>60000</v>
      </c>
      <c r="I19" s="9">
        <f t="shared" si="0"/>
        <v>-59000</v>
      </c>
    </row>
    <row r="20" spans="1:9" x14ac:dyDescent="0.25">
      <c r="A20" s="55">
        <v>45709</v>
      </c>
      <c r="B20" s="52" t="s">
        <v>24</v>
      </c>
      <c r="C20" s="52" t="s">
        <v>25</v>
      </c>
      <c r="D20" s="53">
        <v>15552</v>
      </c>
      <c r="E20" s="54">
        <f t="shared" ref="E20:E32" si="2">F20/D20</f>
        <v>0.70730452674897115</v>
      </c>
      <c r="F20" s="132">
        <v>11000</v>
      </c>
      <c r="G20" s="11"/>
      <c r="H20" s="9"/>
      <c r="I20" s="9">
        <f t="shared" si="0"/>
        <v>-70000</v>
      </c>
    </row>
    <row r="21" spans="1:9" x14ac:dyDescent="0.25">
      <c r="A21" s="55">
        <v>45712</v>
      </c>
      <c r="B21" s="52" t="s">
        <v>21</v>
      </c>
      <c r="C21" s="52" t="s">
        <v>22</v>
      </c>
      <c r="D21" s="53">
        <v>19000</v>
      </c>
      <c r="E21" s="54">
        <f t="shared" si="2"/>
        <v>1.6842105263157894</v>
      </c>
      <c r="F21" s="56">
        <v>32000</v>
      </c>
      <c r="G21" s="11">
        <v>45712</v>
      </c>
      <c r="H21" s="9">
        <v>32000</v>
      </c>
      <c r="I21" s="9">
        <f t="shared" si="0"/>
        <v>-70000</v>
      </c>
    </row>
    <row r="22" spans="1:9" x14ac:dyDescent="0.25">
      <c r="A22" s="44">
        <v>45714</v>
      </c>
      <c r="B22" s="52" t="s">
        <v>24</v>
      </c>
      <c r="C22" s="52" t="s">
        <v>25</v>
      </c>
      <c r="D22" s="7">
        <v>11232</v>
      </c>
      <c r="E22" s="8">
        <f t="shared" si="2"/>
        <v>1.3354700854700854</v>
      </c>
      <c r="F22" s="132">
        <v>15000</v>
      </c>
      <c r="G22" s="6"/>
      <c r="H22" s="9"/>
      <c r="I22" s="9">
        <f t="shared" si="0"/>
        <v>-85000</v>
      </c>
    </row>
    <row r="23" spans="1:9" ht="16.5" thickBot="1" x14ac:dyDescent="0.3">
      <c r="A23" s="44"/>
      <c r="B23" s="6" t="s">
        <v>8</v>
      </c>
      <c r="C23" s="6" t="s">
        <v>32</v>
      </c>
      <c r="D23" s="7">
        <v>2240</v>
      </c>
      <c r="E23" s="8">
        <f t="shared" si="2"/>
        <v>9.8214285714285712</v>
      </c>
      <c r="F23" s="138">
        <v>22000</v>
      </c>
      <c r="G23" s="6"/>
      <c r="H23" s="9"/>
      <c r="I23" s="9">
        <f t="shared" si="0"/>
        <v>-107000</v>
      </c>
    </row>
    <row r="24" spans="1:9" x14ac:dyDescent="0.25">
      <c r="A24" s="44">
        <v>45715</v>
      </c>
      <c r="B24" s="52" t="s">
        <v>24</v>
      </c>
      <c r="C24" s="52" t="s">
        <v>25</v>
      </c>
      <c r="D24" s="7">
        <v>21600</v>
      </c>
      <c r="E24" s="135">
        <f t="shared" si="2"/>
        <v>0.5092592592592593</v>
      </c>
      <c r="F24" s="139">
        <v>11000</v>
      </c>
      <c r="G24" s="106"/>
      <c r="H24" s="9"/>
      <c r="I24" s="9">
        <f t="shared" si="0"/>
        <v>-118000</v>
      </c>
    </row>
    <row r="25" spans="1:9" ht="16.5" thickBot="1" x14ac:dyDescent="0.3">
      <c r="A25" s="48"/>
      <c r="B25" s="14" t="s">
        <v>33</v>
      </c>
      <c r="C25" s="14" t="s">
        <v>25</v>
      </c>
      <c r="D25" s="15">
        <v>490</v>
      </c>
      <c r="E25" s="136">
        <f t="shared" si="2"/>
        <v>12.244897959183673</v>
      </c>
      <c r="F25" s="140">
        <v>6000</v>
      </c>
      <c r="G25" s="137"/>
      <c r="H25" s="70"/>
      <c r="I25" s="70">
        <f t="shared" si="0"/>
        <v>-124000</v>
      </c>
    </row>
    <row r="26" spans="1:9" x14ac:dyDescent="0.25">
      <c r="A26" s="65">
        <v>45721</v>
      </c>
      <c r="B26" s="66" t="s">
        <v>24</v>
      </c>
      <c r="C26" s="66" t="s">
        <v>25</v>
      </c>
      <c r="D26" s="19">
        <v>9504</v>
      </c>
      <c r="E26" s="20">
        <f t="shared" si="2"/>
        <v>1.3678451178451179</v>
      </c>
      <c r="F26" s="133">
        <v>13000</v>
      </c>
      <c r="G26" s="18"/>
      <c r="H26" s="68"/>
      <c r="I26" s="68">
        <f t="shared" si="0"/>
        <v>-137000</v>
      </c>
    </row>
    <row r="27" spans="1:9" x14ac:dyDescent="0.25">
      <c r="A27" s="44"/>
      <c r="B27" s="6"/>
      <c r="C27" s="6"/>
      <c r="D27" s="7"/>
      <c r="E27" s="8"/>
      <c r="F27" s="56">
        <f t="shared" ref="F27:F66" si="3">C27*E27+D27*E27</f>
        <v>0</v>
      </c>
      <c r="G27" s="11">
        <v>45722</v>
      </c>
      <c r="H27" s="9">
        <v>10000</v>
      </c>
      <c r="I27" s="9">
        <f t="shared" si="0"/>
        <v>-127000</v>
      </c>
    </row>
    <row r="28" spans="1:9" ht="16.5" thickBot="1" x14ac:dyDescent="0.3">
      <c r="A28" s="48">
        <v>45723</v>
      </c>
      <c r="B28" s="71" t="s">
        <v>24</v>
      </c>
      <c r="C28" s="71" t="s">
        <v>25</v>
      </c>
      <c r="D28" s="15">
        <v>17280</v>
      </c>
      <c r="E28" s="16">
        <f t="shared" si="2"/>
        <v>0.69444444444444442</v>
      </c>
      <c r="F28" s="134">
        <v>12000</v>
      </c>
      <c r="G28" s="14"/>
      <c r="H28" s="70"/>
      <c r="I28" s="70">
        <f t="shared" si="0"/>
        <v>-139000</v>
      </c>
    </row>
    <row r="29" spans="1:9" x14ac:dyDescent="0.25">
      <c r="A29" s="49">
        <v>45727</v>
      </c>
      <c r="B29" s="66" t="s">
        <v>24</v>
      </c>
      <c r="C29" s="66" t="s">
        <v>25</v>
      </c>
      <c r="D29" s="19">
        <v>13824</v>
      </c>
      <c r="E29" s="141">
        <f t="shared" si="2"/>
        <v>0.54253472222222221</v>
      </c>
      <c r="F29" s="139">
        <v>7500</v>
      </c>
      <c r="G29" s="142"/>
      <c r="H29" s="68"/>
      <c r="I29" s="68">
        <f t="shared" si="0"/>
        <v>-146500</v>
      </c>
    </row>
    <row r="30" spans="1:9" ht="16.5" thickBot="1" x14ac:dyDescent="0.3">
      <c r="A30" s="44"/>
      <c r="B30" s="6" t="s">
        <v>36</v>
      </c>
      <c r="C30" s="6" t="s">
        <v>37</v>
      </c>
      <c r="D30" s="7">
        <v>1440</v>
      </c>
      <c r="E30" s="135">
        <f t="shared" si="2"/>
        <v>5.208333333333333</v>
      </c>
      <c r="F30" s="140">
        <v>7500</v>
      </c>
      <c r="G30" s="106"/>
      <c r="H30" s="9"/>
      <c r="I30" s="9">
        <f t="shared" si="0"/>
        <v>-154000</v>
      </c>
    </row>
    <row r="31" spans="1:9" x14ac:dyDescent="0.25">
      <c r="A31" s="44">
        <v>45728</v>
      </c>
      <c r="B31" s="6" t="s">
        <v>39</v>
      </c>
      <c r="C31" s="6" t="s">
        <v>38</v>
      </c>
      <c r="D31" s="7"/>
      <c r="E31" s="8"/>
      <c r="F31" s="133">
        <v>36000</v>
      </c>
      <c r="G31" s="6"/>
      <c r="H31" s="9"/>
      <c r="I31" s="9">
        <f t="shared" si="0"/>
        <v>-190000</v>
      </c>
    </row>
    <row r="32" spans="1:9" x14ac:dyDescent="0.25">
      <c r="A32" s="44">
        <v>45730</v>
      </c>
      <c r="B32" s="52" t="s">
        <v>24</v>
      </c>
      <c r="C32" s="52" t="s">
        <v>25</v>
      </c>
      <c r="D32" s="7">
        <v>31104</v>
      </c>
      <c r="E32" s="8">
        <f t="shared" si="2"/>
        <v>0.48225308641975306</v>
      </c>
      <c r="F32" s="132">
        <v>15000</v>
      </c>
      <c r="G32" s="11">
        <v>45730</v>
      </c>
      <c r="H32" s="9">
        <v>11000</v>
      </c>
      <c r="I32" s="9">
        <f t="shared" si="0"/>
        <v>-194000</v>
      </c>
    </row>
    <row r="33" spans="1:9" ht="16.5" thickBot="1" x14ac:dyDescent="0.3">
      <c r="A33" s="48"/>
      <c r="B33" s="14" t="s">
        <v>8</v>
      </c>
      <c r="C33" s="14" t="s">
        <v>40</v>
      </c>
      <c r="D33" s="15"/>
      <c r="E33" s="16"/>
      <c r="F33" s="72">
        <v>0</v>
      </c>
      <c r="G33" s="13"/>
      <c r="H33" s="70"/>
      <c r="I33" s="70">
        <f t="shared" si="0"/>
        <v>-194000</v>
      </c>
    </row>
    <row r="34" spans="1:9" x14ac:dyDescent="0.25">
      <c r="A34" s="101">
        <v>45733</v>
      </c>
      <c r="B34" s="85"/>
      <c r="C34" s="85"/>
      <c r="D34" s="86"/>
      <c r="E34" s="87"/>
      <c r="F34" s="120">
        <f t="shared" si="3"/>
        <v>0</v>
      </c>
      <c r="G34" s="88">
        <v>45733</v>
      </c>
      <c r="H34" s="144">
        <v>8000</v>
      </c>
      <c r="I34" s="89">
        <f t="shared" si="0"/>
        <v>-186000</v>
      </c>
    </row>
    <row r="35" spans="1:9" ht="16.5" thickBot="1" x14ac:dyDescent="0.3">
      <c r="A35" s="102">
        <v>45735</v>
      </c>
      <c r="B35" s="52" t="s">
        <v>24</v>
      </c>
      <c r="C35" s="52" t="s">
        <v>25</v>
      </c>
      <c r="D35" s="7">
        <v>20736</v>
      </c>
      <c r="E35" s="8">
        <f t="shared" ref="E35:E39" si="4">F35/D35</f>
        <v>0.62692901234567899</v>
      </c>
      <c r="F35" s="138">
        <v>13000</v>
      </c>
      <c r="G35" s="6"/>
      <c r="H35" s="9"/>
      <c r="I35" s="100">
        <f t="shared" ref="I35:I66" si="5">I34-F35+H35</f>
        <v>-199000</v>
      </c>
    </row>
    <row r="36" spans="1:9" x14ac:dyDescent="0.25">
      <c r="A36" s="102">
        <v>45737</v>
      </c>
      <c r="B36" s="52" t="s">
        <v>24</v>
      </c>
      <c r="C36" s="52" t="s">
        <v>25</v>
      </c>
      <c r="D36" s="7">
        <v>27648</v>
      </c>
      <c r="E36" s="135">
        <f t="shared" si="4"/>
        <v>0.54253472222222221</v>
      </c>
      <c r="F36" s="139">
        <v>15000</v>
      </c>
      <c r="G36" s="106"/>
      <c r="H36" s="9"/>
      <c r="I36" s="100">
        <f t="shared" si="5"/>
        <v>-214000</v>
      </c>
    </row>
    <row r="37" spans="1:9" ht="16.5" thickBot="1" x14ac:dyDescent="0.3">
      <c r="A37" s="103"/>
      <c r="B37" s="14" t="s">
        <v>43</v>
      </c>
      <c r="C37" s="71" t="s">
        <v>25</v>
      </c>
      <c r="D37" s="15">
        <v>25920</v>
      </c>
      <c r="E37" s="136">
        <f t="shared" si="4"/>
        <v>0.57870370370370372</v>
      </c>
      <c r="F37" s="140">
        <v>15000</v>
      </c>
      <c r="G37" s="137"/>
      <c r="H37" s="70"/>
      <c r="I37" s="92">
        <f t="shared" si="5"/>
        <v>-229000</v>
      </c>
    </row>
    <row r="38" spans="1:9" x14ac:dyDescent="0.25">
      <c r="A38" s="49"/>
      <c r="B38" s="18"/>
      <c r="C38" s="18"/>
      <c r="D38" s="19"/>
      <c r="E38" s="20"/>
      <c r="F38" s="67">
        <f t="shared" si="3"/>
        <v>0</v>
      </c>
      <c r="G38" s="21">
        <v>45741</v>
      </c>
      <c r="H38" s="68">
        <v>22000</v>
      </c>
      <c r="I38" s="68">
        <f t="shared" si="5"/>
        <v>-207000</v>
      </c>
    </row>
    <row r="39" spans="1:9" x14ac:dyDescent="0.25">
      <c r="A39" s="44">
        <v>45742</v>
      </c>
      <c r="B39" s="6" t="s">
        <v>43</v>
      </c>
      <c r="C39" s="6" t="s">
        <v>25</v>
      </c>
      <c r="D39" s="7">
        <v>20160</v>
      </c>
      <c r="E39" s="8">
        <f t="shared" si="4"/>
        <v>0.94246031746031744</v>
      </c>
      <c r="F39" s="132">
        <v>19000</v>
      </c>
      <c r="G39" s="6"/>
      <c r="H39" s="9"/>
      <c r="I39" s="9">
        <f t="shared" si="5"/>
        <v>-226000</v>
      </c>
    </row>
    <row r="40" spans="1:9" x14ac:dyDescent="0.25">
      <c r="A40" s="44"/>
      <c r="B40" s="6" t="s">
        <v>8</v>
      </c>
      <c r="C40" s="6" t="s">
        <v>25</v>
      </c>
      <c r="D40" s="7">
        <v>5000</v>
      </c>
      <c r="E40" s="8">
        <f t="shared" ref="E40" si="6">F40/D40</f>
        <v>5</v>
      </c>
      <c r="F40" s="132">
        <v>25000</v>
      </c>
      <c r="G40" s="6"/>
      <c r="H40" s="9"/>
      <c r="I40" s="9">
        <f t="shared" si="5"/>
        <v>-251000</v>
      </c>
    </row>
    <row r="41" spans="1:9" x14ac:dyDescent="0.25">
      <c r="A41" s="44"/>
      <c r="B41" s="6"/>
      <c r="C41" s="6"/>
      <c r="D41" s="7"/>
      <c r="E41" s="20"/>
      <c r="F41" s="56">
        <f t="shared" si="3"/>
        <v>0</v>
      </c>
      <c r="G41" s="11">
        <v>45743</v>
      </c>
      <c r="H41" s="9">
        <v>26000</v>
      </c>
      <c r="I41" s="9">
        <f t="shared" si="5"/>
        <v>-225000</v>
      </c>
    </row>
    <row r="42" spans="1:9" ht="16.5" thickBot="1" x14ac:dyDescent="0.3">
      <c r="A42" s="121" t="s">
        <v>45</v>
      </c>
      <c r="B42" s="74" t="s">
        <v>54</v>
      </c>
      <c r="C42" s="74"/>
      <c r="D42" s="75"/>
      <c r="E42" s="76"/>
      <c r="F42" s="76">
        <f t="shared" si="3"/>
        <v>0</v>
      </c>
      <c r="G42" s="74"/>
      <c r="H42" s="77">
        <v>-38000</v>
      </c>
      <c r="I42" s="77">
        <f t="shared" si="5"/>
        <v>-263000</v>
      </c>
    </row>
    <row r="43" spans="1:9" x14ac:dyDescent="0.25">
      <c r="A43" s="101"/>
      <c r="B43" s="146" t="s">
        <v>55</v>
      </c>
      <c r="C43" s="85"/>
      <c r="D43" s="86"/>
      <c r="E43" s="87"/>
      <c r="F43" s="120">
        <f t="shared" si="3"/>
        <v>0</v>
      </c>
      <c r="G43" s="88">
        <v>45750</v>
      </c>
      <c r="H43" s="144">
        <v>22000</v>
      </c>
      <c r="I43" s="89">
        <f t="shared" si="5"/>
        <v>-241000</v>
      </c>
    </row>
    <row r="44" spans="1:9" ht="16.5" thickBot="1" x14ac:dyDescent="0.3">
      <c r="A44" s="103">
        <v>45751</v>
      </c>
      <c r="B44" s="14" t="s">
        <v>43</v>
      </c>
      <c r="C44" s="14" t="s">
        <v>25</v>
      </c>
      <c r="D44" s="15">
        <v>20160</v>
      </c>
      <c r="E44" s="16">
        <f t="shared" ref="E44:E47" si="7">F44/D44</f>
        <v>0.94246031746031744</v>
      </c>
      <c r="F44" s="69">
        <v>19000</v>
      </c>
      <c r="G44" s="14"/>
      <c r="H44" s="70"/>
      <c r="I44" s="92">
        <f t="shared" si="5"/>
        <v>-260000</v>
      </c>
    </row>
    <row r="45" spans="1:9" x14ac:dyDescent="0.25">
      <c r="A45" s="101">
        <v>45755</v>
      </c>
      <c r="B45" s="85" t="s">
        <v>43</v>
      </c>
      <c r="C45" s="85" t="s">
        <v>25</v>
      </c>
      <c r="D45" s="86">
        <v>7200</v>
      </c>
      <c r="E45" s="87">
        <f t="shared" si="7"/>
        <v>1.6666666666666667</v>
      </c>
      <c r="F45" s="120">
        <v>12000</v>
      </c>
      <c r="G45" s="88">
        <v>45755</v>
      </c>
      <c r="H45" s="144">
        <v>49000</v>
      </c>
      <c r="I45" s="89">
        <f t="shared" si="5"/>
        <v>-223000</v>
      </c>
    </row>
    <row r="46" spans="1:9" x14ac:dyDescent="0.25">
      <c r="A46" s="102">
        <v>45756</v>
      </c>
      <c r="B46" s="52" t="s">
        <v>21</v>
      </c>
      <c r="C46" s="52" t="s">
        <v>22</v>
      </c>
      <c r="D46" s="7">
        <v>14000</v>
      </c>
      <c r="E46" s="8">
        <f t="shared" si="7"/>
        <v>2.2857142857142856</v>
      </c>
      <c r="F46" s="56">
        <v>32000</v>
      </c>
      <c r="G46" s="11"/>
      <c r="H46" s="9"/>
      <c r="I46" s="100">
        <f t="shared" si="5"/>
        <v>-255000</v>
      </c>
    </row>
    <row r="47" spans="1:9" x14ac:dyDescent="0.25">
      <c r="A47" s="102">
        <v>45757</v>
      </c>
      <c r="B47" s="6" t="s">
        <v>8</v>
      </c>
      <c r="C47" s="6" t="s">
        <v>7</v>
      </c>
      <c r="D47" s="7">
        <v>5000</v>
      </c>
      <c r="E47" s="8">
        <f t="shared" si="7"/>
        <v>4</v>
      </c>
      <c r="F47" s="56">
        <v>20000</v>
      </c>
      <c r="G47" s="11"/>
      <c r="H47" s="9"/>
      <c r="I47" s="100">
        <f t="shared" si="5"/>
        <v>-275000</v>
      </c>
    </row>
    <row r="48" spans="1:9" x14ac:dyDescent="0.25">
      <c r="A48" s="102"/>
      <c r="B48" s="6"/>
      <c r="C48" s="6"/>
      <c r="D48" s="7"/>
      <c r="E48" s="8"/>
      <c r="F48" s="56">
        <f t="shared" si="3"/>
        <v>0</v>
      </c>
      <c r="G48" s="11">
        <v>45758</v>
      </c>
      <c r="H48" s="9">
        <v>25000</v>
      </c>
      <c r="I48" s="100">
        <f t="shared" si="5"/>
        <v>-250000</v>
      </c>
    </row>
    <row r="49" spans="1:9" x14ac:dyDescent="0.25">
      <c r="A49" s="102"/>
      <c r="B49" s="6"/>
      <c r="C49" s="6"/>
      <c r="D49" s="7"/>
      <c r="E49" s="8"/>
      <c r="F49" s="56">
        <f t="shared" si="3"/>
        <v>0</v>
      </c>
      <c r="G49" s="11">
        <v>45762</v>
      </c>
      <c r="H49" s="9">
        <v>15000</v>
      </c>
      <c r="I49" s="100">
        <f t="shared" si="5"/>
        <v>-235000</v>
      </c>
    </row>
    <row r="50" spans="1:9" ht="16.5" thickBot="1" x14ac:dyDescent="0.3">
      <c r="A50" s="103">
        <v>45763</v>
      </c>
      <c r="B50" s="14" t="s">
        <v>43</v>
      </c>
      <c r="C50" s="14" t="s">
        <v>25</v>
      </c>
      <c r="D50" s="15">
        <v>43200</v>
      </c>
      <c r="E50" s="16">
        <f t="shared" ref="E50" si="8">F50/D50</f>
        <v>0.67129629629629628</v>
      </c>
      <c r="F50" s="69">
        <v>29000</v>
      </c>
      <c r="G50" s="13">
        <v>45763</v>
      </c>
      <c r="H50" s="70">
        <v>17000</v>
      </c>
      <c r="I50" s="92">
        <f t="shared" si="5"/>
        <v>-247000</v>
      </c>
    </row>
    <row r="51" spans="1:9" x14ac:dyDescent="0.25">
      <c r="A51" s="101"/>
      <c r="B51" s="85"/>
      <c r="C51" s="85"/>
      <c r="D51" s="86"/>
      <c r="E51" s="87"/>
      <c r="F51" s="120">
        <f t="shared" si="3"/>
        <v>0</v>
      </c>
      <c r="G51" s="88">
        <v>45769</v>
      </c>
      <c r="H51" s="144">
        <v>43000</v>
      </c>
      <c r="I51" s="89">
        <f t="shared" si="5"/>
        <v>-204000</v>
      </c>
    </row>
    <row r="52" spans="1:9" x14ac:dyDescent="0.25">
      <c r="A52" s="102">
        <v>45770</v>
      </c>
      <c r="B52" s="6" t="s">
        <v>43</v>
      </c>
      <c r="C52" s="6" t="s">
        <v>25</v>
      </c>
      <c r="D52" s="7"/>
      <c r="E52" s="8"/>
      <c r="F52" s="56">
        <v>18000</v>
      </c>
      <c r="G52" s="6"/>
      <c r="H52" s="9"/>
      <c r="I52" s="100">
        <f t="shared" si="5"/>
        <v>-222000</v>
      </c>
    </row>
    <row r="53" spans="1:9" x14ac:dyDescent="0.25">
      <c r="A53" s="102"/>
      <c r="B53" s="6" t="s">
        <v>8</v>
      </c>
      <c r="C53" s="6" t="s">
        <v>52</v>
      </c>
      <c r="D53" s="7"/>
      <c r="E53" s="8"/>
      <c r="F53" s="56">
        <v>20000</v>
      </c>
      <c r="G53" s="6"/>
      <c r="H53" s="9"/>
      <c r="I53" s="100">
        <f t="shared" si="5"/>
        <v>-242000</v>
      </c>
    </row>
    <row r="54" spans="1:9" x14ac:dyDescent="0.25">
      <c r="A54" s="102">
        <v>45776</v>
      </c>
      <c r="B54" s="6" t="s">
        <v>43</v>
      </c>
      <c r="C54" s="6" t="s">
        <v>25</v>
      </c>
      <c r="D54" s="7">
        <v>10080</v>
      </c>
      <c r="E54" s="8">
        <f t="shared" ref="E54:E55" si="9">F54/D54</f>
        <v>1.3888888888888888</v>
      </c>
      <c r="F54" s="56">
        <v>14000</v>
      </c>
      <c r="G54" s="6"/>
      <c r="H54" s="9"/>
      <c r="I54" s="100">
        <f t="shared" si="5"/>
        <v>-256000</v>
      </c>
    </row>
    <row r="55" spans="1:9" ht="16.5" thickBot="1" x14ac:dyDescent="0.3">
      <c r="A55" s="103"/>
      <c r="B55" s="14" t="s">
        <v>21</v>
      </c>
      <c r="C55" s="71" t="s">
        <v>22</v>
      </c>
      <c r="D55" s="15">
        <v>20000</v>
      </c>
      <c r="E55" s="16">
        <f t="shared" si="9"/>
        <v>2.5</v>
      </c>
      <c r="F55" s="69">
        <v>50000</v>
      </c>
      <c r="G55" s="14"/>
      <c r="H55" s="70"/>
      <c r="I55" s="92">
        <f t="shared" si="5"/>
        <v>-306000</v>
      </c>
    </row>
    <row r="56" spans="1:9" x14ac:dyDescent="0.25">
      <c r="A56" s="175"/>
      <c r="B56" s="115"/>
      <c r="C56" s="115"/>
      <c r="D56" s="116"/>
      <c r="E56" s="117"/>
      <c r="F56" s="117">
        <f t="shared" si="3"/>
        <v>0</v>
      </c>
      <c r="G56" s="115"/>
      <c r="H56" s="118"/>
      <c r="I56" s="118">
        <f t="shared" si="5"/>
        <v>-306000</v>
      </c>
    </row>
    <row r="57" spans="1:9" x14ac:dyDescent="0.25">
      <c r="A57" s="44">
        <v>45784</v>
      </c>
      <c r="B57" s="6"/>
      <c r="C57" s="6"/>
      <c r="D57" s="7"/>
      <c r="E57" s="8"/>
      <c r="F57" s="56">
        <f t="shared" si="3"/>
        <v>0</v>
      </c>
      <c r="G57" s="11">
        <v>45784</v>
      </c>
      <c r="H57" s="9">
        <v>44000</v>
      </c>
      <c r="I57" s="9">
        <f t="shared" si="5"/>
        <v>-262000</v>
      </c>
    </row>
    <row r="58" spans="1:9" x14ac:dyDescent="0.25">
      <c r="A58" s="43" t="s">
        <v>60</v>
      </c>
      <c r="B58" s="6" t="s">
        <v>8</v>
      </c>
      <c r="C58" s="6" t="s">
        <v>7</v>
      </c>
      <c r="D58" s="7">
        <v>5000</v>
      </c>
      <c r="E58" s="8">
        <f t="shared" ref="E58:E59" si="10">F58/D58</f>
        <v>3.8</v>
      </c>
      <c r="F58" s="56">
        <v>19000</v>
      </c>
      <c r="G58" s="6"/>
      <c r="H58" s="9"/>
      <c r="I58" s="9">
        <f t="shared" si="5"/>
        <v>-281000</v>
      </c>
    </row>
    <row r="59" spans="1:9" x14ac:dyDescent="0.25">
      <c r="A59" s="44">
        <v>45790</v>
      </c>
      <c r="B59" s="6" t="s">
        <v>43</v>
      </c>
      <c r="C59" s="6" t="s">
        <v>25</v>
      </c>
      <c r="D59" s="7">
        <v>11520</v>
      </c>
      <c r="E59" s="8">
        <f t="shared" si="10"/>
        <v>1.2152777777777777</v>
      </c>
      <c r="F59" s="56">
        <v>14000</v>
      </c>
      <c r="G59" s="6"/>
      <c r="H59" s="9"/>
      <c r="I59" s="9">
        <f t="shared" si="5"/>
        <v>-295000</v>
      </c>
    </row>
    <row r="60" spans="1:9" x14ac:dyDescent="0.25">
      <c r="A60" s="43" t="s">
        <v>70</v>
      </c>
      <c r="B60" s="195" t="s">
        <v>71</v>
      </c>
      <c r="C60" s="6"/>
      <c r="D60" s="7"/>
      <c r="E60" s="8"/>
      <c r="F60" s="56">
        <v>16000</v>
      </c>
      <c r="G60" s="11">
        <v>45793</v>
      </c>
      <c r="H60" s="9">
        <v>64000</v>
      </c>
      <c r="I60" s="9">
        <f t="shared" si="5"/>
        <v>-247000</v>
      </c>
    </row>
    <row r="61" spans="1:9" x14ac:dyDescent="0.25">
      <c r="A61" s="43" t="s">
        <v>72</v>
      </c>
      <c r="B61" s="196" t="s">
        <v>21</v>
      </c>
      <c r="C61" s="6"/>
      <c r="D61" s="7"/>
      <c r="E61" s="8"/>
      <c r="F61" s="199">
        <v>400000</v>
      </c>
      <c r="G61" s="6" t="s">
        <v>63</v>
      </c>
      <c r="H61" s="9">
        <v>52000</v>
      </c>
      <c r="I61" s="9">
        <f t="shared" si="5"/>
        <v>-595000</v>
      </c>
    </row>
    <row r="62" spans="1:9" x14ac:dyDescent="0.25">
      <c r="A62" s="43"/>
      <c r="B62" s="196"/>
      <c r="C62" s="6"/>
      <c r="D62" s="7"/>
      <c r="E62" s="8"/>
      <c r="F62" s="199"/>
      <c r="G62" s="6" t="s">
        <v>77</v>
      </c>
      <c r="H62" s="9">
        <v>29000</v>
      </c>
      <c r="I62" s="9">
        <f t="shared" si="5"/>
        <v>-566000</v>
      </c>
    </row>
    <row r="63" spans="1:9" x14ac:dyDescent="0.25">
      <c r="A63" s="43"/>
      <c r="B63" s="6"/>
      <c r="C63" s="6"/>
      <c r="D63" s="7"/>
      <c r="E63" s="8"/>
      <c r="F63" s="56">
        <f t="shared" si="3"/>
        <v>0</v>
      </c>
      <c r="G63" s="6" t="s">
        <v>72</v>
      </c>
      <c r="H63" s="9">
        <v>20000</v>
      </c>
      <c r="I63" s="9">
        <f t="shared" si="5"/>
        <v>-546000</v>
      </c>
    </row>
    <row r="64" spans="1:9" x14ac:dyDescent="0.25">
      <c r="A64" s="43"/>
      <c r="B64" s="6"/>
      <c r="C64" s="6"/>
      <c r="D64" s="7"/>
      <c r="E64" s="8"/>
      <c r="F64" s="56">
        <f t="shared" si="3"/>
        <v>0</v>
      </c>
      <c r="G64" s="6"/>
      <c r="H64" s="9"/>
      <c r="I64" s="9">
        <f t="shared" si="5"/>
        <v>-546000</v>
      </c>
    </row>
    <row r="65" spans="1:9" x14ac:dyDescent="0.25">
      <c r="A65" s="43"/>
      <c r="B65" s="6"/>
      <c r="C65" s="6"/>
      <c r="D65" s="7"/>
      <c r="E65" s="8"/>
      <c r="F65" s="56">
        <f t="shared" si="3"/>
        <v>0</v>
      </c>
      <c r="G65" s="6"/>
      <c r="H65" s="9"/>
      <c r="I65" s="9">
        <f t="shared" si="5"/>
        <v>-546000</v>
      </c>
    </row>
    <row r="66" spans="1:9" x14ac:dyDescent="0.25">
      <c r="A66" s="43"/>
      <c r="B66" s="6"/>
      <c r="C66" s="6"/>
      <c r="D66" s="7"/>
      <c r="E66" s="8"/>
      <c r="F66" s="56">
        <f t="shared" si="3"/>
        <v>0</v>
      </c>
      <c r="G66" s="6"/>
      <c r="H66" s="9"/>
      <c r="I66" s="9">
        <f t="shared" si="5"/>
        <v>-546000</v>
      </c>
    </row>
    <row r="67" spans="1:9" s="25" customFormat="1" x14ac:dyDescent="0.25">
      <c r="A67" s="50"/>
      <c r="B67" s="22"/>
      <c r="C67" s="22">
        <f>SUM(C4:C66)</f>
        <v>0</v>
      </c>
      <c r="D67" s="23"/>
      <c r="E67" s="24"/>
      <c r="F67" s="24"/>
      <c r="G67" s="22"/>
      <c r="H67" s="145"/>
      <c r="I67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pane ySplit="1" topLeftCell="A2" activePane="bottomLeft" state="frozen"/>
      <selection pane="bottomLeft" activeCell="O23" sqref="O23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1.28515625" style="37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32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33"/>
      <c r="D2" s="7"/>
      <c r="E2" s="8"/>
      <c r="F2" s="6"/>
      <c r="G2" s="6"/>
      <c r="H2" s="8"/>
      <c r="I2" s="9">
        <v>0</v>
      </c>
    </row>
    <row r="3" spans="1:10" x14ac:dyDescent="0.25">
      <c r="A3" s="11"/>
      <c r="B3" s="6"/>
      <c r="C3" s="33"/>
      <c r="D3" s="7"/>
      <c r="E3" s="8"/>
      <c r="F3" s="8">
        <f>D3*E3</f>
        <v>0</v>
      </c>
      <c r="G3" s="11">
        <v>45629</v>
      </c>
      <c r="H3" s="8">
        <v>17081.66</v>
      </c>
      <c r="I3" s="9">
        <f t="shared" ref="I3:I34" si="0">I2-F3+H3</f>
        <v>17081.66</v>
      </c>
    </row>
    <row r="4" spans="1:10" x14ac:dyDescent="0.25">
      <c r="A4" s="11">
        <v>45628</v>
      </c>
      <c r="B4" s="6" t="s">
        <v>15</v>
      </c>
      <c r="C4" s="33" t="s">
        <v>16</v>
      </c>
      <c r="D4" s="7">
        <v>560</v>
      </c>
      <c r="E4" s="8">
        <v>23.523213999999999</v>
      </c>
      <c r="F4" s="8">
        <f>D4*E4</f>
        <v>13172.99984</v>
      </c>
      <c r="G4" s="6"/>
      <c r="H4" s="8"/>
      <c r="I4" s="9">
        <f t="shared" si="0"/>
        <v>3908.6601599999995</v>
      </c>
    </row>
    <row r="5" spans="1:10" x14ac:dyDescent="0.25">
      <c r="A5" s="176"/>
      <c r="B5" s="38"/>
      <c r="C5" s="177"/>
      <c r="D5" s="39"/>
      <c r="E5" s="40"/>
      <c r="F5" s="40">
        <f>D5*E5</f>
        <v>0</v>
      </c>
      <c r="G5" s="38"/>
      <c r="H5" s="40"/>
      <c r="I5" s="41">
        <f t="shared" si="0"/>
        <v>3908.6601599999995</v>
      </c>
      <c r="J5" s="12"/>
    </row>
    <row r="6" spans="1:10" x14ac:dyDescent="0.25">
      <c r="A6" s="11"/>
      <c r="B6" s="6"/>
      <c r="C6" s="33"/>
      <c r="D6" s="7"/>
      <c r="E6" s="8"/>
      <c r="F6" s="8">
        <f t="shared" ref="F6:F23" si="1">D6*E6</f>
        <v>0</v>
      </c>
      <c r="G6" s="11"/>
      <c r="H6" s="8"/>
      <c r="I6" s="9">
        <f t="shared" si="0"/>
        <v>3908.6601599999995</v>
      </c>
    </row>
    <row r="7" spans="1:10" x14ac:dyDescent="0.25">
      <c r="A7" s="11"/>
      <c r="B7" s="6"/>
      <c r="C7" s="33"/>
      <c r="D7" s="7"/>
      <c r="E7" s="8"/>
      <c r="F7" s="8">
        <f t="shared" si="1"/>
        <v>0</v>
      </c>
      <c r="G7" s="6"/>
      <c r="H7" s="8"/>
      <c r="I7" s="9">
        <f t="shared" si="0"/>
        <v>3908.6601599999995</v>
      </c>
    </row>
    <row r="8" spans="1:10" x14ac:dyDescent="0.25">
      <c r="A8" s="11"/>
      <c r="B8" s="6"/>
      <c r="C8" s="33"/>
      <c r="D8" s="7"/>
      <c r="E8" s="8"/>
      <c r="F8" s="8">
        <f t="shared" si="1"/>
        <v>0</v>
      </c>
      <c r="G8" s="6"/>
      <c r="H8" s="8"/>
      <c r="I8" s="9">
        <f t="shared" si="0"/>
        <v>3908.6601599999995</v>
      </c>
    </row>
    <row r="9" spans="1:10" x14ac:dyDescent="0.25">
      <c r="A9" s="11"/>
      <c r="B9" s="6"/>
      <c r="C9" s="33"/>
      <c r="D9" s="7"/>
      <c r="E9" s="8"/>
      <c r="F9" s="8">
        <f t="shared" si="1"/>
        <v>0</v>
      </c>
      <c r="G9" s="6"/>
      <c r="H9" s="8"/>
      <c r="I9" s="9">
        <f t="shared" si="0"/>
        <v>3908.6601599999995</v>
      </c>
    </row>
    <row r="10" spans="1:10" x14ac:dyDescent="0.25">
      <c r="A10" s="11"/>
      <c r="B10" s="6"/>
      <c r="C10" s="33"/>
      <c r="D10" s="7"/>
      <c r="E10" s="8"/>
      <c r="F10" s="8">
        <f t="shared" si="1"/>
        <v>0</v>
      </c>
      <c r="G10" s="6"/>
      <c r="H10" s="8"/>
      <c r="I10" s="9">
        <f t="shared" si="0"/>
        <v>3908.6601599999995</v>
      </c>
    </row>
    <row r="11" spans="1:10" x14ac:dyDescent="0.25">
      <c r="A11" s="11"/>
      <c r="B11" s="6"/>
      <c r="C11" s="33"/>
      <c r="D11" s="7"/>
      <c r="E11" s="8"/>
      <c r="F11" s="8">
        <f t="shared" si="1"/>
        <v>0</v>
      </c>
      <c r="G11" s="6"/>
      <c r="H11" s="8"/>
      <c r="I11" s="9">
        <f t="shared" si="0"/>
        <v>3908.6601599999995</v>
      </c>
    </row>
    <row r="12" spans="1:10" x14ac:dyDescent="0.25">
      <c r="A12" s="11"/>
      <c r="B12" s="6"/>
      <c r="C12" s="33"/>
      <c r="D12" s="7"/>
      <c r="E12" s="8"/>
      <c r="F12" s="8">
        <f t="shared" si="1"/>
        <v>0</v>
      </c>
      <c r="G12" s="6"/>
      <c r="H12" s="8"/>
      <c r="I12" s="9">
        <f t="shared" si="0"/>
        <v>3908.6601599999995</v>
      </c>
    </row>
    <row r="13" spans="1:10" x14ac:dyDescent="0.25">
      <c r="A13" s="11"/>
      <c r="B13" s="6"/>
      <c r="C13" s="33"/>
      <c r="D13" s="7"/>
      <c r="E13" s="8"/>
      <c r="F13" s="8">
        <f t="shared" si="1"/>
        <v>0</v>
      </c>
      <c r="G13" s="6"/>
      <c r="H13" s="8"/>
      <c r="I13" s="9">
        <f t="shared" si="0"/>
        <v>3908.6601599999995</v>
      </c>
    </row>
    <row r="14" spans="1:10" x14ac:dyDescent="0.25">
      <c r="A14" s="11"/>
      <c r="B14" s="6"/>
      <c r="C14" s="33"/>
      <c r="D14" s="7"/>
      <c r="E14" s="8"/>
      <c r="F14" s="8">
        <f t="shared" si="1"/>
        <v>0</v>
      </c>
      <c r="G14" s="6"/>
      <c r="H14" s="8"/>
      <c r="I14" s="9">
        <f t="shared" si="0"/>
        <v>3908.6601599999995</v>
      </c>
    </row>
    <row r="15" spans="1:10" ht="16.5" thickBot="1" x14ac:dyDescent="0.3">
      <c r="A15" s="13"/>
      <c r="B15" s="14"/>
      <c r="C15" s="34"/>
      <c r="D15" s="15"/>
      <c r="E15" s="16"/>
      <c r="F15" s="8">
        <f t="shared" si="1"/>
        <v>0</v>
      </c>
      <c r="G15" s="14"/>
      <c r="H15" s="16"/>
      <c r="I15" s="9">
        <f t="shared" si="0"/>
        <v>3908.6601599999995</v>
      </c>
    </row>
    <row r="16" spans="1:10" x14ac:dyDescent="0.25">
      <c r="A16" s="17"/>
      <c r="B16" s="18"/>
      <c r="C16" s="35"/>
      <c r="D16" s="19"/>
      <c r="E16" s="20"/>
      <c r="F16" s="8">
        <f t="shared" si="1"/>
        <v>0</v>
      </c>
      <c r="G16" s="18"/>
      <c r="H16" s="20"/>
      <c r="I16" s="9">
        <f t="shared" si="0"/>
        <v>3908.6601599999995</v>
      </c>
    </row>
    <row r="17" spans="1:9" x14ac:dyDescent="0.25">
      <c r="A17" s="11"/>
      <c r="B17" s="6"/>
      <c r="C17" s="33"/>
      <c r="D17" s="7"/>
      <c r="E17" s="8"/>
      <c r="F17" s="8">
        <f t="shared" si="1"/>
        <v>0</v>
      </c>
      <c r="G17" s="6"/>
      <c r="H17" s="8"/>
      <c r="I17" s="9">
        <f t="shared" si="0"/>
        <v>3908.6601599999995</v>
      </c>
    </row>
    <row r="18" spans="1:9" x14ac:dyDescent="0.25">
      <c r="A18" s="11"/>
      <c r="B18" s="6"/>
      <c r="C18" s="33"/>
      <c r="D18" s="7"/>
      <c r="E18" s="8"/>
      <c r="F18" s="8">
        <f t="shared" si="1"/>
        <v>0</v>
      </c>
      <c r="G18" s="6"/>
      <c r="H18" s="8"/>
      <c r="I18" s="9">
        <f t="shared" si="0"/>
        <v>3908.6601599999995</v>
      </c>
    </row>
    <row r="19" spans="1:9" x14ac:dyDescent="0.25">
      <c r="A19" s="11"/>
      <c r="B19" s="6"/>
      <c r="C19" s="33"/>
      <c r="D19" s="7"/>
      <c r="E19" s="8"/>
      <c r="F19" s="8">
        <f t="shared" si="1"/>
        <v>0</v>
      </c>
      <c r="G19" s="11"/>
      <c r="H19" s="8"/>
      <c r="I19" s="9">
        <f t="shared" si="0"/>
        <v>3908.6601599999995</v>
      </c>
    </row>
    <row r="20" spans="1:9" x14ac:dyDescent="0.25">
      <c r="A20" s="6"/>
      <c r="B20" s="6"/>
      <c r="C20" s="33"/>
      <c r="D20" s="7"/>
      <c r="E20" s="8"/>
      <c r="F20" s="8">
        <f t="shared" si="1"/>
        <v>0</v>
      </c>
      <c r="G20" s="11"/>
      <c r="H20" s="8"/>
      <c r="I20" s="9">
        <f t="shared" si="0"/>
        <v>3908.6601599999995</v>
      </c>
    </row>
    <row r="21" spans="1:9" x14ac:dyDescent="0.25">
      <c r="A21" s="11"/>
      <c r="B21" s="6"/>
      <c r="C21" s="33"/>
      <c r="D21" s="7"/>
      <c r="E21" s="8"/>
      <c r="F21" s="8">
        <f t="shared" si="1"/>
        <v>0</v>
      </c>
      <c r="G21" s="6"/>
      <c r="H21" s="8"/>
      <c r="I21" s="9">
        <f t="shared" si="0"/>
        <v>3908.6601599999995</v>
      </c>
    </row>
    <row r="22" spans="1:9" x14ac:dyDescent="0.25">
      <c r="A22" s="11"/>
      <c r="B22" s="6"/>
      <c r="C22" s="33"/>
      <c r="D22" s="7"/>
      <c r="E22" s="8"/>
      <c r="F22" s="8">
        <f t="shared" si="1"/>
        <v>0</v>
      </c>
      <c r="G22" s="6"/>
      <c r="H22" s="8"/>
      <c r="I22" s="9">
        <f t="shared" si="0"/>
        <v>3908.6601599999995</v>
      </c>
    </row>
    <row r="23" spans="1:9" x14ac:dyDescent="0.25">
      <c r="A23" s="11"/>
      <c r="B23" s="6"/>
      <c r="C23" s="33"/>
      <c r="D23" s="7"/>
      <c r="E23" s="8"/>
      <c r="F23" s="8">
        <f t="shared" si="1"/>
        <v>0</v>
      </c>
      <c r="G23" s="6"/>
      <c r="H23" s="8"/>
      <c r="I23" s="9">
        <f t="shared" si="0"/>
        <v>3908.6601599999995</v>
      </c>
    </row>
    <row r="24" spans="1:9" x14ac:dyDescent="0.25">
      <c r="A24" s="11"/>
      <c r="B24" s="6"/>
      <c r="C24" s="33"/>
      <c r="D24" s="7"/>
      <c r="E24" s="8"/>
      <c r="F24" s="8">
        <f t="shared" ref="F24:F56" si="2">C24*E24+D24*E24</f>
        <v>0</v>
      </c>
      <c r="G24" s="6"/>
      <c r="H24" s="8"/>
      <c r="I24" s="9">
        <f t="shared" si="0"/>
        <v>3908.6601599999995</v>
      </c>
    </row>
    <row r="25" spans="1:9" x14ac:dyDescent="0.25">
      <c r="A25" s="11"/>
      <c r="B25" s="6"/>
      <c r="C25" s="33"/>
      <c r="D25" s="7"/>
      <c r="E25" s="8"/>
      <c r="F25" s="8">
        <f t="shared" si="2"/>
        <v>0</v>
      </c>
      <c r="G25" s="6"/>
      <c r="H25" s="8"/>
      <c r="I25" s="9">
        <f t="shared" si="0"/>
        <v>3908.6601599999995</v>
      </c>
    </row>
    <row r="26" spans="1:9" x14ac:dyDescent="0.25">
      <c r="A26" s="11"/>
      <c r="B26" s="6"/>
      <c r="C26" s="33"/>
      <c r="D26" s="7"/>
      <c r="E26" s="8"/>
      <c r="F26" s="8">
        <f t="shared" si="2"/>
        <v>0</v>
      </c>
      <c r="G26" s="6"/>
      <c r="H26" s="8"/>
      <c r="I26" s="9">
        <f t="shared" si="0"/>
        <v>3908.6601599999995</v>
      </c>
    </row>
    <row r="27" spans="1:9" x14ac:dyDescent="0.25">
      <c r="A27" s="11"/>
      <c r="B27" s="6"/>
      <c r="C27" s="33"/>
      <c r="D27" s="7"/>
      <c r="E27" s="8"/>
      <c r="F27" s="8">
        <f t="shared" si="2"/>
        <v>0</v>
      </c>
      <c r="G27" s="6"/>
      <c r="H27" s="8"/>
      <c r="I27" s="9">
        <f t="shared" si="0"/>
        <v>3908.6601599999995</v>
      </c>
    </row>
    <row r="28" spans="1:9" x14ac:dyDescent="0.25">
      <c r="A28" s="11"/>
      <c r="B28" s="6"/>
      <c r="C28" s="33"/>
      <c r="D28" s="7"/>
      <c r="E28" s="8"/>
      <c r="F28" s="8">
        <f t="shared" si="2"/>
        <v>0</v>
      </c>
      <c r="G28" s="6"/>
      <c r="H28" s="8"/>
      <c r="I28" s="9">
        <f t="shared" si="0"/>
        <v>3908.6601599999995</v>
      </c>
    </row>
    <row r="29" spans="1:9" x14ac:dyDescent="0.25">
      <c r="A29" s="11"/>
      <c r="B29" s="6"/>
      <c r="C29" s="33"/>
      <c r="D29" s="7"/>
      <c r="E29" s="8"/>
      <c r="F29" s="8">
        <f t="shared" si="2"/>
        <v>0</v>
      </c>
      <c r="G29" s="6"/>
      <c r="H29" s="8"/>
      <c r="I29" s="9">
        <f t="shared" si="0"/>
        <v>3908.6601599999995</v>
      </c>
    </row>
    <row r="30" spans="1:9" x14ac:dyDescent="0.25">
      <c r="A30" s="11"/>
      <c r="B30" s="6"/>
      <c r="C30" s="33"/>
      <c r="D30" s="7"/>
      <c r="E30" s="8"/>
      <c r="F30" s="8">
        <f t="shared" si="2"/>
        <v>0</v>
      </c>
      <c r="G30" s="6"/>
      <c r="H30" s="8"/>
      <c r="I30" s="9">
        <f t="shared" si="0"/>
        <v>3908.6601599999995</v>
      </c>
    </row>
    <row r="31" spans="1:9" x14ac:dyDescent="0.25">
      <c r="A31" s="11"/>
      <c r="B31" s="6"/>
      <c r="C31" s="33"/>
      <c r="D31" s="7"/>
      <c r="E31" s="8"/>
      <c r="F31" s="8">
        <f t="shared" si="2"/>
        <v>0</v>
      </c>
      <c r="G31" s="11"/>
      <c r="H31" s="8"/>
      <c r="I31" s="9">
        <f t="shared" si="0"/>
        <v>3908.6601599999995</v>
      </c>
    </row>
    <row r="32" spans="1:9" x14ac:dyDescent="0.25">
      <c r="A32" s="11"/>
      <c r="B32" s="6"/>
      <c r="C32" s="33"/>
      <c r="D32" s="7"/>
      <c r="E32" s="8"/>
      <c r="F32" s="8">
        <f t="shared" si="2"/>
        <v>0</v>
      </c>
      <c r="G32" s="6"/>
      <c r="H32" s="8"/>
      <c r="I32" s="9">
        <f t="shared" si="0"/>
        <v>3908.6601599999995</v>
      </c>
    </row>
    <row r="33" spans="1:9" x14ac:dyDescent="0.25">
      <c r="A33" s="11"/>
      <c r="B33" s="6"/>
      <c r="C33" s="33"/>
      <c r="D33" s="7"/>
      <c r="E33" s="8"/>
      <c r="F33" s="8">
        <f t="shared" si="2"/>
        <v>0</v>
      </c>
      <c r="G33" s="6"/>
      <c r="H33" s="8"/>
      <c r="I33" s="9">
        <f t="shared" si="0"/>
        <v>3908.6601599999995</v>
      </c>
    </row>
    <row r="34" spans="1:9" x14ac:dyDescent="0.25">
      <c r="A34" s="11"/>
      <c r="B34" s="6"/>
      <c r="C34" s="33"/>
      <c r="D34" s="7"/>
      <c r="E34" s="8"/>
      <c r="F34" s="8">
        <f t="shared" si="2"/>
        <v>0</v>
      </c>
      <c r="G34" s="6"/>
      <c r="H34" s="8"/>
      <c r="I34" s="9">
        <f t="shared" si="0"/>
        <v>3908.6601599999995</v>
      </c>
    </row>
    <row r="35" spans="1:9" x14ac:dyDescent="0.25">
      <c r="A35" s="11"/>
      <c r="B35" s="6"/>
      <c r="C35" s="33"/>
      <c r="D35" s="7"/>
      <c r="E35" s="8"/>
      <c r="F35" s="8">
        <f t="shared" si="2"/>
        <v>0</v>
      </c>
      <c r="G35" s="6"/>
      <c r="H35" s="8"/>
      <c r="I35" s="9">
        <f t="shared" ref="I35:I56" si="3">I34-F35+H35</f>
        <v>3908.6601599999995</v>
      </c>
    </row>
    <row r="36" spans="1:9" x14ac:dyDescent="0.25">
      <c r="A36" s="11"/>
      <c r="B36" s="6"/>
      <c r="C36" s="33"/>
      <c r="D36" s="7"/>
      <c r="E36" s="8"/>
      <c r="F36" s="8">
        <f t="shared" si="2"/>
        <v>0</v>
      </c>
      <c r="G36" s="6"/>
      <c r="H36" s="8"/>
      <c r="I36" s="9">
        <f t="shared" si="3"/>
        <v>3908.6601599999995</v>
      </c>
    </row>
    <row r="37" spans="1:9" x14ac:dyDescent="0.25">
      <c r="A37" s="11"/>
      <c r="B37" s="6"/>
      <c r="C37" s="33"/>
      <c r="D37" s="7"/>
      <c r="E37" s="8"/>
      <c r="F37" s="8">
        <f t="shared" si="2"/>
        <v>0</v>
      </c>
      <c r="G37" s="6"/>
      <c r="H37" s="8"/>
      <c r="I37" s="9">
        <f t="shared" si="3"/>
        <v>3908.6601599999995</v>
      </c>
    </row>
    <row r="38" spans="1:9" x14ac:dyDescent="0.25">
      <c r="A38" s="11"/>
      <c r="B38" s="6"/>
      <c r="C38" s="33"/>
      <c r="D38" s="7"/>
      <c r="E38" s="8"/>
      <c r="F38" s="8">
        <f t="shared" si="2"/>
        <v>0</v>
      </c>
      <c r="G38" s="6"/>
      <c r="H38" s="8"/>
      <c r="I38" s="9">
        <f t="shared" si="3"/>
        <v>3908.6601599999995</v>
      </c>
    </row>
    <row r="39" spans="1:9" x14ac:dyDescent="0.25">
      <c r="A39" s="11"/>
      <c r="B39" s="6"/>
      <c r="C39" s="33"/>
      <c r="D39" s="7"/>
      <c r="E39" s="8"/>
      <c r="F39" s="8">
        <f t="shared" si="2"/>
        <v>0</v>
      </c>
      <c r="G39" s="6"/>
      <c r="H39" s="8"/>
      <c r="I39" s="9">
        <f t="shared" si="3"/>
        <v>3908.6601599999995</v>
      </c>
    </row>
    <row r="40" spans="1:9" x14ac:dyDescent="0.25">
      <c r="A40" s="11"/>
      <c r="B40" s="6"/>
      <c r="C40" s="33"/>
      <c r="D40" s="7"/>
      <c r="E40" s="8"/>
      <c r="F40" s="8">
        <f t="shared" si="2"/>
        <v>0</v>
      </c>
      <c r="G40" s="6"/>
      <c r="H40" s="8"/>
      <c r="I40" s="9">
        <f t="shared" si="3"/>
        <v>3908.6601599999995</v>
      </c>
    </row>
    <row r="41" spans="1:9" x14ac:dyDescent="0.25">
      <c r="A41" s="11"/>
      <c r="B41" s="6"/>
      <c r="C41" s="33"/>
      <c r="D41" s="7"/>
      <c r="E41" s="8"/>
      <c r="F41" s="8">
        <f t="shared" si="2"/>
        <v>0</v>
      </c>
      <c r="G41" s="6"/>
      <c r="H41" s="8"/>
      <c r="I41" s="9">
        <f t="shared" si="3"/>
        <v>3908.6601599999995</v>
      </c>
    </row>
    <row r="42" spans="1:9" ht="16.5" thickBot="1" x14ac:dyDescent="0.3">
      <c r="A42" s="13"/>
      <c r="B42" s="14"/>
      <c r="C42" s="34"/>
      <c r="D42" s="15"/>
      <c r="E42" s="16"/>
      <c r="F42" s="16">
        <f t="shared" si="2"/>
        <v>0</v>
      </c>
      <c r="G42" s="14"/>
      <c r="H42" s="16"/>
      <c r="I42" s="9">
        <f t="shared" si="3"/>
        <v>3908.6601599999995</v>
      </c>
    </row>
    <row r="43" spans="1:9" x14ac:dyDescent="0.25">
      <c r="A43" s="21"/>
      <c r="B43" s="18"/>
      <c r="C43" s="35"/>
      <c r="D43" s="19"/>
      <c r="E43" s="20"/>
      <c r="F43" s="20">
        <f t="shared" si="2"/>
        <v>0</v>
      </c>
      <c r="G43" s="18"/>
      <c r="H43" s="20"/>
      <c r="I43" s="9">
        <f t="shared" si="3"/>
        <v>3908.6601599999995</v>
      </c>
    </row>
    <row r="44" spans="1:9" x14ac:dyDescent="0.25">
      <c r="A44" s="11"/>
      <c r="B44" s="6"/>
      <c r="C44" s="33"/>
      <c r="D44" s="7"/>
      <c r="E44" s="8"/>
      <c r="F44" s="8">
        <f t="shared" si="2"/>
        <v>0</v>
      </c>
      <c r="G44" s="11"/>
      <c r="H44" s="8"/>
      <c r="I44" s="9">
        <f t="shared" si="3"/>
        <v>3908.6601599999995</v>
      </c>
    </row>
    <row r="45" spans="1:9" x14ac:dyDescent="0.25">
      <c r="A45" s="11"/>
      <c r="B45" s="6"/>
      <c r="C45" s="33"/>
      <c r="D45" s="7"/>
      <c r="E45" s="8"/>
      <c r="F45" s="8">
        <f t="shared" si="2"/>
        <v>0</v>
      </c>
      <c r="G45" s="11"/>
      <c r="H45" s="8"/>
      <c r="I45" s="9">
        <f t="shared" si="3"/>
        <v>3908.6601599999995</v>
      </c>
    </row>
    <row r="46" spans="1:9" x14ac:dyDescent="0.25">
      <c r="A46" s="11"/>
      <c r="B46" s="6"/>
      <c r="C46" s="33"/>
      <c r="D46" s="7"/>
      <c r="E46" s="8"/>
      <c r="F46" s="8">
        <f t="shared" si="2"/>
        <v>0</v>
      </c>
      <c r="G46" s="6"/>
      <c r="H46" s="8"/>
      <c r="I46" s="9">
        <f t="shared" si="3"/>
        <v>3908.6601599999995</v>
      </c>
    </row>
    <row r="47" spans="1:9" x14ac:dyDescent="0.25">
      <c r="A47" s="11"/>
      <c r="B47" s="6"/>
      <c r="C47" s="33"/>
      <c r="D47" s="7"/>
      <c r="E47" s="8"/>
      <c r="F47" s="8">
        <f t="shared" si="2"/>
        <v>0</v>
      </c>
      <c r="G47" s="6"/>
      <c r="H47" s="8"/>
      <c r="I47" s="9">
        <f t="shared" si="3"/>
        <v>3908.6601599999995</v>
      </c>
    </row>
    <row r="48" spans="1:9" x14ac:dyDescent="0.25">
      <c r="A48" s="11"/>
      <c r="B48" s="6"/>
      <c r="C48" s="33"/>
      <c r="D48" s="7"/>
      <c r="E48" s="8"/>
      <c r="F48" s="8">
        <f t="shared" si="2"/>
        <v>0</v>
      </c>
      <c r="G48" s="6"/>
      <c r="H48" s="8"/>
      <c r="I48" s="9">
        <f t="shared" si="3"/>
        <v>3908.6601599999995</v>
      </c>
    </row>
    <row r="49" spans="1:9" x14ac:dyDescent="0.25">
      <c r="A49" s="11"/>
      <c r="B49" s="6"/>
      <c r="C49" s="33"/>
      <c r="D49" s="7"/>
      <c r="E49" s="8"/>
      <c r="F49" s="8">
        <f t="shared" si="2"/>
        <v>0</v>
      </c>
      <c r="G49" s="6"/>
      <c r="H49" s="8"/>
      <c r="I49" s="9">
        <f t="shared" si="3"/>
        <v>3908.6601599999995</v>
      </c>
    </row>
    <row r="50" spans="1:9" x14ac:dyDescent="0.25">
      <c r="A50" s="11"/>
      <c r="B50" s="6"/>
      <c r="C50" s="33"/>
      <c r="D50" s="7"/>
      <c r="E50" s="8"/>
      <c r="F50" s="8">
        <f t="shared" si="2"/>
        <v>0</v>
      </c>
      <c r="G50" s="6"/>
      <c r="H50" s="8"/>
      <c r="I50" s="9">
        <f t="shared" si="3"/>
        <v>3908.6601599999995</v>
      </c>
    </row>
    <row r="51" spans="1:9" x14ac:dyDescent="0.25">
      <c r="A51" s="11"/>
      <c r="B51" s="6"/>
      <c r="C51" s="33"/>
      <c r="D51" s="7"/>
      <c r="E51" s="8"/>
      <c r="F51" s="8">
        <f t="shared" si="2"/>
        <v>0</v>
      </c>
      <c r="G51" s="6"/>
      <c r="H51" s="8"/>
      <c r="I51" s="9">
        <f t="shared" si="3"/>
        <v>3908.6601599999995</v>
      </c>
    </row>
    <row r="52" spans="1:9" x14ac:dyDescent="0.25">
      <c r="A52" s="11"/>
      <c r="B52" s="6"/>
      <c r="C52" s="33"/>
      <c r="D52" s="7"/>
      <c r="E52" s="8"/>
      <c r="F52" s="8">
        <f t="shared" si="2"/>
        <v>0</v>
      </c>
      <c r="G52" s="6"/>
      <c r="H52" s="8"/>
      <c r="I52" s="9">
        <f t="shared" si="3"/>
        <v>3908.6601599999995</v>
      </c>
    </row>
    <row r="53" spans="1:9" x14ac:dyDescent="0.25">
      <c r="A53" s="11"/>
      <c r="B53" s="6"/>
      <c r="C53" s="33"/>
      <c r="D53" s="7"/>
      <c r="E53" s="8"/>
      <c r="F53" s="8">
        <f t="shared" si="2"/>
        <v>0</v>
      </c>
      <c r="G53" s="6"/>
      <c r="H53" s="8"/>
      <c r="I53" s="9">
        <f t="shared" si="3"/>
        <v>3908.6601599999995</v>
      </c>
    </row>
    <row r="54" spans="1:9" x14ac:dyDescent="0.25">
      <c r="A54" s="6"/>
      <c r="B54" s="6"/>
      <c r="C54" s="33"/>
      <c r="D54" s="7"/>
      <c r="E54" s="8"/>
      <c r="F54" s="8">
        <f t="shared" si="2"/>
        <v>0</v>
      </c>
      <c r="G54" s="6"/>
      <c r="H54" s="8"/>
      <c r="I54" s="9">
        <f t="shared" si="3"/>
        <v>3908.6601599999995</v>
      </c>
    </row>
    <row r="55" spans="1:9" x14ac:dyDescent="0.25">
      <c r="A55" s="6"/>
      <c r="B55" s="6"/>
      <c r="C55" s="33"/>
      <c r="D55" s="7"/>
      <c r="E55" s="8"/>
      <c r="F55" s="8">
        <f t="shared" si="2"/>
        <v>0</v>
      </c>
      <c r="G55" s="6"/>
      <c r="H55" s="8"/>
      <c r="I55" s="9">
        <f t="shared" si="3"/>
        <v>3908.6601599999995</v>
      </c>
    </row>
    <row r="56" spans="1:9" x14ac:dyDescent="0.25">
      <c r="A56" s="6"/>
      <c r="B56" s="6"/>
      <c r="C56" s="33"/>
      <c r="D56" s="7"/>
      <c r="E56" s="8"/>
      <c r="F56" s="8">
        <f t="shared" si="2"/>
        <v>0</v>
      </c>
      <c r="G56" s="6"/>
      <c r="H56" s="8"/>
      <c r="I56" s="9">
        <f t="shared" si="3"/>
        <v>3908.6601599999995</v>
      </c>
    </row>
    <row r="57" spans="1:9" s="25" customFormat="1" x14ac:dyDescent="0.25">
      <c r="A57" s="22"/>
      <c r="B57" s="22"/>
      <c r="C57" s="36">
        <f>SUM(C4:C56)</f>
        <v>0</v>
      </c>
      <c r="D57" s="23"/>
      <c r="E57" s="24"/>
      <c r="F57" s="24"/>
      <c r="G57" s="22"/>
      <c r="H57" s="24"/>
      <c r="I5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7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12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10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6"/>
      <c r="G2" s="6"/>
      <c r="H2" s="6"/>
      <c r="I2" s="9">
        <v>0</v>
      </c>
    </row>
    <row r="3" spans="1:10" x14ac:dyDescent="0.25">
      <c r="A3" s="11"/>
      <c r="B3" s="6"/>
      <c r="C3" s="6"/>
      <c r="D3" s="7"/>
      <c r="E3" s="8"/>
      <c r="F3" s="8">
        <f>D3*E3</f>
        <v>0</v>
      </c>
      <c r="G3" s="11">
        <v>45624</v>
      </c>
      <c r="H3" s="6">
        <v>20000</v>
      </c>
      <c r="I3" s="9">
        <f t="shared" ref="I3:I34" si="0">I2-F3+H3</f>
        <v>20000</v>
      </c>
    </row>
    <row r="4" spans="1:10" x14ac:dyDescent="0.25">
      <c r="A4" s="11"/>
      <c r="B4" s="6" t="s">
        <v>14</v>
      </c>
      <c r="C4" s="6" t="s">
        <v>13</v>
      </c>
      <c r="D4" s="7">
        <v>1</v>
      </c>
      <c r="E4" s="8">
        <v>20000</v>
      </c>
      <c r="F4" s="8">
        <f>D4*E4</f>
        <v>20000</v>
      </c>
      <c r="G4" s="6"/>
      <c r="H4" s="6"/>
      <c r="I4" s="9">
        <f t="shared" si="0"/>
        <v>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6"/>
      <c r="H5" s="6"/>
      <c r="I5" s="9">
        <f t="shared" si="0"/>
        <v>0</v>
      </c>
      <c r="J5" s="12"/>
    </row>
    <row r="6" spans="1:10" x14ac:dyDescent="0.25">
      <c r="A6" s="11"/>
      <c r="B6" s="6"/>
      <c r="C6" s="6"/>
      <c r="D6" s="7"/>
      <c r="E6" s="8"/>
      <c r="F6" s="8">
        <f t="shared" ref="F6:F23" si="1">D6*E6</f>
        <v>0</v>
      </c>
      <c r="G6" s="11"/>
      <c r="H6" s="6"/>
      <c r="I6" s="9">
        <f t="shared" si="0"/>
        <v>0</v>
      </c>
    </row>
    <row r="7" spans="1:10" x14ac:dyDescent="0.25">
      <c r="A7" s="11"/>
      <c r="B7" s="6"/>
      <c r="C7" s="6"/>
      <c r="D7" s="7"/>
      <c r="E7" s="8"/>
      <c r="F7" s="8">
        <f t="shared" si="1"/>
        <v>0</v>
      </c>
      <c r="G7" s="6"/>
      <c r="H7" s="6"/>
      <c r="I7" s="9">
        <f t="shared" si="0"/>
        <v>0</v>
      </c>
    </row>
    <row r="8" spans="1:10" x14ac:dyDescent="0.25">
      <c r="A8" s="11"/>
      <c r="B8" s="6"/>
      <c r="C8" s="6"/>
      <c r="D8" s="7"/>
      <c r="E8" s="8"/>
      <c r="F8" s="8">
        <f t="shared" si="1"/>
        <v>0</v>
      </c>
      <c r="G8" s="6"/>
      <c r="H8" s="6"/>
      <c r="I8" s="9">
        <f t="shared" si="0"/>
        <v>0</v>
      </c>
    </row>
    <row r="9" spans="1:10" x14ac:dyDescent="0.25">
      <c r="A9" s="11"/>
      <c r="B9" s="6"/>
      <c r="C9" s="6"/>
      <c r="D9" s="7"/>
      <c r="E9" s="8"/>
      <c r="F9" s="8">
        <f t="shared" si="1"/>
        <v>0</v>
      </c>
      <c r="G9" s="6"/>
      <c r="H9" s="6"/>
      <c r="I9" s="9">
        <f t="shared" si="0"/>
        <v>0</v>
      </c>
    </row>
    <row r="10" spans="1:10" x14ac:dyDescent="0.25">
      <c r="A10" s="11"/>
      <c r="B10" s="6"/>
      <c r="C10" s="6"/>
      <c r="D10" s="7"/>
      <c r="E10" s="8"/>
      <c r="F10" s="8">
        <f t="shared" si="1"/>
        <v>0</v>
      </c>
      <c r="G10" s="6"/>
      <c r="H10" s="6"/>
      <c r="I10" s="9">
        <f t="shared" si="0"/>
        <v>0</v>
      </c>
    </row>
    <row r="11" spans="1:10" x14ac:dyDescent="0.25">
      <c r="A11" s="11"/>
      <c r="B11" s="6"/>
      <c r="C11" s="6"/>
      <c r="D11" s="7"/>
      <c r="E11" s="8"/>
      <c r="F11" s="8">
        <f t="shared" si="1"/>
        <v>0</v>
      </c>
      <c r="G11" s="6"/>
      <c r="H11" s="6"/>
      <c r="I11" s="9">
        <f t="shared" si="0"/>
        <v>0</v>
      </c>
    </row>
    <row r="12" spans="1:10" x14ac:dyDescent="0.25">
      <c r="A12" s="11"/>
      <c r="B12" s="6"/>
      <c r="C12" s="6"/>
      <c r="D12" s="7"/>
      <c r="E12" s="8"/>
      <c r="F12" s="8">
        <f t="shared" si="1"/>
        <v>0</v>
      </c>
      <c r="G12" s="6"/>
      <c r="H12" s="6"/>
      <c r="I12" s="9">
        <f t="shared" si="0"/>
        <v>0</v>
      </c>
    </row>
    <row r="13" spans="1:10" x14ac:dyDescent="0.25">
      <c r="A13" s="11"/>
      <c r="B13" s="6"/>
      <c r="C13" s="6"/>
      <c r="D13" s="7"/>
      <c r="E13" s="8"/>
      <c r="F13" s="8">
        <f t="shared" si="1"/>
        <v>0</v>
      </c>
      <c r="G13" s="6"/>
      <c r="H13" s="6"/>
      <c r="I13" s="9">
        <f t="shared" si="0"/>
        <v>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6"/>
      <c r="H14" s="6"/>
      <c r="I14" s="9">
        <f t="shared" si="0"/>
        <v>0</v>
      </c>
    </row>
    <row r="15" spans="1:10" ht="16.5" thickBot="1" x14ac:dyDescent="0.3">
      <c r="A15" s="13"/>
      <c r="B15" s="14"/>
      <c r="C15" s="14"/>
      <c r="D15" s="15"/>
      <c r="E15" s="16"/>
      <c r="F15" s="8">
        <f t="shared" si="1"/>
        <v>0</v>
      </c>
      <c r="G15" s="14"/>
      <c r="H15" s="14"/>
      <c r="I15" s="9">
        <f t="shared" si="0"/>
        <v>0</v>
      </c>
    </row>
    <row r="16" spans="1:10" x14ac:dyDescent="0.25">
      <c r="A16" s="17"/>
      <c r="B16" s="18"/>
      <c r="C16" s="18"/>
      <c r="D16" s="19"/>
      <c r="E16" s="20"/>
      <c r="F16" s="8">
        <f t="shared" si="1"/>
        <v>0</v>
      </c>
      <c r="G16" s="18"/>
      <c r="H16" s="1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6"/>
      <c r="I17" s="9">
        <f t="shared" si="0"/>
        <v>0</v>
      </c>
    </row>
    <row r="18" spans="1:9" x14ac:dyDescent="0.25">
      <c r="A18" s="11"/>
      <c r="B18" s="6"/>
      <c r="C18" s="6"/>
      <c r="D18" s="7"/>
      <c r="E18" s="8"/>
      <c r="F18" s="8">
        <f t="shared" si="1"/>
        <v>0</v>
      </c>
      <c r="G18" s="6"/>
      <c r="H18" s="6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11"/>
      <c r="H19" s="6"/>
      <c r="I19" s="9">
        <f t="shared" si="0"/>
        <v>0</v>
      </c>
    </row>
    <row r="20" spans="1:9" x14ac:dyDescent="0.25">
      <c r="A20" s="6"/>
      <c r="B20" s="6"/>
      <c r="C20" s="6"/>
      <c r="D20" s="7"/>
      <c r="E20" s="8"/>
      <c r="F20" s="8">
        <f t="shared" si="1"/>
        <v>0</v>
      </c>
      <c r="G20" s="11"/>
      <c r="H20" s="6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6"/>
      <c r="H21" s="6"/>
      <c r="I21" s="9">
        <f t="shared" si="0"/>
        <v>0</v>
      </c>
    </row>
    <row r="22" spans="1:9" x14ac:dyDescent="0.25">
      <c r="A22" s="11"/>
      <c r="B22" s="6"/>
      <c r="C22" s="6"/>
      <c r="D22" s="7"/>
      <c r="E22" s="8"/>
      <c r="F22" s="8">
        <f t="shared" si="1"/>
        <v>0</v>
      </c>
      <c r="G22" s="6"/>
      <c r="H22" s="6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6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ref="F24:F56" si="2">C24*E24+D24*E24</f>
        <v>0</v>
      </c>
      <c r="G24" s="6"/>
      <c r="H24" s="6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2"/>
        <v>0</v>
      </c>
      <c r="G25" s="6"/>
      <c r="H25" s="6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si="2"/>
        <v>0</v>
      </c>
      <c r="G26" s="6"/>
      <c r="H26" s="6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6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6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6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6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11"/>
      <c r="H31" s="6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6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6"/>
      <c r="H33" s="6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6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6"/>
      <c r="I35" s="9">
        <f t="shared" ref="I35:I56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6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6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6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6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6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6"/>
      <c r="I41" s="9">
        <f t="shared" si="3"/>
        <v>0</v>
      </c>
    </row>
    <row r="42" spans="1:9" ht="16.5" thickBot="1" x14ac:dyDescent="0.3">
      <c r="A42" s="13"/>
      <c r="B42" s="14"/>
      <c r="C42" s="14"/>
      <c r="D42" s="15"/>
      <c r="E42" s="16"/>
      <c r="F42" s="16">
        <f t="shared" si="2"/>
        <v>0</v>
      </c>
      <c r="G42" s="14"/>
      <c r="H42" s="14"/>
      <c r="I42" s="9">
        <f t="shared" si="3"/>
        <v>0</v>
      </c>
    </row>
    <row r="43" spans="1:9" x14ac:dyDescent="0.25">
      <c r="A43" s="21"/>
      <c r="B43" s="18"/>
      <c r="C43" s="18"/>
      <c r="D43" s="19"/>
      <c r="E43" s="20"/>
      <c r="F43" s="20">
        <f t="shared" si="2"/>
        <v>0</v>
      </c>
      <c r="G43" s="18"/>
      <c r="H43" s="18"/>
      <c r="I43" s="9">
        <f t="shared" si="3"/>
        <v>0</v>
      </c>
    </row>
    <row r="44" spans="1:9" x14ac:dyDescent="0.25">
      <c r="A44" s="11"/>
      <c r="B44" s="6"/>
      <c r="C44" s="6"/>
      <c r="D44" s="7"/>
      <c r="E44" s="8"/>
      <c r="F44" s="8">
        <f t="shared" si="2"/>
        <v>0</v>
      </c>
      <c r="G44" s="11"/>
      <c r="H44" s="6"/>
      <c r="I44" s="9">
        <f t="shared" si="3"/>
        <v>0</v>
      </c>
    </row>
    <row r="45" spans="1:9" x14ac:dyDescent="0.25">
      <c r="A45" s="11"/>
      <c r="B45" s="6"/>
      <c r="C45" s="6"/>
      <c r="D45" s="7"/>
      <c r="E45" s="8"/>
      <c r="F45" s="8">
        <f t="shared" si="2"/>
        <v>0</v>
      </c>
      <c r="G45" s="11"/>
      <c r="H45" s="6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6"/>
      <c r="H46" s="6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6"/>
      <c r="H47" s="6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6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6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6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6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6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6"/>
      <c r="I53" s="9">
        <f t="shared" si="3"/>
        <v>0</v>
      </c>
    </row>
    <row r="54" spans="1:9" x14ac:dyDescent="0.25">
      <c r="A54" s="6"/>
      <c r="B54" s="6"/>
      <c r="C54" s="6"/>
      <c r="D54" s="7"/>
      <c r="E54" s="8"/>
      <c r="F54" s="8">
        <f t="shared" si="2"/>
        <v>0</v>
      </c>
      <c r="G54" s="6"/>
      <c r="H54" s="6"/>
      <c r="I54" s="9">
        <f t="shared" si="3"/>
        <v>0</v>
      </c>
    </row>
    <row r="55" spans="1:9" x14ac:dyDescent="0.25">
      <c r="A55" s="6"/>
      <c r="B55" s="6"/>
      <c r="C55" s="6"/>
      <c r="D55" s="7"/>
      <c r="E55" s="8"/>
      <c r="F55" s="8">
        <f t="shared" si="2"/>
        <v>0</v>
      </c>
      <c r="G55" s="6"/>
      <c r="H55" s="6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6"/>
      <c r="I56" s="9">
        <f t="shared" si="3"/>
        <v>0</v>
      </c>
    </row>
    <row r="57" spans="1:9" s="25" customFormat="1" x14ac:dyDescent="0.25">
      <c r="A57" s="22"/>
      <c r="B57" s="22"/>
      <c r="C57" s="22">
        <f>SUM(C4:C56)</f>
        <v>0</v>
      </c>
      <c r="D57" s="23"/>
      <c r="E57" s="24"/>
      <c r="F57" s="24"/>
      <c r="G57" s="22"/>
      <c r="H57" s="22"/>
      <c r="I5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3.5703125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22" t="s">
        <v>17</v>
      </c>
      <c r="B2" s="6"/>
      <c r="C2" s="6"/>
      <c r="D2" s="7"/>
      <c r="E2" s="8"/>
      <c r="F2" s="6"/>
      <c r="G2" s="6"/>
      <c r="H2" s="8"/>
      <c r="I2" s="9">
        <v>0</v>
      </c>
    </row>
    <row r="3" spans="1:10" s="63" customFormat="1" ht="31.5" x14ac:dyDescent="0.25">
      <c r="A3" s="57">
        <v>45699</v>
      </c>
      <c r="B3" s="58" t="s">
        <v>26</v>
      </c>
      <c r="C3" s="59" t="s">
        <v>27</v>
      </c>
      <c r="D3" s="60">
        <v>940.5</v>
      </c>
      <c r="E3" s="61">
        <f>F3/D3</f>
        <v>19.138755980861244</v>
      </c>
      <c r="F3" s="61">
        <v>18000</v>
      </c>
      <c r="G3" s="57"/>
      <c r="H3" s="61"/>
      <c r="I3" s="62">
        <f t="shared" ref="I3:I34" si="0">I2-F3+H3</f>
        <v>-18000</v>
      </c>
    </row>
    <row r="4" spans="1:10" s="63" customFormat="1" x14ac:dyDescent="0.25">
      <c r="A4" s="57"/>
      <c r="B4" s="58" t="s">
        <v>24</v>
      </c>
      <c r="C4" s="59" t="s">
        <v>25</v>
      </c>
      <c r="D4" s="60">
        <v>2928</v>
      </c>
      <c r="E4" s="61">
        <f>F4/D4</f>
        <v>4.7472677595628419</v>
      </c>
      <c r="F4" s="61">
        <v>13900</v>
      </c>
      <c r="G4" s="57"/>
      <c r="H4" s="61"/>
      <c r="I4" s="62">
        <f t="shared" si="0"/>
        <v>-31900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31900</v>
      </c>
      <c r="I5" s="62">
        <f t="shared" si="0"/>
        <v>0</v>
      </c>
    </row>
    <row r="6" spans="1:10" s="63" customFormat="1" ht="47.25" x14ac:dyDescent="0.25">
      <c r="A6" s="57">
        <v>45707</v>
      </c>
      <c r="B6" s="58" t="s">
        <v>30</v>
      </c>
      <c r="C6" s="59" t="s">
        <v>31</v>
      </c>
      <c r="D6" s="60"/>
      <c r="E6" s="61"/>
      <c r="F6" s="61">
        <v>22000</v>
      </c>
      <c r="G6" s="58"/>
      <c r="H6" s="61"/>
      <c r="I6" s="62">
        <f t="shared" si="0"/>
        <v>-22000</v>
      </c>
      <c r="J6" s="64"/>
    </row>
    <row r="7" spans="1:10" x14ac:dyDescent="0.25">
      <c r="A7" s="11"/>
      <c r="B7" s="58" t="s">
        <v>24</v>
      </c>
      <c r="C7" s="59" t="s">
        <v>25</v>
      </c>
      <c r="D7" s="7"/>
      <c r="E7" s="8"/>
      <c r="F7" s="8">
        <v>6600</v>
      </c>
      <c r="G7" s="11"/>
      <c r="H7" s="8"/>
      <c r="I7" s="62">
        <f t="shared" si="0"/>
        <v>-28600</v>
      </c>
    </row>
    <row r="8" spans="1:10" x14ac:dyDescent="0.25">
      <c r="A8" s="11"/>
      <c r="B8" s="6"/>
      <c r="C8" s="6"/>
      <c r="D8" s="7"/>
      <c r="E8" s="8"/>
      <c r="F8" s="8">
        <f t="shared" ref="F8:F25" si="1">D8*E8</f>
        <v>0</v>
      </c>
      <c r="G8" s="11">
        <v>45716</v>
      </c>
      <c r="H8" s="8">
        <v>28600</v>
      </c>
      <c r="I8" s="9">
        <f t="shared" si="0"/>
        <v>0</v>
      </c>
    </row>
    <row r="9" spans="1:10" ht="16.5" thickBot="1" x14ac:dyDescent="0.3">
      <c r="A9" s="73"/>
      <c r="B9" s="74"/>
      <c r="C9" s="74"/>
      <c r="D9" s="75"/>
      <c r="E9" s="76"/>
      <c r="F9" s="76">
        <f t="shared" si="1"/>
        <v>0</v>
      </c>
      <c r="G9" s="74"/>
      <c r="H9" s="76"/>
      <c r="I9" s="77">
        <f t="shared" si="0"/>
        <v>0</v>
      </c>
    </row>
    <row r="10" spans="1:10" ht="16.5" thickBot="1" x14ac:dyDescent="0.3">
      <c r="A10" s="78">
        <v>45730</v>
      </c>
      <c r="B10" s="79" t="s">
        <v>41</v>
      </c>
      <c r="C10" s="80" t="s">
        <v>42</v>
      </c>
      <c r="D10" s="81"/>
      <c r="E10" s="82"/>
      <c r="F10" s="82">
        <v>19500</v>
      </c>
      <c r="G10" s="80"/>
      <c r="H10" s="82"/>
      <c r="I10" s="83">
        <f t="shared" si="0"/>
        <v>-19500</v>
      </c>
    </row>
    <row r="11" spans="1:10" x14ac:dyDescent="0.25">
      <c r="A11" s="84"/>
      <c r="B11" s="85"/>
      <c r="C11" s="85"/>
      <c r="D11" s="86"/>
      <c r="E11" s="87"/>
      <c r="F11" s="87">
        <f t="shared" si="1"/>
        <v>0</v>
      </c>
      <c r="G11" s="88">
        <v>45736</v>
      </c>
      <c r="H11" s="87">
        <v>19500</v>
      </c>
      <c r="I11" s="89">
        <f t="shared" si="0"/>
        <v>0</v>
      </c>
    </row>
    <row r="12" spans="1:10" ht="16.5" thickBot="1" x14ac:dyDescent="0.3">
      <c r="A12" s="90">
        <v>45737</v>
      </c>
      <c r="B12" s="14" t="s">
        <v>41</v>
      </c>
      <c r="C12" s="91" t="s">
        <v>42</v>
      </c>
      <c r="D12" s="15"/>
      <c r="E12" s="16"/>
      <c r="F12" s="16">
        <v>18100</v>
      </c>
      <c r="G12" s="14"/>
      <c r="H12" s="16"/>
      <c r="I12" s="92">
        <f t="shared" si="0"/>
        <v>-18100</v>
      </c>
    </row>
    <row r="13" spans="1:10" x14ac:dyDescent="0.25">
      <c r="A13" s="114" t="s">
        <v>45</v>
      </c>
      <c r="B13" s="115"/>
      <c r="C13" s="115"/>
      <c r="D13" s="116"/>
      <c r="E13" s="117"/>
      <c r="F13" s="117">
        <f t="shared" si="1"/>
        <v>0</v>
      </c>
      <c r="G13" s="115"/>
      <c r="H13" s="117"/>
      <c r="I13" s="118">
        <f t="shared" si="0"/>
        <v>-18100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11">
        <v>45749</v>
      </c>
      <c r="H14" s="8">
        <v>18100</v>
      </c>
      <c r="I14" s="9">
        <f t="shared" si="0"/>
        <v>0</v>
      </c>
    </row>
    <row r="15" spans="1:10" x14ac:dyDescent="0.25">
      <c r="A15" s="11"/>
      <c r="B15" s="6"/>
      <c r="C15" s="6"/>
      <c r="D15" s="7"/>
      <c r="E15" s="8"/>
      <c r="F15" s="8">
        <f t="shared" si="1"/>
        <v>0</v>
      </c>
      <c r="G15" s="6"/>
      <c r="H15" s="8"/>
      <c r="I15" s="9">
        <f t="shared" si="0"/>
        <v>0</v>
      </c>
    </row>
    <row r="16" spans="1:10" x14ac:dyDescent="0.25">
      <c r="A16" s="11"/>
      <c r="B16" s="6"/>
      <c r="C16" s="6"/>
      <c r="D16" s="7"/>
      <c r="E16" s="8"/>
      <c r="F16" s="8">
        <f t="shared" si="1"/>
        <v>0</v>
      </c>
      <c r="G16" s="6"/>
      <c r="H16" s="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8"/>
      <c r="I17" s="9">
        <f t="shared" si="0"/>
        <v>0</v>
      </c>
    </row>
    <row r="18" spans="1:9" x14ac:dyDescent="0.25">
      <c r="A18" s="104"/>
      <c r="B18" s="6"/>
      <c r="C18" s="6"/>
      <c r="D18" s="7"/>
      <c r="E18" s="8"/>
      <c r="F18" s="8">
        <f t="shared" si="1"/>
        <v>0</v>
      </c>
      <c r="G18" s="6"/>
      <c r="H18" s="8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6"/>
      <c r="H19" s="8"/>
      <c r="I19" s="9">
        <f t="shared" si="0"/>
        <v>0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6"/>
      <c r="H20" s="8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11"/>
      <c r="H21" s="8"/>
      <c r="I21" s="9">
        <f t="shared" si="0"/>
        <v>0</v>
      </c>
    </row>
    <row r="22" spans="1:9" x14ac:dyDescent="0.25">
      <c r="A22" s="6"/>
      <c r="B22" s="6"/>
      <c r="C22" s="6"/>
      <c r="D22" s="7"/>
      <c r="E22" s="8"/>
      <c r="F22" s="8">
        <f t="shared" si="1"/>
        <v>0</v>
      </c>
      <c r="G22" s="11"/>
      <c r="H22" s="8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8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si="1"/>
        <v>0</v>
      </c>
      <c r="G24" s="6"/>
      <c r="H24" s="8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1"/>
        <v>0</v>
      </c>
      <c r="G25" s="6"/>
      <c r="H25" s="8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ref="F26:F58" si="2">C26*E26+D26*E26</f>
        <v>0</v>
      </c>
      <c r="G26" s="6"/>
      <c r="H26" s="8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8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8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8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8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6"/>
      <c r="H31" s="8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8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11"/>
      <c r="H33" s="8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8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8"/>
      <c r="I35" s="9">
        <f t="shared" ref="I35:I58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8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8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8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8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8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8"/>
      <c r="I41" s="9">
        <f t="shared" si="3"/>
        <v>0</v>
      </c>
    </row>
    <row r="42" spans="1:9" x14ac:dyDescent="0.25">
      <c r="A42" s="11"/>
      <c r="B42" s="6"/>
      <c r="C42" s="6"/>
      <c r="D42" s="7"/>
      <c r="E42" s="8"/>
      <c r="F42" s="8">
        <f t="shared" si="2"/>
        <v>0</v>
      </c>
      <c r="G42" s="6"/>
      <c r="H42" s="8"/>
      <c r="I42" s="9">
        <f t="shared" si="3"/>
        <v>0</v>
      </c>
    </row>
    <row r="43" spans="1:9" x14ac:dyDescent="0.25">
      <c r="A43" s="11"/>
      <c r="B43" s="6"/>
      <c r="C43" s="6"/>
      <c r="D43" s="7"/>
      <c r="E43" s="8"/>
      <c r="F43" s="8">
        <f t="shared" si="2"/>
        <v>0</v>
      </c>
      <c r="G43" s="6"/>
      <c r="H43" s="8"/>
      <c r="I43" s="9">
        <f t="shared" si="3"/>
        <v>0</v>
      </c>
    </row>
    <row r="44" spans="1:9" ht="16.5" thickBot="1" x14ac:dyDescent="0.3">
      <c r="A44" s="13"/>
      <c r="B44" s="14"/>
      <c r="C44" s="14"/>
      <c r="D44" s="15"/>
      <c r="E44" s="16"/>
      <c r="F44" s="16">
        <f t="shared" si="2"/>
        <v>0</v>
      </c>
      <c r="G44" s="14"/>
      <c r="H44" s="16"/>
      <c r="I44" s="9">
        <f t="shared" si="3"/>
        <v>0</v>
      </c>
    </row>
    <row r="45" spans="1:9" x14ac:dyDescent="0.25">
      <c r="A45" s="21"/>
      <c r="B45" s="18"/>
      <c r="C45" s="18"/>
      <c r="D45" s="19"/>
      <c r="E45" s="20"/>
      <c r="F45" s="20">
        <f t="shared" si="2"/>
        <v>0</v>
      </c>
      <c r="G45" s="18"/>
      <c r="H45" s="20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11"/>
      <c r="H46" s="8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11"/>
      <c r="H47" s="8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8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8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8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8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8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8"/>
      <c r="I53" s="9">
        <f t="shared" si="3"/>
        <v>0</v>
      </c>
    </row>
    <row r="54" spans="1:9" x14ac:dyDescent="0.25">
      <c r="A54" s="11"/>
      <c r="B54" s="6"/>
      <c r="C54" s="6"/>
      <c r="D54" s="7"/>
      <c r="E54" s="8"/>
      <c r="F54" s="8">
        <f t="shared" si="2"/>
        <v>0</v>
      </c>
      <c r="G54" s="6"/>
      <c r="H54" s="8"/>
      <c r="I54" s="9">
        <f t="shared" si="3"/>
        <v>0</v>
      </c>
    </row>
    <row r="55" spans="1:9" x14ac:dyDescent="0.25">
      <c r="A55" s="11"/>
      <c r="B55" s="6"/>
      <c r="C55" s="6"/>
      <c r="D55" s="7"/>
      <c r="E55" s="8"/>
      <c r="F55" s="8">
        <f t="shared" si="2"/>
        <v>0</v>
      </c>
      <c r="G55" s="6"/>
      <c r="H55" s="8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8"/>
      <c r="I56" s="9">
        <f t="shared" si="3"/>
        <v>0</v>
      </c>
    </row>
    <row r="57" spans="1:9" x14ac:dyDescent="0.25">
      <c r="A57" s="6"/>
      <c r="B57" s="6"/>
      <c r="C57" s="6"/>
      <c r="D57" s="7"/>
      <c r="E57" s="8"/>
      <c r="F57" s="8">
        <f t="shared" si="2"/>
        <v>0</v>
      </c>
      <c r="G57" s="6"/>
      <c r="H57" s="8"/>
      <c r="I57" s="9">
        <f t="shared" si="3"/>
        <v>0</v>
      </c>
    </row>
    <row r="58" spans="1:9" x14ac:dyDescent="0.25">
      <c r="A58" s="6"/>
      <c r="B58" s="6"/>
      <c r="C58" s="6"/>
      <c r="D58" s="7"/>
      <c r="E58" s="8"/>
      <c r="F58" s="8">
        <f t="shared" si="2"/>
        <v>0</v>
      </c>
      <c r="G58" s="6"/>
      <c r="H58" s="8"/>
      <c r="I58" s="9">
        <f t="shared" si="3"/>
        <v>0</v>
      </c>
    </row>
    <row r="59" spans="1:9" s="25" customFormat="1" x14ac:dyDescent="0.25">
      <c r="A59" s="22"/>
      <c r="B59" s="22"/>
      <c r="C59" s="22">
        <f>SUM(C5:C58)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workbookViewId="0">
      <pane ySplit="1" topLeftCell="A10" activePane="bottomLeft" state="frozen"/>
      <selection pane="bottomLeft" activeCell="K35" sqref="K35"/>
    </sheetView>
  </sheetViews>
  <sheetFormatPr defaultColWidth="8.85546875" defaultRowHeight="15.75" x14ac:dyDescent="0.25"/>
  <cols>
    <col min="1" max="1" width="10.7109375" style="166" customWidth="1"/>
    <col min="2" max="2" width="20" style="10" customWidth="1"/>
    <col min="3" max="3" width="18" style="10" customWidth="1"/>
    <col min="4" max="4" width="9.28515625" style="26" bestFit="1" customWidth="1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0" width="14.5703125" style="131" customWidth="1"/>
    <col min="11" max="11" width="12" style="128" customWidth="1"/>
    <col min="12" max="12" width="12.7109375" style="27" bestFit="1" customWidth="1"/>
    <col min="13" max="13" width="18.140625" style="28" customWidth="1"/>
    <col min="14" max="14" width="12.7109375" style="27" bestFit="1" customWidth="1"/>
    <col min="15" max="16384" width="8.85546875" style="10"/>
  </cols>
  <sheetData>
    <row r="1" spans="1:14" s="5" customFormat="1" ht="31.5" x14ac:dyDescent="0.25">
      <c r="A1" s="42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  <c r="J1" s="129" t="s">
        <v>49</v>
      </c>
      <c r="K1" s="126" t="s">
        <v>47</v>
      </c>
      <c r="L1" s="125" t="s">
        <v>48</v>
      </c>
      <c r="M1" s="173" t="s">
        <v>58</v>
      </c>
      <c r="N1" s="123"/>
    </row>
    <row r="2" spans="1:14" x14ac:dyDescent="0.25">
      <c r="A2" s="156"/>
      <c r="B2" s="6"/>
      <c r="C2" s="6"/>
      <c r="D2" s="7"/>
      <c r="E2" s="8"/>
      <c r="F2" s="6"/>
      <c r="G2" s="6"/>
      <c r="H2" s="8"/>
      <c r="I2" s="9">
        <v>0</v>
      </c>
      <c r="J2" s="130"/>
      <c r="K2" s="127"/>
      <c r="L2" s="8"/>
    </row>
    <row r="3" spans="1:14" x14ac:dyDescent="0.25">
      <c r="A3" s="157">
        <v>45715</v>
      </c>
      <c r="B3" s="6" t="s">
        <v>21</v>
      </c>
      <c r="C3" s="6" t="s">
        <v>34</v>
      </c>
      <c r="D3" s="7">
        <v>2300</v>
      </c>
      <c r="E3" s="8">
        <f>F3/D3</f>
        <v>4.3478260869565215</v>
      </c>
      <c r="F3" s="56">
        <v>10000</v>
      </c>
      <c r="G3" s="11"/>
      <c r="H3" s="8"/>
      <c r="I3" s="9">
        <f t="shared" ref="I3:I34" si="0">I2-F3+H3</f>
        <v>-10000</v>
      </c>
      <c r="J3" s="130"/>
      <c r="K3" s="127"/>
      <c r="L3" s="8"/>
    </row>
    <row r="4" spans="1:14" x14ac:dyDescent="0.25">
      <c r="A4" s="157">
        <v>45716</v>
      </c>
      <c r="B4" s="6" t="s">
        <v>8</v>
      </c>
      <c r="C4" s="6" t="s">
        <v>35</v>
      </c>
      <c r="D4" s="7">
        <v>2000</v>
      </c>
      <c r="E4" s="8">
        <f>F4/D4</f>
        <v>5</v>
      </c>
      <c r="F4" s="56">
        <v>10000</v>
      </c>
      <c r="G4" s="6"/>
      <c r="H4" s="8"/>
      <c r="I4" s="9">
        <f t="shared" si="0"/>
        <v>-20000</v>
      </c>
      <c r="J4" s="130"/>
      <c r="K4" s="127"/>
      <c r="L4" s="8"/>
    </row>
    <row r="5" spans="1:14" ht="16.5" thickBot="1" x14ac:dyDescent="0.3">
      <c r="A5" s="158"/>
      <c r="B5" s="94"/>
      <c r="C5" s="94"/>
      <c r="D5" s="95"/>
      <c r="E5" s="96"/>
      <c r="F5" s="96">
        <f>D5*E5</f>
        <v>0</v>
      </c>
      <c r="G5" s="11">
        <v>45720</v>
      </c>
      <c r="H5" s="8">
        <v>20000</v>
      </c>
      <c r="I5" s="9">
        <f t="shared" si="0"/>
        <v>0</v>
      </c>
      <c r="J5" s="130"/>
      <c r="K5" s="127"/>
      <c r="L5" s="8"/>
    </row>
    <row r="6" spans="1:14" x14ac:dyDescent="0.25">
      <c r="A6" s="159">
        <v>45743</v>
      </c>
      <c r="B6" s="85" t="s">
        <v>8</v>
      </c>
      <c r="C6" s="85" t="s">
        <v>18</v>
      </c>
      <c r="D6" s="86">
        <v>53760</v>
      </c>
      <c r="E6" s="87">
        <f>F6/D6</f>
        <v>5.5803571428571432E-2</v>
      </c>
      <c r="F6" s="107">
        <v>3000</v>
      </c>
      <c r="G6" s="105">
        <v>45743</v>
      </c>
      <c r="H6" s="8">
        <v>6000</v>
      </c>
      <c r="I6" s="9">
        <f t="shared" si="0"/>
        <v>3000</v>
      </c>
      <c r="J6" s="130"/>
      <c r="K6" s="127"/>
      <c r="L6" s="8"/>
    </row>
    <row r="7" spans="1:14" ht="16.5" thickBot="1" x14ac:dyDescent="0.3">
      <c r="A7" s="160"/>
      <c r="B7" s="14" t="s">
        <v>8</v>
      </c>
      <c r="C7" s="14" t="s">
        <v>44</v>
      </c>
      <c r="D7" s="15"/>
      <c r="E7" s="16"/>
      <c r="F7" s="108">
        <v>3000</v>
      </c>
      <c r="G7" s="106"/>
      <c r="H7" s="8"/>
      <c r="I7" s="9">
        <f t="shared" si="0"/>
        <v>0</v>
      </c>
      <c r="J7" s="130"/>
      <c r="K7" s="127"/>
      <c r="L7" s="8"/>
    </row>
    <row r="8" spans="1:14" ht="16.5" thickBot="1" x14ac:dyDescent="0.3">
      <c r="A8" s="159">
        <v>45757</v>
      </c>
      <c r="B8" s="85" t="s">
        <v>8</v>
      </c>
      <c r="C8" s="85" t="s">
        <v>18</v>
      </c>
      <c r="D8" s="86">
        <v>46200</v>
      </c>
      <c r="E8" s="87">
        <f>F8/D8</f>
        <v>6.4935064935064929E-2</v>
      </c>
      <c r="F8" s="107">
        <v>3000</v>
      </c>
      <c r="G8" s="106"/>
      <c r="H8" s="8"/>
      <c r="I8" s="9">
        <f t="shared" si="0"/>
        <v>-3000</v>
      </c>
      <c r="J8" s="130"/>
      <c r="K8" s="182"/>
      <c r="L8" s="8"/>
    </row>
    <row r="9" spans="1:14" ht="16.5" thickBot="1" x14ac:dyDescent="0.3">
      <c r="A9" s="160"/>
      <c r="B9" s="14"/>
      <c r="C9" s="14"/>
      <c r="D9" s="15"/>
      <c r="E9" s="16"/>
      <c r="F9" s="108">
        <f t="shared" ref="F9:F16" si="1">D9*E9</f>
        <v>0</v>
      </c>
      <c r="G9" s="105">
        <v>45762</v>
      </c>
      <c r="H9" s="8">
        <v>3000</v>
      </c>
      <c r="I9" s="9">
        <f t="shared" si="0"/>
        <v>0</v>
      </c>
      <c r="J9" s="178">
        <v>8000</v>
      </c>
      <c r="K9" s="184">
        <f>J9-H9</f>
        <v>5000</v>
      </c>
      <c r="L9" s="180"/>
    </row>
    <row r="10" spans="1:14" x14ac:dyDescent="0.25">
      <c r="A10" s="159">
        <v>45768</v>
      </c>
      <c r="B10" s="85" t="s">
        <v>50</v>
      </c>
      <c r="C10" s="85" t="s">
        <v>51</v>
      </c>
      <c r="D10" s="86">
        <v>8640</v>
      </c>
      <c r="E10" s="112">
        <f>F10/D10</f>
        <v>1.3888888888888888</v>
      </c>
      <c r="F10" s="107">
        <v>12000</v>
      </c>
      <c r="G10" s="105">
        <v>45768</v>
      </c>
      <c r="H10" s="8">
        <v>12000</v>
      </c>
      <c r="I10" s="9">
        <f t="shared" si="0"/>
        <v>0</v>
      </c>
      <c r="J10" s="178">
        <v>49000</v>
      </c>
      <c r="K10" s="185">
        <f>J10-H10</f>
        <v>37000</v>
      </c>
      <c r="L10" s="180"/>
    </row>
    <row r="11" spans="1:14" x14ac:dyDescent="0.25">
      <c r="A11" s="161">
        <v>45770</v>
      </c>
      <c r="B11" s="6" t="s">
        <v>26</v>
      </c>
      <c r="C11" s="6" t="s">
        <v>27</v>
      </c>
      <c r="D11" s="7">
        <v>1577.5</v>
      </c>
      <c r="E11" s="8">
        <f t="shared" ref="E11:E14" si="2">F11/D11</f>
        <v>8.8748019017432647</v>
      </c>
      <c r="F11" s="147">
        <v>14000</v>
      </c>
      <c r="G11" s="106"/>
      <c r="H11" s="8"/>
      <c r="I11" s="9">
        <f t="shared" si="0"/>
        <v>-14000</v>
      </c>
      <c r="J11" s="178"/>
      <c r="K11" s="185"/>
      <c r="L11" s="180"/>
    </row>
    <row r="12" spans="1:14" ht="16.5" thickBot="1" x14ac:dyDescent="0.3">
      <c r="A12" s="161"/>
      <c r="B12" s="6" t="s">
        <v>8</v>
      </c>
      <c r="C12" s="6" t="s">
        <v>53</v>
      </c>
      <c r="D12" s="7">
        <v>180</v>
      </c>
      <c r="E12" s="20">
        <f t="shared" si="2"/>
        <v>44.444444444444443</v>
      </c>
      <c r="F12" s="147">
        <v>8000</v>
      </c>
      <c r="G12" s="106"/>
      <c r="H12" s="8"/>
      <c r="I12" s="9">
        <f t="shared" si="0"/>
        <v>-22000</v>
      </c>
      <c r="J12" s="178"/>
      <c r="K12" s="185"/>
      <c r="L12" s="180"/>
    </row>
    <row r="13" spans="1:14" ht="16.5" thickBot="1" x14ac:dyDescent="0.3">
      <c r="A13" s="161">
        <v>45772</v>
      </c>
      <c r="B13" s="6" t="s">
        <v>8</v>
      </c>
      <c r="C13" s="6" t="s">
        <v>18</v>
      </c>
      <c r="D13" s="7">
        <v>40320</v>
      </c>
      <c r="E13" s="8">
        <f t="shared" si="2"/>
        <v>7.4404761904761904E-2</v>
      </c>
      <c r="F13" s="147">
        <v>3000</v>
      </c>
      <c r="G13" s="105">
        <v>45772</v>
      </c>
      <c r="H13" s="8">
        <v>25000</v>
      </c>
      <c r="I13" s="9">
        <f t="shared" si="0"/>
        <v>0</v>
      </c>
      <c r="J13" s="178">
        <v>50000</v>
      </c>
      <c r="K13" s="185">
        <f>J13-H13</f>
        <v>25000</v>
      </c>
      <c r="L13" s="187"/>
      <c r="M13" s="188"/>
      <c r="N13" s="189" t="s">
        <v>62</v>
      </c>
    </row>
    <row r="14" spans="1:14" x14ac:dyDescent="0.25">
      <c r="A14" s="161">
        <v>45775</v>
      </c>
      <c r="B14" s="6" t="s">
        <v>8</v>
      </c>
      <c r="C14" s="6" t="s">
        <v>32</v>
      </c>
      <c r="D14" s="7">
        <v>1680</v>
      </c>
      <c r="E14" s="8">
        <f t="shared" si="2"/>
        <v>5.9523809523809526</v>
      </c>
      <c r="F14" s="147">
        <v>10000</v>
      </c>
      <c r="G14" s="106"/>
      <c r="H14" s="8"/>
      <c r="I14" s="9">
        <f t="shared" si="0"/>
        <v>-10000</v>
      </c>
      <c r="J14" s="178"/>
      <c r="K14" s="185"/>
      <c r="L14" s="180"/>
    </row>
    <row r="15" spans="1:14" ht="16.5" thickBot="1" x14ac:dyDescent="0.3">
      <c r="A15" s="160">
        <v>45777</v>
      </c>
      <c r="B15" s="14"/>
      <c r="C15" s="14"/>
      <c r="D15" s="15"/>
      <c r="E15" s="16"/>
      <c r="F15" s="108">
        <f t="shared" si="1"/>
        <v>0</v>
      </c>
      <c r="G15" s="105">
        <v>45777</v>
      </c>
      <c r="H15" s="8">
        <v>10000</v>
      </c>
      <c r="I15" s="9">
        <f t="shared" si="0"/>
        <v>0</v>
      </c>
      <c r="J15" s="178">
        <v>20000</v>
      </c>
      <c r="K15" s="185">
        <f>J15-H15</f>
        <v>10000</v>
      </c>
      <c r="L15" s="180"/>
    </row>
    <row r="16" spans="1:14" ht="16.5" thickBot="1" x14ac:dyDescent="0.3">
      <c r="A16" s="162" t="s">
        <v>57</v>
      </c>
      <c r="B16" s="115"/>
      <c r="C16" s="167"/>
      <c r="D16" s="168"/>
      <c r="E16" s="169"/>
      <c r="F16" s="169">
        <f t="shared" si="1"/>
        <v>0</v>
      </c>
      <c r="G16" s="38"/>
      <c r="H16" s="40"/>
      <c r="I16" s="41">
        <f t="shared" si="0"/>
        <v>0</v>
      </c>
      <c r="J16" s="179"/>
      <c r="K16" s="185"/>
      <c r="L16" s="181"/>
    </row>
    <row r="17" spans="1:14" x14ac:dyDescent="0.25">
      <c r="A17" s="157">
        <v>45782</v>
      </c>
      <c r="B17" s="85" t="s">
        <v>50</v>
      </c>
      <c r="C17" s="6" t="s">
        <v>51</v>
      </c>
      <c r="D17" s="7">
        <v>2880</v>
      </c>
      <c r="E17" s="8">
        <f>F17/D17</f>
        <v>3.125</v>
      </c>
      <c r="F17" s="8">
        <v>9000</v>
      </c>
      <c r="G17" s="106"/>
      <c r="H17" s="8"/>
      <c r="I17" s="9">
        <f t="shared" si="0"/>
        <v>-9000</v>
      </c>
      <c r="J17" s="178"/>
      <c r="K17" s="185"/>
      <c r="L17" s="180"/>
    </row>
    <row r="18" spans="1:14" x14ac:dyDescent="0.25">
      <c r="A18" s="157">
        <v>45783</v>
      </c>
      <c r="B18" s="6" t="s">
        <v>8</v>
      </c>
      <c r="C18" s="6" t="s">
        <v>35</v>
      </c>
      <c r="D18" s="7">
        <v>1000</v>
      </c>
      <c r="E18" s="8">
        <f>F18/D18</f>
        <v>9</v>
      </c>
      <c r="F18" s="56">
        <v>9000</v>
      </c>
      <c r="G18" s="105">
        <v>45783</v>
      </c>
      <c r="H18" s="8">
        <v>18000</v>
      </c>
      <c r="I18" s="9">
        <f t="shared" si="0"/>
        <v>0</v>
      </c>
      <c r="J18" s="178">
        <v>36000</v>
      </c>
      <c r="K18" s="185">
        <f>J18-H18</f>
        <v>18000</v>
      </c>
      <c r="L18" s="180"/>
    </row>
    <row r="19" spans="1:14" ht="16.5" thickBot="1" x14ac:dyDescent="0.3">
      <c r="A19" s="157"/>
      <c r="B19" s="22" t="s">
        <v>59</v>
      </c>
      <c r="C19" s="6"/>
      <c r="D19" s="7"/>
      <c r="E19" s="8"/>
      <c r="F19" s="24">
        <v>25000</v>
      </c>
      <c r="G19" s="11"/>
      <c r="H19" s="8">
        <v>25000</v>
      </c>
      <c r="I19" s="9">
        <f t="shared" si="0"/>
        <v>0</v>
      </c>
      <c r="J19" s="178">
        <v>397250</v>
      </c>
      <c r="K19" s="186">
        <v>5000</v>
      </c>
      <c r="L19" s="180">
        <f>J19-H19-K19</f>
        <v>367250</v>
      </c>
      <c r="M19" s="28">
        <v>-45471.06</v>
      </c>
      <c r="N19" s="27">
        <f>L19+M19</f>
        <v>321778.94</v>
      </c>
    </row>
    <row r="20" spans="1:14" x14ac:dyDescent="0.25">
      <c r="A20" s="157">
        <v>45793</v>
      </c>
      <c r="B20" s="6" t="s">
        <v>8</v>
      </c>
      <c r="C20" s="6" t="s">
        <v>18</v>
      </c>
      <c r="D20" s="7"/>
      <c r="E20" s="8"/>
      <c r="F20" s="8">
        <v>3000</v>
      </c>
      <c r="G20" s="11">
        <v>45793</v>
      </c>
      <c r="H20" s="8">
        <v>32000</v>
      </c>
      <c r="I20" s="9">
        <f t="shared" si="0"/>
        <v>29000</v>
      </c>
      <c r="J20" s="130">
        <v>78000</v>
      </c>
      <c r="K20" s="183">
        <f t="shared" ref="K20" si="3">J20-H20</f>
        <v>46000</v>
      </c>
      <c r="L20" s="8"/>
    </row>
    <row r="21" spans="1:14" x14ac:dyDescent="0.25">
      <c r="A21" s="157"/>
      <c r="B21" s="6" t="s">
        <v>8</v>
      </c>
      <c r="C21" s="6" t="s">
        <v>32</v>
      </c>
      <c r="D21" s="7"/>
      <c r="E21" s="8"/>
      <c r="F21" s="8">
        <v>15000</v>
      </c>
      <c r="G21" s="6"/>
      <c r="H21" s="8"/>
      <c r="I21" s="9">
        <f t="shared" si="0"/>
        <v>14000</v>
      </c>
      <c r="J21" s="130"/>
      <c r="K21" s="127"/>
      <c r="L21" s="8"/>
    </row>
    <row r="22" spans="1:14" ht="16.5" thickBot="1" x14ac:dyDescent="0.3">
      <c r="A22" s="157"/>
      <c r="B22" s="6" t="s">
        <v>8</v>
      </c>
      <c r="C22" s="6" t="s">
        <v>61</v>
      </c>
      <c r="D22" s="7"/>
      <c r="E22" s="8"/>
      <c r="F22" s="8">
        <v>9000</v>
      </c>
      <c r="G22" s="6"/>
      <c r="H22" s="8"/>
      <c r="I22" s="9">
        <f t="shared" si="0"/>
        <v>5000</v>
      </c>
      <c r="J22" s="130"/>
      <c r="K22" s="127"/>
      <c r="L22" s="8"/>
    </row>
    <row r="23" spans="1:14" x14ac:dyDescent="0.25">
      <c r="A23" s="157"/>
      <c r="B23" s="85" t="s">
        <v>50</v>
      </c>
      <c r="C23" s="6" t="s">
        <v>51</v>
      </c>
      <c r="D23" s="7"/>
      <c r="E23" s="8"/>
      <c r="F23" s="8">
        <v>5000</v>
      </c>
      <c r="G23" s="6"/>
      <c r="H23" s="8"/>
      <c r="I23" s="9">
        <f t="shared" si="0"/>
        <v>0</v>
      </c>
      <c r="J23" s="130"/>
      <c r="K23" s="127"/>
      <c r="L23" s="8"/>
    </row>
    <row r="24" spans="1:14" x14ac:dyDescent="0.25">
      <c r="A24" s="157" t="s">
        <v>65</v>
      </c>
      <c r="B24" s="195" t="s">
        <v>66</v>
      </c>
      <c r="C24" s="6" t="s">
        <v>18</v>
      </c>
      <c r="D24" s="7"/>
      <c r="E24" s="8"/>
      <c r="F24" s="8">
        <v>8000</v>
      </c>
      <c r="G24" s="6"/>
      <c r="H24" s="8"/>
      <c r="I24" s="9">
        <f t="shared" si="0"/>
        <v>-8000</v>
      </c>
      <c r="J24" s="130"/>
      <c r="K24" s="127"/>
      <c r="L24" s="8"/>
    </row>
    <row r="25" spans="1:14" x14ac:dyDescent="0.25">
      <c r="A25" s="157"/>
      <c r="B25" s="195" t="s">
        <v>67</v>
      </c>
      <c r="C25" s="197" t="s">
        <v>25</v>
      </c>
      <c r="D25" s="7"/>
      <c r="E25" s="8"/>
      <c r="F25" s="200">
        <v>17000</v>
      </c>
      <c r="G25" s="6"/>
      <c r="H25" s="8"/>
      <c r="I25" s="9">
        <f t="shared" si="0"/>
        <v>-25000</v>
      </c>
      <c r="J25" s="130"/>
      <c r="K25" s="127"/>
      <c r="L25" s="8"/>
    </row>
    <row r="26" spans="1:14" x14ac:dyDescent="0.25">
      <c r="A26" s="157"/>
      <c r="B26" s="195" t="s">
        <v>68</v>
      </c>
      <c r="C26" s="197" t="s">
        <v>32</v>
      </c>
      <c r="D26" s="7"/>
      <c r="E26" s="8"/>
      <c r="F26" s="201">
        <v>27000</v>
      </c>
      <c r="G26" s="6"/>
      <c r="H26" s="8"/>
      <c r="I26" s="9">
        <f t="shared" si="0"/>
        <v>-52000</v>
      </c>
    </row>
    <row r="27" spans="1:14" x14ac:dyDescent="0.25">
      <c r="A27" s="157"/>
      <c r="B27" s="196" t="s">
        <v>69</v>
      </c>
      <c r="C27" s="198" t="s">
        <v>61</v>
      </c>
      <c r="D27" s="7"/>
      <c r="E27" s="8"/>
      <c r="F27" s="201">
        <v>26000</v>
      </c>
      <c r="G27" s="6"/>
      <c r="H27" s="8"/>
      <c r="I27" s="9">
        <f t="shared" si="0"/>
        <v>-78000</v>
      </c>
    </row>
    <row r="28" spans="1:14" x14ac:dyDescent="0.25">
      <c r="A28" s="157" t="s">
        <v>75</v>
      </c>
      <c r="B28" s="195" t="s">
        <v>76</v>
      </c>
      <c r="C28" s="6"/>
      <c r="D28" s="7"/>
      <c r="E28" s="8"/>
      <c r="F28" s="8">
        <v>14000</v>
      </c>
      <c r="G28" s="157" t="s">
        <v>75</v>
      </c>
      <c r="H28" s="8">
        <v>62000</v>
      </c>
      <c r="I28" s="9">
        <f t="shared" si="0"/>
        <v>-30000</v>
      </c>
    </row>
    <row r="29" spans="1:14" x14ac:dyDescent="0.25">
      <c r="A29" s="157" t="s">
        <v>78</v>
      </c>
      <c r="B29" s="6" t="s">
        <v>79</v>
      </c>
      <c r="C29" s="6"/>
      <c r="D29" s="7"/>
      <c r="E29" s="8"/>
      <c r="F29" s="8">
        <v>100</v>
      </c>
      <c r="G29" s="6" t="s">
        <v>78</v>
      </c>
      <c r="H29" s="8">
        <v>22000</v>
      </c>
      <c r="I29" s="9">
        <f t="shared" si="0"/>
        <v>-8100</v>
      </c>
    </row>
    <row r="30" spans="1:14" x14ac:dyDescent="0.25">
      <c r="A30" s="157"/>
      <c r="B30" s="6"/>
      <c r="C30" s="6"/>
      <c r="D30" s="7"/>
      <c r="E30" s="8"/>
      <c r="F30" s="8"/>
      <c r="G30" s="6" t="s">
        <v>78</v>
      </c>
      <c r="H30" s="8">
        <v>50</v>
      </c>
      <c r="I30" s="9">
        <f t="shared" si="0"/>
        <v>-8050</v>
      </c>
    </row>
    <row r="31" spans="1:14" x14ac:dyDescent="0.25">
      <c r="A31" s="157"/>
      <c r="B31" s="6"/>
      <c r="C31" s="6"/>
      <c r="D31" s="7"/>
      <c r="E31" s="8"/>
      <c r="F31" s="8"/>
      <c r="G31" s="11"/>
      <c r="H31" s="8"/>
      <c r="I31" s="9">
        <f t="shared" si="0"/>
        <v>-8050</v>
      </c>
    </row>
    <row r="32" spans="1:14" x14ac:dyDescent="0.25">
      <c r="A32" s="157"/>
      <c r="B32" s="6"/>
      <c r="C32" s="6"/>
      <c r="D32" s="7"/>
      <c r="E32" s="8"/>
      <c r="F32" s="8"/>
      <c r="G32" s="6"/>
      <c r="H32" s="8"/>
      <c r="I32" s="9">
        <f t="shared" si="0"/>
        <v>-8050</v>
      </c>
    </row>
    <row r="33" spans="1:9" x14ac:dyDescent="0.25">
      <c r="A33" s="157"/>
      <c r="B33" s="6"/>
      <c r="C33" s="6"/>
      <c r="D33" s="7"/>
      <c r="E33" s="8"/>
      <c r="F33" s="8"/>
      <c r="G33" s="6"/>
      <c r="H33" s="8"/>
      <c r="I33" s="9">
        <f t="shared" si="0"/>
        <v>-8050</v>
      </c>
    </row>
    <row r="34" spans="1:9" x14ac:dyDescent="0.25">
      <c r="A34" s="157"/>
      <c r="B34" s="6"/>
      <c r="C34" s="6"/>
      <c r="D34" s="7"/>
      <c r="E34" s="8"/>
      <c r="F34" s="8"/>
      <c r="G34" s="6"/>
      <c r="H34" s="8"/>
      <c r="I34" s="9">
        <f t="shared" si="0"/>
        <v>-8050</v>
      </c>
    </row>
    <row r="35" spans="1:9" x14ac:dyDescent="0.25">
      <c r="A35" s="157"/>
      <c r="B35" s="6"/>
      <c r="C35" s="6"/>
      <c r="D35" s="7"/>
      <c r="E35" s="8"/>
      <c r="F35" s="8"/>
      <c r="G35" s="6"/>
      <c r="H35" s="8"/>
      <c r="I35" s="9">
        <f t="shared" ref="I35:I56" si="4">I34-F35+H35</f>
        <v>-8050</v>
      </c>
    </row>
    <row r="36" spans="1:9" x14ac:dyDescent="0.25">
      <c r="A36" s="157"/>
      <c r="B36" s="6"/>
      <c r="C36" s="6"/>
      <c r="D36" s="7"/>
      <c r="E36" s="8"/>
      <c r="F36" s="8"/>
      <c r="G36" s="6"/>
      <c r="H36" s="8"/>
      <c r="I36" s="9">
        <f t="shared" si="4"/>
        <v>-8050</v>
      </c>
    </row>
    <row r="37" spans="1:9" x14ac:dyDescent="0.25">
      <c r="A37" s="157"/>
      <c r="B37" s="6"/>
      <c r="C37" s="6"/>
      <c r="D37" s="7"/>
      <c r="E37" s="8"/>
      <c r="F37" s="8"/>
      <c r="G37" s="6"/>
      <c r="H37" s="8"/>
      <c r="I37" s="9">
        <f t="shared" si="4"/>
        <v>-8050</v>
      </c>
    </row>
    <row r="38" spans="1:9" x14ac:dyDescent="0.25">
      <c r="A38" s="157"/>
      <c r="B38" s="6"/>
      <c r="C38" s="6"/>
      <c r="D38" s="7"/>
      <c r="E38" s="8"/>
      <c r="F38" s="8"/>
      <c r="G38" s="6"/>
      <c r="H38" s="8"/>
      <c r="I38" s="9">
        <f t="shared" si="4"/>
        <v>-8050</v>
      </c>
    </row>
    <row r="39" spans="1:9" x14ac:dyDescent="0.25">
      <c r="A39" s="157"/>
      <c r="B39" s="6"/>
      <c r="C39" s="6"/>
      <c r="D39" s="7"/>
      <c r="E39" s="8"/>
      <c r="F39" s="8"/>
      <c r="G39" s="6"/>
      <c r="H39" s="8"/>
      <c r="I39" s="9">
        <f t="shared" si="4"/>
        <v>-8050</v>
      </c>
    </row>
    <row r="40" spans="1:9" x14ac:dyDescent="0.25">
      <c r="A40" s="157"/>
      <c r="B40" s="6"/>
      <c r="C40" s="6"/>
      <c r="D40" s="7"/>
      <c r="E40" s="8"/>
      <c r="F40" s="8">
        <f t="shared" ref="F40:F56" si="5">C40*E40+D40*E40</f>
        <v>0</v>
      </c>
      <c r="G40" s="6"/>
      <c r="H40" s="8"/>
      <c r="I40" s="9">
        <f t="shared" si="4"/>
        <v>-8050</v>
      </c>
    </row>
    <row r="41" spans="1:9" x14ac:dyDescent="0.25">
      <c r="A41" s="157"/>
      <c r="B41" s="6"/>
      <c r="C41" s="6"/>
      <c r="D41" s="7"/>
      <c r="E41" s="8"/>
      <c r="F41" s="8">
        <f t="shared" si="5"/>
        <v>0</v>
      </c>
      <c r="G41" s="6"/>
      <c r="H41" s="8"/>
      <c r="I41" s="9">
        <f t="shared" si="4"/>
        <v>-8050</v>
      </c>
    </row>
    <row r="42" spans="1:9" ht="16.5" thickBot="1" x14ac:dyDescent="0.3">
      <c r="A42" s="163"/>
      <c r="B42" s="14"/>
      <c r="C42" s="14"/>
      <c r="D42" s="15"/>
      <c r="E42" s="16"/>
      <c r="F42" s="16">
        <f t="shared" si="5"/>
        <v>0</v>
      </c>
      <c r="G42" s="14"/>
      <c r="H42" s="16"/>
      <c r="I42" s="9">
        <f t="shared" si="4"/>
        <v>-8050</v>
      </c>
    </row>
    <row r="43" spans="1:9" x14ac:dyDescent="0.25">
      <c r="A43" s="164"/>
      <c r="B43" s="18"/>
      <c r="C43" s="18"/>
      <c r="D43" s="19"/>
      <c r="E43" s="20"/>
      <c r="F43" s="20">
        <f t="shared" si="5"/>
        <v>0</v>
      </c>
      <c r="G43" s="18"/>
      <c r="H43" s="20"/>
      <c r="I43" s="9">
        <f t="shared" si="4"/>
        <v>-8050</v>
      </c>
    </row>
    <row r="44" spans="1:9" x14ac:dyDescent="0.25">
      <c r="A44" s="157"/>
      <c r="B44" s="6"/>
      <c r="C44" s="6"/>
      <c r="D44" s="7"/>
      <c r="E44" s="8"/>
      <c r="F44" s="8">
        <f t="shared" si="5"/>
        <v>0</v>
      </c>
      <c r="G44" s="11"/>
      <c r="H44" s="8"/>
      <c r="I44" s="9">
        <f t="shared" si="4"/>
        <v>-8050</v>
      </c>
    </row>
    <row r="45" spans="1:9" x14ac:dyDescent="0.25">
      <c r="A45" s="157"/>
      <c r="B45" s="6"/>
      <c r="C45" s="6"/>
      <c r="D45" s="7"/>
      <c r="E45" s="8"/>
      <c r="F45" s="8">
        <f t="shared" si="5"/>
        <v>0</v>
      </c>
      <c r="G45" s="11"/>
      <c r="H45" s="8"/>
      <c r="I45" s="9">
        <f t="shared" si="4"/>
        <v>-8050</v>
      </c>
    </row>
    <row r="46" spans="1:9" x14ac:dyDescent="0.25">
      <c r="A46" s="157"/>
      <c r="B46" s="6"/>
      <c r="C46" s="6"/>
      <c r="D46" s="7"/>
      <c r="E46" s="8"/>
      <c r="F46" s="8">
        <f t="shared" si="5"/>
        <v>0</v>
      </c>
      <c r="G46" s="6"/>
      <c r="H46" s="8"/>
      <c r="I46" s="9">
        <f t="shared" si="4"/>
        <v>-8050</v>
      </c>
    </row>
    <row r="47" spans="1:9" x14ac:dyDescent="0.25">
      <c r="A47" s="157"/>
      <c r="B47" s="6"/>
      <c r="C47" s="6"/>
      <c r="D47" s="7"/>
      <c r="E47" s="8"/>
      <c r="F47" s="8">
        <f t="shared" si="5"/>
        <v>0</v>
      </c>
      <c r="G47" s="6"/>
      <c r="H47" s="8"/>
      <c r="I47" s="9">
        <f t="shared" si="4"/>
        <v>-8050</v>
      </c>
    </row>
    <row r="48" spans="1:9" x14ac:dyDescent="0.25">
      <c r="A48" s="157"/>
      <c r="B48" s="6"/>
      <c r="C48" s="6"/>
      <c r="D48" s="7"/>
      <c r="E48" s="8"/>
      <c r="F48" s="8">
        <f t="shared" si="5"/>
        <v>0</v>
      </c>
      <c r="G48" s="6"/>
      <c r="H48" s="8"/>
      <c r="I48" s="9">
        <f t="shared" si="4"/>
        <v>-8050</v>
      </c>
    </row>
    <row r="49" spans="1:14" x14ac:dyDescent="0.25">
      <c r="A49" s="157"/>
      <c r="B49" s="6"/>
      <c r="C49" s="6"/>
      <c r="D49" s="7"/>
      <c r="E49" s="8"/>
      <c r="F49" s="8">
        <f t="shared" si="5"/>
        <v>0</v>
      </c>
      <c r="G49" s="6"/>
      <c r="H49" s="8"/>
      <c r="I49" s="9">
        <f t="shared" si="4"/>
        <v>-8050</v>
      </c>
    </row>
    <row r="50" spans="1:14" x14ac:dyDescent="0.25">
      <c r="A50" s="157"/>
      <c r="B50" s="6"/>
      <c r="C50" s="6"/>
      <c r="D50" s="7"/>
      <c r="E50" s="8"/>
      <c r="F50" s="8">
        <f t="shared" si="5"/>
        <v>0</v>
      </c>
      <c r="G50" s="6"/>
      <c r="H50" s="8"/>
      <c r="I50" s="9">
        <f t="shared" si="4"/>
        <v>-8050</v>
      </c>
    </row>
    <row r="51" spans="1:14" x14ac:dyDescent="0.25">
      <c r="A51" s="157"/>
      <c r="B51" s="6"/>
      <c r="C51" s="6"/>
      <c r="D51" s="7"/>
      <c r="E51" s="8"/>
      <c r="F51" s="8">
        <f t="shared" si="5"/>
        <v>0</v>
      </c>
      <c r="G51" s="6"/>
      <c r="H51" s="8"/>
      <c r="I51" s="9">
        <f t="shared" si="4"/>
        <v>-8050</v>
      </c>
    </row>
    <row r="52" spans="1:14" x14ac:dyDescent="0.25">
      <c r="A52" s="157"/>
      <c r="B52" s="6"/>
      <c r="C52" s="6"/>
      <c r="D52" s="7"/>
      <c r="E52" s="8"/>
      <c r="F52" s="8">
        <f t="shared" si="5"/>
        <v>0</v>
      </c>
      <c r="G52" s="6"/>
      <c r="H52" s="8"/>
      <c r="I52" s="9">
        <f t="shared" si="4"/>
        <v>-8050</v>
      </c>
    </row>
    <row r="53" spans="1:14" x14ac:dyDescent="0.25">
      <c r="A53" s="157"/>
      <c r="B53" s="6"/>
      <c r="C53" s="6"/>
      <c r="D53" s="7"/>
      <c r="E53" s="8"/>
      <c r="F53" s="8">
        <f t="shared" si="5"/>
        <v>0</v>
      </c>
      <c r="G53" s="6"/>
      <c r="H53" s="8"/>
      <c r="I53" s="9">
        <f t="shared" si="4"/>
        <v>-8050</v>
      </c>
    </row>
    <row r="54" spans="1:14" x14ac:dyDescent="0.25">
      <c r="A54" s="156"/>
      <c r="B54" s="6"/>
      <c r="C54" s="6"/>
      <c r="D54" s="7"/>
      <c r="E54" s="8"/>
      <c r="F54" s="8">
        <f t="shared" si="5"/>
        <v>0</v>
      </c>
      <c r="G54" s="6"/>
      <c r="H54" s="8"/>
      <c r="I54" s="9">
        <f t="shared" si="4"/>
        <v>-8050</v>
      </c>
    </row>
    <row r="55" spans="1:14" x14ac:dyDescent="0.25">
      <c r="A55" s="156"/>
      <c r="B55" s="6"/>
      <c r="C55" s="6"/>
      <c r="D55" s="7"/>
      <c r="E55" s="8"/>
      <c r="F55" s="8">
        <f t="shared" si="5"/>
        <v>0</v>
      </c>
      <c r="G55" s="6"/>
      <c r="H55" s="8"/>
      <c r="I55" s="9">
        <f t="shared" si="4"/>
        <v>-8050</v>
      </c>
    </row>
    <row r="56" spans="1:14" x14ac:dyDescent="0.25">
      <c r="A56" s="156"/>
      <c r="B56" s="6"/>
      <c r="C56" s="6"/>
      <c r="D56" s="7"/>
      <c r="E56" s="8"/>
      <c r="F56" s="8">
        <f t="shared" si="5"/>
        <v>0</v>
      </c>
      <c r="G56" s="6"/>
      <c r="H56" s="8"/>
      <c r="I56" s="9">
        <f t="shared" si="4"/>
        <v>-8050</v>
      </c>
    </row>
    <row r="57" spans="1:14" s="25" customFormat="1" x14ac:dyDescent="0.25">
      <c r="A57" s="165"/>
      <c r="B57" s="22"/>
      <c r="C57" s="22">
        <f>SUM(C4:C56)</f>
        <v>0</v>
      </c>
      <c r="D57" s="23"/>
      <c r="E57" s="24"/>
      <c r="F57" s="24"/>
      <c r="G57" s="22"/>
      <c r="H57" s="24"/>
      <c r="I57" s="9"/>
      <c r="J57" s="131"/>
      <c r="K57" s="128"/>
      <c r="L57" s="124"/>
      <c r="M57" s="174"/>
      <c r="N57" s="12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9"/>
  <sheetViews>
    <sheetView workbookViewId="0">
      <pane ySplit="1" topLeftCell="A8" activePane="bottomLeft" state="frozen"/>
      <selection pane="bottomLeft" activeCell="M28" sqref="M28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8.85546875" style="10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8"/>
      <c r="G2" s="6"/>
      <c r="H2" s="8"/>
      <c r="I2" s="9">
        <v>0</v>
      </c>
    </row>
    <row r="3" spans="1:10" x14ac:dyDescent="0.25">
      <c r="A3" s="11">
        <v>45695</v>
      </c>
      <c r="B3" s="6" t="s">
        <v>29</v>
      </c>
      <c r="C3" s="6" t="s">
        <v>25</v>
      </c>
      <c r="D3" s="7">
        <v>10032</v>
      </c>
      <c r="E3" s="8">
        <f>F3/D3</f>
        <v>4.7075358851674638</v>
      </c>
      <c r="F3" s="8">
        <v>47226</v>
      </c>
      <c r="G3" s="6"/>
      <c r="H3" s="8"/>
      <c r="I3" s="9">
        <f t="shared" ref="I3:I24" si="0">I2+F3-H3</f>
        <v>47226</v>
      </c>
    </row>
    <row r="4" spans="1:10" x14ac:dyDescent="0.25">
      <c r="A4" s="11">
        <v>45701</v>
      </c>
      <c r="B4" s="6" t="s">
        <v>29</v>
      </c>
      <c r="C4" s="6" t="s">
        <v>25</v>
      </c>
      <c r="D4" s="7">
        <v>9336</v>
      </c>
      <c r="E4" s="8">
        <f>F4/D4</f>
        <v>2.8249785775492717</v>
      </c>
      <c r="F4" s="8">
        <v>26374</v>
      </c>
      <c r="G4" s="6"/>
      <c r="H4" s="8"/>
      <c r="I4" s="9">
        <f t="shared" si="0"/>
        <v>73600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47226</v>
      </c>
      <c r="I5" s="9">
        <f t="shared" si="0"/>
        <v>26374</v>
      </c>
    </row>
    <row r="6" spans="1:10" x14ac:dyDescent="0.25">
      <c r="A6" s="11"/>
      <c r="B6" s="6"/>
      <c r="C6" s="6"/>
      <c r="D6" s="7"/>
      <c r="E6" s="8"/>
      <c r="F6" s="8">
        <f>D6*E6</f>
        <v>0</v>
      </c>
      <c r="G6" s="11">
        <v>45706</v>
      </c>
      <c r="H6" s="8">
        <v>26374</v>
      </c>
      <c r="I6" s="9">
        <f t="shared" si="0"/>
        <v>0</v>
      </c>
    </row>
    <row r="7" spans="1:10" x14ac:dyDescent="0.25">
      <c r="A7" s="11">
        <v>45709</v>
      </c>
      <c r="B7" s="6" t="s">
        <v>29</v>
      </c>
      <c r="C7" s="6" t="s">
        <v>25</v>
      </c>
      <c r="D7" s="7">
        <v>15552</v>
      </c>
      <c r="E7" s="8">
        <f>F7/D7</f>
        <v>2.362332818930041</v>
      </c>
      <c r="F7" s="8">
        <v>36739</v>
      </c>
      <c r="G7" s="6"/>
      <c r="H7" s="8"/>
      <c r="I7" s="9">
        <f t="shared" si="0"/>
        <v>36739</v>
      </c>
      <c r="J7" s="12"/>
    </row>
    <row r="8" spans="1:10" x14ac:dyDescent="0.25">
      <c r="A8" s="11"/>
      <c r="B8" s="6"/>
      <c r="C8" s="6"/>
      <c r="D8" s="7"/>
      <c r="E8" s="8"/>
      <c r="F8" s="8">
        <f t="shared" ref="F8:F43" si="1">D8*E8</f>
        <v>0</v>
      </c>
      <c r="G8" s="11">
        <v>45712</v>
      </c>
      <c r="H8" s="8">
        <v>36739</v>
      </c>
      <c r="I8" s="9">
        <f t="shared" si="0"/>
        <v>0</v>
      </c>
    </row>
    <row r="9" spans="1:10" ht="16.5" thickBot="1" x14ac:dyDescent="0.3">
      <c r="A9" s="93">
        <v>45715</v>
      </c>
      <c r="B9" s="94" t="s">
        <v>29</v>
      </c>
      <c r="C9" s="94" t="s">
        <v>25</v>
      </c>
      <c r="D9" s="95">
        <v>21600</v>
      </c>
      <c r="E9" s="96">
        <f>F9/D9</f>
        <v>2.2385185185185184</v>
      </c>
      <c r="F9" s="96">
        <v>48352</v>
      </c>
      <c r="G9" s="94"/>
      <c r="H9" s="96"/>
      <c r="I9" s="97">
        <f t="shared" si="0"/>
        <v>48352</v>
      </c>
    </row>
    <row r="10" spans="1:10" x14ac:dyDescent="0.25">
      <c r="A10" s="84"/>
      <c r="B10" s="85"/>
      <c r="C10" s="85"/>
      <c r="D10" s="86"/>
      <c r="E10" s="87"/>
      <c r="F10" s="87">
        <f t="shared" si="1"/>
        <v>0</v>
      </c>
      <c r="G10" s="98">
        <v>45719</v>
      </c>
      <c r="H10" s="87">
        <v>48352</v>
      </c>
      <c r="I10" s="89">
        <f t="shared" si="0"/>
        <v>0</v>
      </c>
    </row>
    <row r="11" spans="1:10" ht="16.5" thickBot="1" x14ac:dyDescent="0.3">
      <c r="A11" s="90">
        <v>45723</v>
      </c>
      <c r="B11" s="14" t="s">
        <v>29</v>
      </c>
      <c r="C11" s="14" t="s">
        <v>25</v>
      </c>
      <c r="D11" s="15">
        <v>17280</v>
      </c>
      <c r="E11" s="16">
        <f>F11/D11</f>
        <v>2.8193287037037038</v>
      </c>
      <c r="F11" s="16">
        <v>48718</v>
      </c>
      <c r="G11" s="14"/>
      <c r="H11" s="16"/>
      <c r="I11" s="92">
        <f t="shared" si="0"/>
        <v>48718</v>
      </c>
    </row>
    <row r="12" spans="1:10" x14ac:dyDescent="0.25">
      <c r="A12" s="84"/>
      <c r="B12" s="85"/>
      <c r="C12" s="85"/>
      <c r="D12" s="86"/>
      <c r="E12" s="87"/>
      <c r="F12" s="87">
        <f t="shared" si="1"/>
        <v>0</v>
      </c>
      <c r="G12" s="88">
        <v>45728</v>
      </c>
      <c r="H12" s="87">
        <v>48718</v>
      </c>
      <c r="I12" s="89">
        <f t="shared" si="0"/>
        <v>0</v>
      </c>
    </row>
    <row r="13" spans="1:10" ht="16.5" thickBot="1" x14ac:dyDescent="0.3">
      <c r="A13" s="90">
        <v>45730</v>
      </c>
      <c r="B13" s="14" t="s">
        <v>29</v>
      </c>
      <c r="C13" s="14" t="s">
        <v>25</v>
      </c>
      <c r="D13" s="15">
        <v>31104</v>
      </c>
      <c r="E13" s="16">
        <f>F13/D13</f>
        <v>2.888470936213992</v>
      </c>
      <c r="F13" s="16">
        <v>89843</v>
      </c>
      <c r="G13" s="14"/>
      <c r="H13" s="16"/>
      <c r="I13" s="92">
        <f t="shared" si="0"/>
        <v>89843</v>
      </c>
    </row>
    <row r="14" spans="1:10" x14ac:dyDescent="0.25">
      <c r="A14" s="84"/>
      <c r="B14" s="85"/>
      <c r="C14" s="85"/>
      <c r="D14" s="86"/>
      <c r="E14" s="87"/>
      <c r="F14" s="87">
        <f t="shared" si="1"/>
        <v>0</v>
      </c>
      <c r="G14" s="88">
        <v>45733</v>
      </c>
      <c r="H14" s="87">
        <v>89843</v>
      </c>
      <c r="I14" s="89">
        <f t="shared" si="0"/>
        <v>0</v>
      </c>
    </row>
    <row r="15" spans="1:10" x14ac:dyDescent="0.25">
      <c r="A15" s="99">
        <v>45737</v>
      </c>
      <c r="B15" s="6" t="s">
        <v>43</v>
      </c>
      <c r="C15" s="6" t="s">
        <v>25</v>
      </c>
      <c r="D15" s="7">
        <v>25920</v>
      </c>
      <c r="E15" s="8">
        <f>F15/D15</f>
        <v>5.4979166666666668</v>
      </c>
      <c r="F15" s="8">
        <v>142506</v>
      </c>
      <c r="G15" s="6"/>
      <c r="H15" s="8"/>
      <c r="I15" s="100">
        <f t="shared" si="0"/>
        <v>142506</v>
      </c>
    </row>
    <row r="16" spans="1:10" ht="16.5" thickBot="1" x14ac:dyDescent="0.3">
      <c r="A16" s="90"/>
      <c r="B16" s="14" t="s">
        <v>29</v>
      </c>
      <c r="C16" s="14" t="s">
        <v>25</v>
      </c>
      <c r="D16" s="15">
        <v>27648</v>
      </c>
      <c r="E16" s="16">
        <f>F16/D16</f>
        <v>1.8557581018518519</v>
      </c>
      <c r="F16" s="16">
        <v>51308</v>
      </c>
      <c r="G16" s="14"/>
      <c r="H16" s="16"/>
      <c r="I16" s="92">
        <f t="shared" si="0"/>
        <v>193814</v>
      </c>
    </row>
    <row r="17" spans="1:9" x14ac:dyDescent="0.25">
      <c r="A17" s="109">
        <v>45742</v>
      </c>
      <c r="B17" s="85" t="s">
        <v>43</v>
      </c>
      <c r="C17" s="85" t="s">
        <v>25</v>
      </c>
      <c r="D17" s="110">
        <v>11520</v>
      </c>
      <c r="E17" s="87">
        <f>F17/D17</f>
        <v>4.3256944444444443</v>
      </c>
      <c r="F17" s="87">
        <v>49832</v>
      </c>
      <c r="G17" s="111"/>
      <c r="H17" s="112"/>
      <c r="I17" s="89">
        <f t="shared" si="0"/>
        <v>243646</v>
      </c>
    </row>
    <row r="18" spans="1:9" ht="16.5" thickBot="1" x14ac:dyDescent="0.3">
      <c r="A18" s="113"/>
      <c r="B18" s="14" t="s">
        <v>43</v>
      </c>
      <c r="C18" s="14" t="s">
        <v>25</v>
      </c>
      <c r="D18" s="15">
        <v>8640</v>
      </c>
      <c r="E18" s="16">
        <f>F18/D18</f>
        <v>4.8902777777777775</v>
      </c>
      <c r="F18" s="16">
        <v>42252</v>
      </c>
      <c r="G18" s="14"/>
      <c r="H18" s="16"/>
      <c r="I18" s="92">
        <f t="shared" si="0"/>
        <v>285898</v>
      </c>
    </row>
    <row r="19" spans="1:9" x14ac:dyDescent="0.25">
      <c r="A19" s="114" t="s">
        <v>45</v>
      </c>
      <c r="B19" s="115"/>
      <c r="C19" s="115"/>
      <c r="D19" s="116"/>
      <c r="E19" s="117"/>
      <c r="F19" s="117">
        <f t="shared" si="1"/>
        <v>0</v>
      </c>
      <c r="G19" s="115"/>
      <c r="H19" s="117"/>
      <c r="I19" s="118">
        <f t="shared" si="0"/>
        <v>285898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11">
        <v>45749</v>
      </c>
      <c r="H20" s="8">
        <v>285898</v>
      </c>
      <c r="I20" s="9">
        <f t="shared" si="0"/>
        <v>0</v>
      </c>
    </row>
    <row r="21" spans="1:9" x14ac:dyDescent="0.25">
      <c r="A21" s="176" t="s">
        <v>57</v>
      </c>
      <c r="B21" s="191"/>
      <c r="C21" s="191"/>
      <c r="D21" s="192"/>
      <c r="E21" s="193"/>
      <c r="F21" s="193">
        <f t="shared" si="1"/>
        <v>0</v>
      </c>
      <c r="G21" s="190"/>
      <c r="H21" s="193"/>
      <c r="I21" s="194">
        <f t="shared" si="0"/>
        <v>0</v>
      </c>
    </row>
    <row r="22" spans="1:9" x14ac:dyDescent="0.25">
      <c r="A22" s="6" t="s">
        <v>63</v>
      </c>
      <c r="B22" s="195" t="s">
        <v>64</v>
      </c>
      <c r="C22" s="6" t="s">
        <v>25</v>
      </c>
      <c r="D22" s="7"/>
      <c r="E22" s="8"/>
      <c r="F22" s="8">
        <v>15000</v>
      </c>
      <c r="G22" s="11"/>
      <c r="H22" s="8"/>
      <c r="I22" s="9">
        <f t="shared" si="0"/>
        <v>15000</v>
      </c>
    </row>
    <row r="23" spans="1:9" x14ac:dyDescent="0.25">
      <c r="A23" s="11"/>
      <c r="B23" s="195" t="s">
        <v>64</v>
      </c>
      <c r="C23" s="6" t="s">
        <v>25</v>
      </c>
      <c r="D23" s="7"/>
      <c r="E23" s="8"/>
      <c r="F23" s="8">
        <v>9000</v>
      </c>
      <c r="G23" s="6"/>
      <c r="H23" s="8"/>
      <c r="I23" s="9">
        <f t="shared" si="0"/>
        <v>24000</v>
      </c>
    </row>
    <row r="24" spans="1:9" x14ac:dyDescent="0.25">
      <c r="A24" s="11"/>
      <c r="B24" s="195" t="s">
        <v>64</v>
      </c>
      <c r="C24" s="6" t="s">
        <v>25</v>
      </c>
      <c r="D24" s="7"/>
      <c r="E24" s="8"/>
      <c r="F24" s="8">
        <v>10473</v>
      </c>
      <c r="G24" s="6"/>
      <c r="H24" s="8"/>
      <c r="I24" s="9">
        <f t="shared" si="0"/>
        <v>34473</v>
      </c>
    </row>
    <row r="25" spans="1:9" x14ac:dyDescent="0.25">
      <c r="A25" s="11"/>
      <c r="B25" s="195" t="s">
        <v>64</v>
      </c>
      <c r="C25" s="6" t="s">
        <v>25</v>
      </c>
      <c r="D25" s="7"/>
      <c r="E25" s="8"/>
      <c r="F25" s="8">
        <v>9919</v>
      </c>
      <c r="G25" s="6"/>
      <c r="H25" s="8"/>
      <c r="I25" s="9">
        <f t="shared" ref="I25:I58" si="2">I24-F25+H25</f>
        <v>24554</v>
      </c>
    </row>
    <row r="26" spans="1:9" x14ac:dyDescent="0.25">
      <c r="A26" s="11"/>
      <c r="B26" s="195" t="s">
        <v>64</v>
      </c>
      <c r="C26" s="6" t="s">
        <v>25</v>
      </c>
      <c r="D26" s="7"/>
      <c r="E26" s="8"/>
      <c r="F26" s="8">
        <v>56629</v>
      </c>
      <c r="G26" s="6"/>
      <c r="H26" s="8"/>
      <c r="I26" s="9">
        <f t="shared" si="2"/>
        <v>-32075</v>
      </c>
    </row>
    <row r="27" spans="1:9" x14ac:dyDescent="0.25">
      <c r="A27" s="11"/>
      <c r="B27" s="6"/>
      <c r="C27" s="6"/>
      <c r="D27" s="7"/>
      <c r="E27" s="8"/>
      <c r="F27" s="8">
        <f t="shared" si="1"/>
        <v>0</v>
      </c>
      <c r="G27" s="6" t="s">
        <v>74</v>
      </c>
      <c r="H27" s="203">
        <v>101021</v>
      </c>
      <c r="I27" s="9">
        <f t="shared" si="2"/>
        <v>68946</v>
      </c>
    </row>
    <row r="28" spans="1:9" x14ac:dyDescent="0.25">
      <c r="A28" s="11"/>
      <c r="B28" s="6"/>
      <c r="C28" s="6"/>
      <c r="D28" s="7"/>
      <c r="E28" s="8"/>
      <c r="F28" s="8">
        <f t="shared" si="1"/>
        <v>0</v>
      </c>
      <c r="G28" s="6"/>
      <c r="H28" s="8"/>
      <c r="I28" s="9">
        <f t="shared" si="2"/>
        <v>68946</v>
      </c>
    </row>
    <row r="29" spans="1:9" x14ac:dyDescent="0.25">
      <c r="A29" s="11"/>
      <c r="B29" s="6"/>
      <c r="C29" s="6"/>
      <c r="D29" s="7"/>
      <c r="E29" s="8"/>
      <c r="F29" s="8">
        <f t="shared" si="1"/>
        <v>0</v>
      </c>
      <c r="G29" s="6"/>
      <c r="H29" s="8"/>
      <c r="I29" s="9">
        <f t="shared" si="2"/>
        <v>68946</v>
      </c>
    </row>
    <row r="30" spans="1:9" x14ac:dyDescent="0.25">
      <c r="A30" s="11"/>
      <c r="B30" s="6"/>
      <c r="C30" s="6"/>
      <c r="D30" s="7"/>
      <c r="E30" s="8"/>
      <c r="F30" s="8">
        <f t="shared" si="1"/>
        <v>0</v>
      </c>
      <c r="G30" s="6"/>
      <c r="H30" s="8"/>
      <c r="I30" s="9">
        <f t="shared" si="2"/>
        <v>68946</v>
      </c>
    </row>
    <row r="31" spans="1:9" x14ac:dyDescent="0.25">
      <c r="A31" s="11"/>
      <c r="B31" s="6"/>
      <c r="C31" s="6"/>
      <c r="D31" s="7"/>
      <c r="E31" s="8"/>
      <c r="F31" s="8">
        <f t="shared" si="1"/>
        <v>0</v>
      </c>
      <c r="G31" s="6"/>
      <c r="H31" s="8"/>
      <c r="I31" s="9">
        <f t="shared" si="2"/>
        <v>68946</v>
      </c>
    </row>
    <row r="32" spans="1:9" x14ac:dyDescent="0.25">
      <c r="A32" s="11"/>
      <c r="B32" s="6"/>
      <c r="C32" s="6"/>
      <c r="D32" s="7"/>
      <c r="E32" s="8"/>
      <c r="F32" s="8">
        <f t="shared" si="1"/>
        <v>0</v>
      </c>
      <c r="G32" s="6"/>
      <c r="H32" s="8"/>
      <c r="I32" s="9">
        <f t="shared" si="2"/>
        <v>68946</v>
      </c>
    </row>
    <row r="33" spans="1:9" x14ac:dyDescent="0.25">
      <c r="A33" s="11"/>
      <c r="B33" s="6"/>
      <c r="C33" s="6"/>
      <c r="D33" s="7"/>
      <c r="E33" s="8"/>
      <c r="F33" s="8">
        <f t="shared" si="1"/>
        <v>0</v>
      </c>
      <c r="G33" s="11"/>
      <c r="H33" s="8"/>
      <c r="I33" s="9">
        <f t="shared" si="2"/>
        <v>68946</v>
      </c>
    </row>
    <row r="34" spans="1:9" x14ac:dyDescent="0.25">
      <c r="A34" s="11"/>
      <c r="B34" s="6"/>
      <c r="C34" s="6"/>
      <c r="D34" s="7"/>
      <c r="E34" s="8"/>
      <c r="F34" s="8">
        <f t="shared" si="1"/>
        <v>0</v>
      </c>
      <c r="G34" s="6"/>
      <c r="H34" s="8"/>
      <c r="I34" s="9">
        <f t="shared" si="2"/>
        <v>68946</v>
      </c>
    </row>
    <row r="35" spans="1:9" x14ac:dyDescent="0.25">
      <c r="A35" s="11"/>
      <c r="B35" s="6"/>
      <c r="C35" s="6"/>
      <c r="D35" s="7"/>
      <c r="E35" s="8"/>
      <c r="F35" s="8">
        <f t="shared" si="1"/>
        <v>0</v>
      </c>
      <c r="G35" s="6"/>
      <c r="H35" s="8"/>
      <c r="I35" s="9">
        <f t="shared" si="2"/>
        <v>68946</v>
      </c>
    </row>
    <row r="36" spans="1:9" x14ac:dyDescent="0.25">
      <c r="A36" s="11"/>
      <c r="B36" s="6"/>
      <c r="C36" s="6"/>
      <c r="D36" s="7"/>
      <c r="E36" s="8"/>
      <c r="F36" s="8">
        <f t="shared" si="1"/>
        <v>0</v>
      </c>
      <c r="G36" s="6"/>
      <c r="H36" s="8"/>
      <c r="I36" s="9">
        <f t="shared" si="2"/>
        <v>68946</v>
      </c>
    </row>
    <row r="37" spans="1:9" x14ac:dyDescent="0.25">
      <c r="A37" s="11"/>
      <c r="B37" s="6"/>
      <c r="C37" s="6"/>
      <c r="D37" s="7"/>
      <c r="E37" s="8"/>
      <c r="F37" s="8">
        <f t="shared" si="1"/>
        <v>0</v>
      </c>
      <c r="G37" s="6"/>
      <c r="H37" s="8"/>
      <c r="I37" s="9">
        <f t="shared" si="2"/>
        <v>68946</v>
      </c>
    </row>
    <row r="38" spans="1:9" x14ac:dyDescent="0.25">
      <c r="A38" s="11"/>
      <c r="B38" s="6"/>
      <c r="C38" s="6"/>
      <c r="D38" s="7"/>
      <c r="E38" s="8"/>
      <c r="F38" s="8">
        <f t="shared" si="1"/>
        <v>0</v>
      </c>
      <c r="G38" s="6"/>
      <c r="H38" s="8"/>
      <c r="I38" s="9">
        <f t="shared" si="2"/>
        <v>68946</v>
      </c>
    </row>
    <row r="39" spans="1:9" x14ac:dyDescent="0.25">
      <c r="A39" s="11"/>
      <c r="B39" s="6"/>
      <c r="C39" s="6"/>
      <c r="D39" s="7"/>
      <c r="E39" s="8"/>
      <c r="F39" s="8">
        <f t="shared" si="1"/>
        <v>0</v>
      </c>
      <c r="G39" s="6"/>
      <c r="H39" s="8"/>
      <c r="I39" s="9">
        <f t="shared" si="2"/>
        <v>68946</v>
      </c>
    </row>
    <row r="40" spans="1:9" x14ac:dyDescent="0.25">
      <c r="A40" s="11"/>
      <c r="B40" s="6"/>
      <c r="C40" s="6"/>
      <c r="D40" s="7"/>
      <c r="E40" s="8"/>
      <c r="F40" s="8">
        <f t="shared" si="1"/>
        <v>0</v>
      </c>
      <c r="G40" s="6"/>
      <c r="H40" s="8"/>
      <c r="I40" s="9">
        <f t="shared" si="2"/>
        <v>68946</v>
      </c>
    </row>
    <row r="41" spans="1:9" x14ac:dyDescent="0.25">
      <c r="A41" s="11"/>
      <c r="B41" s="6"/>
      <c r="C41" s="6"/>
      <c r="D41" s="7"/>
      <c r="E41" s="8"/>
      <c r="F41" s="8">
        <f t="shared" si="1"/>
        <v>0</v>
      </c>
      <c r="G41" s="6"/>
      <c r="H41" s="8"/>
      <c r="I41" s="9">
        <f t="shared" si="2"/>
        <v>68946</v>
      </c>
    </row>
    <row r="42" spans="1:9" x14ac:dyDescent="0.25">
      <c r="A42" s="11"/>
      <c r="B42" s="6"/>
      <c r="C42" s="6"/>
      <c r="D42" s="7"/>
      <c r="E42" s="8"/>
      <c r="F42" s="8">
        <f t="shared" si="1"/>
        <v>0</v>
      </c>
      <c r="G42" s="6"/>
      <c r="H42" s="8"/>
      <c r="I42" s="9">
        <f t="shared" si="2"/>
        <v>68946</v>
      </c>
    </row>
    <row r="43" spans="1:9" x14ac:dyDescent="0.25">
      <c r="A43" s="11"/>
      <c r="B43" s="6"/>
      <c r="C43" s="6"/>
      <c r="D43" s="7"/>
      <c r="E43" s="8"/>
      <c r="F43" s="8">
        <f t="shared" si="1"/>
        <v>0</v>
      </c>
      <c r="G43" s="6"/>
      <c r="H43" s="8"/>
      <c r="I43" s="9">
        <f t="shared" si="2"/>
        <v>68946</v>
      </c>
    </row>
    <row r="44" spans="1:9" ht="16.5" thickBot="1" x14ac:dyDescent="0.3">
      <c r="A44" s="13"/>
      <c r="B44" s="14"/>
      <c r="C44" s="14"/>
      <c r="D44" s="15"/>
      <c r="E44" s="16"/>
      <c r="F44" s="16">
        <f t="shared" ref="F44:F58" si="3">C44*E44+D44*E44</f>
        <v>0</v>
      </c>
      <c r="G44" s="14"/>
      <c r="H44" s="16"/>
      <c r="I44" s="9">
        <f t="shared" si="2"/>
        <v>68946</v>
      </c>
    </row>
    <row r="45" spans="1:9" x14ac:dyDescent="0.25">
      <c r="A45" s="21"/>
      <c r="B45" s="18"/>
      <c r="C45" s="18"/>
      <c r="D45" s="19"/>
      <c r="E45" s="20"/>
      <c r="F45" s="20">
        <f t="shared" si="3"/>
        <v>0</v>
      </c>
      <c r="G45" s="18"/>
      <c r="H45" s="20"/>
      <c r="I45" s="9">
        <f t="shared" si="2"/>
        <v>68946</v>
      </c>
    </row>
    <row r="46" spans="1:9" x14ac:dyDescent="0.25">
      <c r="A46" s="11"/>
      <c r="B46" s="6"/>
      <c r="C46" s="6"/>
      <c r="D46" s="7"/>
      <c r="E46" s="8"/>
      <c r="F46" s="8">
        <f t="shared" si="3"/>
        <v>0</v>
      </c>
      <c r="G46" s="11"/>
      <c r="H46" s="8"/>
      <c r="I46" s="9">
        <f t="shared" si="2"/>
        <v>68946</v>
      </c>
    </row>
    <row r="47" spans="1:9" x14ac:dyDescent="0.25">
      <c r="A47" s="11"/>
      <c r="B47" s="6"/>
      <c r="C47" s="6"/>
      <c r="D47" s="7"/>
      <c r="E47" s="8"/>
      <c r="F47" s="8">
        <f t="shared" si="3"/>
        <v>0</v>
      </c>
      <c r="G47" s="11"/>
      <c r="H47" s="8"/>
      <c r="I47" s="9">
        <f t="shared" si="2"/>
        <v>68946</v>
      </c>
    </row>
    <row r="48" spans="1:9" x14ac:dyDescent="0.25">
      <c r="A48" s="11"/>
      <c r="B48" s="6"/>
      <c r="C48" s="6"/>
      <c r="D48" s="7"/>
      <c r="E48" s="8"/>
      <c r="F48" s="8">
        <f t="shared" si="3"/>
        <v>0</v>
      </c>
      <c r="G48" s="6"/>
      <c r="H48" s="8"/>
      <c r="I48" s="9">
        <f t="shared" si="2"/>
        <v>68946</v>
      </c>
    </row>
    <row r="49" spans="1:9" x14ac:dyDescent="0.25">
      <c r="A49" s="11"/>
      <c r="B49" s="6"/>
      <c r="C49" s="6"/>
      <c r="D49" s="7"/>
      <c r="E49" s="8"/>
      <c r="F49" s="8">
        <f t="shared" si="3"/>
        <v>0</v>
      </c>
      <c r="G49" s="6"/>
      <c r="H49" s="8"/>
      <c r="I49" s="9">
        <f t="shared" si="2"/>
        <v>68946</v>
      </c>
    </row>
    <row r="50" spans="1:9" x14ac:dyDescent="0.25">
      <c r="A50" s="11"/>
      <c r="B50" s="6"/>
      <c r="C50" s="6"/>
      <c r="D50" s="7"/>
      <c r="E50" s="8"/>
      <c r="F50" s="8">
        <f t="shared" si="3"/>
        <v>0</v>
      </c>
      <c r="G50" s="6"/>
      <c r="H50" s="8"/>
      <c r="I50" s="9">
        <f t="shared" si="2"/>
        <v>68946</v>
      </c>
    </row>
    <row r="51" spans="1:9" x14ac:dyDescent="0.25">
      <c r="A51" s="11"/>
      <c r="B51" s="6"/>
      <c r="C51" s="6"/>
      <c r="D51" s="7"/>
      <c r="E51" s="8"/>
      <c r="F51" s="8">
        <f t="shared" si="3"/>
        <v>0</v>
      </c>
      <c r="G51" s="6"/>
      <c r="H51" s="8"/>
      <c r="I51" s="9">
        <f t="shared" si="2"/>
        <v>68946</v>
      </c>
    </row>
    <row r="52" spans="1:9" x14ac:dyDescent="0.25">
      <c r="A52" s="11"/>
      <c r="B52" s="6"/>
      <c r="C52" s="6"/>
      <c r="D52" s="7"/>
      <c r="E52" s="8"/>
      <c r="F52" s="8">
        <f t="shared" si="3"/>
        <v>0</v>
      </c>
      <c r="G52" s="6"/>
      <c r="H52" s="8"/>
      <c r="I52" s="9">
        <f t="shared" si="2"/>
        <v>68946</v>
      </c>
    </row>
    <row r="53" spans="1:9" x14ac:dyDescent="0.25">
      <c r="A53" s="11"/>
      <c r="B53" s="6"/>
      <c r="C53" s="6"/>
      <c r="D53" s="7"/>
      <c r="E53" s="8"/>
      <c r="F53" s="8">
        <f t="shared" si="3"/>
        <v>0</v>
      </c>
      <c r="G53" s="6"/>
      <c r="H53" s="8"/>
      <c r="I53" s="9">
        <f t="shared" si="2"/>
        <v>68946</v>
      </c>
    </row>
    <row r="54" spans="1:9" x14ac:dyDescent="0.25">
      <c r="A54" s="11"/>
      <c r="B54" s="6"/>
      <c r="C54" s="6"/>
      <c r="D54" s="7"/>
      <c r="E54" s="8"/>
      <c r="F54" s="8">
        <f t="shared" si="3"/>
        <v>0</v>
      </c>
      <c r="G54" s="6"/>
      <c r="H54" s="8"/>
      <c r="I54" s="9">
        <f t="shared" si="2"/>
        <v>68946</v>
      </c>
    </row>
    <row r="55" spans="1:9" x14ac:dyDescent="0.25">
      <c r="A55" s="11"/>
      <c r="B55" s="6"/>
      <c r="C55" s="6"/>
      <c r="D55" s="7"/>
      <c r="E55" s="8"/>
      <c r="F55" s="8">
        <f t="shared" si="3"/>
        <v>0</v>
      </c>
      <c r="G55" s="6"/>
      <c r="H55" s="8"/>
      <c r="I55" s="9">
        <f t="shared" si="2"/>
        <v>68946</v>
      </c>
    </row>
    <row r="56" spans="1:9" x14ac:dyDescent="0.25">
      <c r="A56" s="6"/>
      <c r="B56" s="6"/>
      <c r="C56" s="6"/>
      <c r="D56" s="7"/>
      <c r="E56" s="8"/>
      <c r="F56" s="8">
        <f t="shared" si="3"/>
        <v>0</v>
      </c>
      <c r="G56" s="6"/>
      <c r="H56" s="8"/>
      <c r="I56" s="9">
        <f t="shared" si="2"/>
        <v>68946</v>
      </c>
    </row>
    <row r="57" spans="1:9" x14ac:dyDescent="0.25">
      <c r="A57" s="6"/>
      <c r="B57" s="6"/>
      <c r="C57" s="6"/>
      <c r="D57" s="7"/>
      <c r="E57" s="8"/>
      <c r="F57" s="8">
        <f t="shared" si="3"/>
        <v>0</v>
      </c>
      <c r="G57" s="6"/>
      <c r="H57" s="8"/>
      <c r="I57" s="9">
        <f t="shared" si="2"/>
        <v>68946</v>
      </c>
    </row>
    <row r="58" spans="1:9" x14ac:dyDescent="0.25">
      <c r="A58" s="6"/>
      <c r="B58" s="6"/>
      <c r="C58" s="6"/>
      <c r="D58" s="7"/>
      <c r="E58" s="8"/>
      <c r="F58" s="8">
        <f t="shared" si="3"/>
        <v>0</v>
      </c>
      <c r="G58" s="6"/>
      <c r="H58" s="8"/>
      <c r="I58" s="9">
        <f t="shared" si="2"/>
        <v>68946</v>
      </c>
    </row>
    <row r="59" spans="1:9" s="25" customFormat="1" x14ac:dyDescent="0.25">
      <c r="A59" s="22"/>
      <c r="B59" s="22"/>
      <c r="C59" s="22">
        <f>SUM(C6:C58)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"/>
  <sheetViews>
    <sheetView tabSelected="1" workbookViewId="0">
      <pane ySplit="1" topLeftCell="A9" activePane="bottomLeft" state="frozen"/>
      <selection pane="bottomLeft" activeCell="K36" sqref="K36"/>
    </sheetView>
  </sheetViews>
  <sheetFormatPr defaultColWidth="8.85546875" defaultRowHeight="15.75" x14ac:dyDescent="0.25"/>
  <cols>
    <col min="1" max="1" width="10.7109375" style="166" customWidth="1"/>
    <col min="2" max="2" width="17.42578125" style="10" customWidth="1"/>
    <col min="3" max="3" width="13.42578125" style="10" customWidth="1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0" width="11.5703125" style="27" bestFit="1" customWidth="1"/>
    <col min="11" max="16384" width="8.85546875" style="10"/>
  </cols>
  <sheetData>
    <row r="1" spans="1:11" s="5" customFormat="1" ht="31.5" x14ac:dyDescent="0.25">
      <c r="A1" s="42" t="s">
        <v>0</v>
      </c>
      <c r="B1" s="1" t="s">
        <v>10</v>
      </c>
      <c r="C1" s="1" t="s">
        <v>25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  <c r="J1" s="123"/>
    </row>
    <row r="2" spans="1:11" ht="16.5" thickBot="1" x14ac:dyDescent="0.3">
      <c r="A2" s="171"/>
      <c r="B2" s="94"/>
      <c r="C2" s="94"/>
      <c r="D2" s="95"/>
      <c r="E2" s="96"/>
      <c r="F2" s="96"/>
      <c r="G2" s="94"/>
      <c r="H2" s="96"/>
      <c r="I2" s="97">
        <v>0</v>
      </c>
    </row>
    <row r="3" spans="1:11" x14ac:dyDescent="0.25">
      <c r="A3" s="159">
        <v>45751</v>
      </c>
      <c r="B3" s="85" t="s">
        <v>43</v>
      </c>
      <c r="C3" s="85" t="s">
        <v>46</v>
      </c>
      <c r="D3" s="86">
        <v>8640</v>
      </c>
      <c r="E3" s="87">
        <f>F3/D3</f>
        <v>4.333333333333333</v>
      </c>
      <c r="F3" s="152">
        <v>37440</v>
      </c>
      <c r="G3" s="85"/>
      <c r="H3" s="87"/>
      <c r="I3" s="89">
        <f t="shared" ref="I3:I34" si="0">I2+F3-H3</f>
        <v>37440</v>
      </c>
      <c r="J3" s="150">
        <v>43920</v>
      </c>
      <c r="K3" s="151" t="s">
        <v>56</v>
      </c>
    </row>
    <row r="4" spans="1:11" ht="16.5" thickBot="1" x14ac:dyDescent="0.3">
      <c r="A4" s="172"/>
      <c r="B4" s="94" t="s">
        <v>43</v>
      </c>
      <c r="C4" s="94" t="s">
        <v>46</v>
      </c>
      <c r="D4" s="95">
        <v>11520</v>
      </c>
      <c r="E4" s="96">
        <f>F4/D4</f>
        <v>8.375</v>
      </c>
      <c r="F4" s="153">
        <v>96480</v>
      </c>
      <c r="G4" s="94"/>
      <c r="H4" s="96"/>
      <c r="I4" s="122">
        <f t="shared" si="0"/>
        <v>133920</v>
      </c>
    </row>
    <row r="5" spans="1:11" x14ac:dyDescent="0.25">
      <c r="A5" s="159">
        <v>45755</v>
      </c>
      <c r="B5" s="85" t="s">
        <v>43</v>
      </c>
      <c r="C5" s="85" t="s">
        <v>46</v>
      </c>
      <c r="D5" s="86">
        <v>7200</v>
      </c>
      <c r="E5" s="87">
        <f>F5/D5</f>
        <v>9.25</v>
      </c>
      <c r="F5" s="152">
        <v>66600</v>
      </c>
      <c r="G5" s="88"/>
      <c r="H5" s="87"/>
      <c r="I5" s="89">
        <f t="shared" si="0"/>
        <v>200520</v>
      </c>
      <c r="J5" s="150">
        <v>66000</v>
      </c>
      <c r="K5" s="151" t="s">
        <v>56</v>
      </c>
    </row>
    <row r="6" spans="1:11" x14ac:dyDescent="0.25">
      <c r="A6" s="161"/>
      <c r="B6" s="6" t="s">
        <v>43</v>
      </c>
      <c r="C6" s="6"/>
      <c r="D6" s="7"/>
      <c r="E6" s="8"/>
      <c r="F6" s="155">
        <v>28800</v>
      </c>
      <c r="G6" s="11"/>
      <c r="H6" s="8"/>
      <c r="I6" s="100">
        <f t="shared" si="0"/>
        <v>229320</v>
      </c>
      <c r="J6" s="27">
        <v>19000</v>
      </c>
      <c r="K6" s="10" t="s">
        <v>56</v>
      </c>
    </row>
    <row r="7" spans="1:11" x14ac:dyDescent="0.25">
      <c r="A7" s="161"/>
      <c r="B7" s="154" t="s">
        <v>43</v>
      </c>
      <c r="C7" s="6"/>
      <c r="D7" s="7"/>
      <c r="E7" s="8"/>
      <c r="F7" s="155">
        <v>19200</v>
      </c>
      <c r="G7" s="11"/>
      <c r="H7" s="8"/>
      <c r="I7" s="100">
        <f t="shared" si="0"/>
        <v>248520</v>
      </c>
      <c r="J7" s="27">
        <v>0</v>
      </c>
      <c r="K7" s="10" t="s">
        <v>56</v>
      </c>
    </row>
    <row r="8" spans="1:11" x14ac:dyDescent="0.25">
      <c r="A8" s="161">
        <v>45763</v>
      </c>
      <c r="B8" s="6" t="s">
        <v>43</v>
      </c>
      <c r="C8" s="6" t="s">
        <v>46</v>
      </c>
      <c r="D8" s="7">
        <v>25920</v>
      </c>
      <c r="E8" s="8">
        <f t="shared" ref="E8:E16" si="1">F8/D8</f>
        <v>4.25</v>
      </c>
      <c r="F8" s="56">
        <v>110160</v>
      </c>
      <c r="G8" s="6"/>
      <c r="H8" s="8"/>
      <c r="I8" s="100">
        <f t="shared" si="0"/>
        <v>358680</v>
      </c>
      <c r="J8" s="149"/>
    </row>
    <row r="9" spans="1:11" x14ac:dyDescent="0.25">
      <c r="A9" s="161"/>
      <c r="B9" s="6" t="s">
        <v>43</v>
      </c>
      <c r="C9" s="6" t="s">
        <v>46</v>
      </c>
      <c r="D9" s="7">
        <v>14400</v>
      </c>
      <c r="E9" s="8">
        <f t="shared" si="1"/>
        <v>3.9166666666666665</v>
      </c>
      <c r="F9" s="56">
        <v>56400</v>
      </c>
      <c r="G9" s="11"/>
      <c r="H9" s="8"/>
      <c r="I9" s="100">
        <f t="shared" si="0"/>
        <v>415080</v>
      </c>
    </row>
    <row r="10" spans="1:11" ht="16.5" thickBot="1" x14ac:dyDescent="0.3">
      <c r="A10" s="160"/>
      <c r="B10" s="14" t="s">
        <v>43</v>
      </c>
      <c r="C10" s="14" t="s">
        <v>46</v>
      </c>
      <c r="D10" s="15">
        <v>2880</v>
      </c>
      <c r="E10" s="16">
        <f t="shared" si="1"/>
        <v>3.5916666666666668</v>
      </c>
      <c r="F10" s="69">
        <v>10344</v>
      </c>
      <c r="G10" s="14"/>
      <c r="H10" s="16"/>
      <c r="I10" s="92">
        <f t="shared" si="0"/>
        <v>425424</v>
      </c>
    </row>
    <row r="11" spans="1:11" x14ac:dyDescent="0.25">
      <c r="A11" s="159">
        <v>45768</v>
      </c>
      <c r="B11" s="85" t="s">
        <v>43</v>
      </c>
      <c r="C11" s="85" t="s">
        <v>46</v>
      </c>
      <c r="D11" s="86">
        <v>8640</v>
      </c>
      <c r="E11" s="87">
        <f t="shared" si="1"/>
        <v>4.333333333333333</v>
      </c>
      <c r="F11" s="152">
        <v>37440</v>
      </c>
      <c r="G11" s="88"/>
      <c r="H11" s="87"/>
      <c r="I11" s="89">
        <f t="shared" si="0"/>
        <v>462864</v>
      </c>
      <c r="J11" s="150">
        <v>43920</v>
      </c>
      <c r="K11" s="151" t="s">
        <v>56</v>
      </c>
    </row>
    <row r="12" spans="1:11" x14ac:dyDescent="0.25">
      <c r="A12" s="161">
        <v>45770</v>
      </c>
      <c r="B12" s="18" t="s">
        <v>43</v>
      </c>
      <c r="C12" s="18" t="s">
        <v>46</v>
      </c>
      <c r="D12" s="7">
        <v>8640</v>
      </c>
      <c r="E12" s="8">
        <f t="shared" si="1"/>
        <v>4.25</v>
      </c>
      <c r="F12" s="155">
        <v>36720</v>
      </c>
      <c r="G12" s="6"/>
      <c r="H12" s="8"/>
      <c r="I12" s="100">
        <f t="shared" si="0"/>
        <v>499584</v>
      </c>
      <c r="J12" s="150">
        <v>43560</v>
      </c>
      <c r="K12" s="151" t="s">
        <v>56</v>
      </c>
    </row>
    <row r="13" spans="1:11" x14ac:dyDescent="0.25">
      <c r="A13" s="161"/>
      <c r="B13" s="18" t="s">
        <v>43</v>
      </c>
      <c r="C13" s="18" t="s">
        <v>46</v>
      </c>
      <c r="D13" s="7">
        <v>2880</v>
      </c>
      <c r="E13" s="8">
        <f t="shared" si="1"/>
        <v>3.9166666666666665</v>
      </c>
      <c r="F13" s="155">
        <v>11280</v>
      </c>
      <c r="G13" s="11"/>
      <c r="H13" s="8"/>
      <c r="I13" s="100">
        <f t="shared" si="0"/>
        <v>510864</v>
      </c>
      <c r="J13" s="150">
        <v>12720</v>
      </c>
      <c r="K13" s="151" t="s">
        <v>56</v>
      </c>
    </row>
    <row r="14" spans="1:11" x14ac:dyDescent="0.25">
      <c r="A14" s="161">
        <v>45777</v>
      </c>
      <c r="B14" s="18" t="s">
        <v>43</v>
      </c>
      <c r="C14" s="18" t="s">
        <v>46</v>
      </c>
      <c r="D14" s="7">
        <v>2880</v>
      </c>
      <c r="E14" s="8">
        <f t="shared" si="1"/>
        <v>2.125</v>
      </c>
      <c r="F14" s="8">
        <v>6120</v>
      </c>
      <c r="G14" s="6"/>
      <c r="H14" s="8"/>
      <c r="I14" s="100">
        <f t="shared" si="0"/>
        <v>516984</v>
      </c>
    </row>
    <row r="15" spans="1:11" x14ac:dyDescent="0.25">
      <c r="A15" s="161"/>
      <c r="B15" s="18" t="s">
        <v>43</v>
      </c>
      <c r="C15" s="18" t="s">
        <v>46</v>
      </c>
      <c r="D15" s="7">
        <v>5760</v>
      </c>
      <c r="E15" s="8">
        <f t="shared" si="1"/>
        <v>1.8395833333333333</v>
      </c>
      <c r="F15" s="8">
        <v>10596</v>
      </c>
      <c r="G15" s="11"/>
      <c r="H15" s="8"/>
      <c r="I15" s="100">
        <f t="shared" si="0"/>
        <v>527580</v>
      </c>
    </row>
    <row r="16" spans="1:11" ht="16.5" thickBot="1" x14ac:dyDescent="0.3">
      <c r="A16" s="160"/>
      <c r="B16" s="148" t="s">
        <v>43</v>
      </c>
      <c r="C16" s="148" t="s">
        <v>46</v>
      </c>
      <c r="D16" s="15">
        <v>1440</v>
      </c>
      <c r="E16" s="16">
        <f t="shared" si="1"/>
        <v>7.7583333333333337</v>
      </c>
      <c r="F16" s="16">
        <v>11172</v>
      </c>
      <c r="G16" s="14"/>
      <c r="H16" s="16"/>
      <c r="I16" s="92">
        <f t="shared" si="0"/>
        <v>538752</v>
      </c>
    </row>
    <row r="17" spans="1:10" s="12" customFormat="1" x14ac:dyDescent="0.25">
      <c r="A17" s="162" t="s">
        <v>57</v>
      </c>
      <c r="B17" s="115"/>
      <c r="C17" s="115"/>
      <c r="D17" s="116"/>
      <c r="E17" s="117"/>
      <c r="F17" s="117">
        <f t="shared" ref="F17:F29" si="2">D17*E17</f>
        <v>0</v>
      </c>
      <c r="G17" s="115"/>
      <c r="H17" s="117"/>
      <c r="I17" s="170">
        <f t="shared" si="0"/>
        <v>538752</v>
      </c>
      <c r="J17" s="149"/>
    </row>
    <row r="18" spans="1:10" x14ac:dyDescent="0.25">
      <c r="A18" s="157">
        <v>45782</v>
      </c>
      <c r="B18" s="6" t="s">
        <v>43</v>
      </c>
      <c r="C18" s="18" t="s">
        <v>46</v>
      </c>
      <c r="D18" s="7">
        <v>2880</v>
      </c>
      <c r="E18" s="8">
        <f t="shared" ref="E18:E20" si="3">F18/D18</f>
        <v>6.4652777777777777</v>
      </c>
      <c r="F18" s="8">
        <v>18620</v>
      </c>
      <c r="G18" s="6"/>
      <c r="H18" s="8"/>
      <c r="I18" s="100">
        <f t="shared" si="0"/>
        <v>557372</v>
      </c>
    </row>
    <row r="19" spans="1:10" x14ac:dyDescent="0.25">
      <c r="A19" s="157">
        <v>45790</v>
      </c>
      <c r="B19" s="6" t="s">
        <v>43</v>
      </c>
      <c r="C19" s="18" t="s">
        <v>46</v>
      </c>
      <c r="D19" s="7">
        <v>4320</v>
      </c>
      <c r="E19" s="8">
        <f t="shared" si="3"/>
        <v>4.416666666666667</v>
      </c>
      <c r="F19" s="54">
        <v>19080</v>
      </c>
      <c r="G19" s="6"/>
      <c r="H19" s="8"/>
      <c r="I19" s="100">
        <f t="shared" si="0"/>
        <v>576452</v>
      </c>
    </row>
    <row r="20" spans="1:10" x14ac:dyDescent="0.25">
      <c r="A20" s="157"/>
      <c r="B20" s="6" t="s">
        <v>43</v>
      </c>
      <c r="C20" s="18" t="s">
        <v>46</v>
      </c>
      <c r="D20" s="7">
        <v>7200</v>
      </c>
      <c r="E20" s="8">
        <f t="shared" si="3"/>
        <v>9.25</v>
      </c>
      <c r="F20" s="54">
        <v>66600</v>
      </c>
      <c r="G20" s="6"/>
      <c r="H20" s="8"/>
      <c r="I20" s="100">
        <f t="shared" si="0"/>
        <v>643052</v>
      </c>
    </row>
    <row r="21" spans="1:10" x14ac:dyDescent="0.25">
      <c r="A21" s="157" t="s">
        <v>65</v>
      </c>
      <c r="B21" s="6" t="s">
        <v>43</v>
      </c>
      <c r="C21" s="18" t="s">
        <v>46</v>
      </c>
      <c r="D21" s="7"/>
      <c r="E21" s="8"/>
      <c r="F21" s="8">
        <v>13320</v>
      </c>
      <c r="G21" s="11"/>
      <c r="H21" s="8"/>
      <c r="I21" s="100">
        <f t="shared" si="0"/>
        <v>656372</v>
      </c>
    </row>
    <row r="22" spans="1:10" x14ac:dyDescent="0.25">
      <c r="A22" s="157" t="s">
        <v>70</v>
      </c>
      <c r="B22" s="195" t="s">
        <v>71</v>
      </c>
      <c r="C22" s="18" t="s">
        <v>46</v>
      </c>
      <c r="D22" s="7"/>
      <c r="E22" s="8"/>
      <c r="F22" s="200">
        <v>40572</v>
      </c>
      <c r="G22" s="11"/>
      <c r="H22" s="8"/>
      <c r="I22" s="100">
        <f t="shared" si="0"/>
        <v>696944</v>
      </c>
    </row>
    <row r="23" spans="1:10" x14ac:dyDescent="0.25">
      <c r="A23" s="156"/>
      <c r="B23" s="195" t="s">
        <v>71</v>
      </c>
      <c r="C23" s="18" t="s">
        <v>46</v>
      </c>
      <c r="D23" s="7"/>
      <c r="E23" s="8"/>
      <c r="F23" s="201">
        <v>96480</v>
      </c>
      <c r="G23" s="11"/>
      <c r="H23" s="8"/>
      <c r="I23" s="100">
        <f t="shared" si="0"/>
        <v>793424</v>
      </c>
    </row>
    <row r="24" spans="1:10" x14ac:dyDescent="0.25">
      <c r="A24" s="157"/>
      <c r="B24" s="195" t="s">
        <v>71</v>
      </c>
      <c r="C24" s="18" t="s">
        <v>46</v>
      </c>
      <c r="D24" s="7"/>
      <c r="E24" s="8"/>
      <c r="F24" s="201">
        <v>43560</v>
      </c>
      <c r="G24" s="6"/>
      <c r="H24" s="8"/>
      <c r="I24" s="100">
        <f t="shared" si="0"/>
        <v>836984</v>
      </c>
    </row>
    <row r="25" spans="1:10" x14ac:dyDescent="0.25">
      <c r="A25" s="157"/>
      <c r="B25" s="195" t="s">
        <v>71</v>
      </c>
      <c r="C25" s="18" t="s">
        <v>46</v>
      </c>
      <c r="D25" s="7"/>
      <c r="E25" s="8"/>
      <c r="F25" s="201">
        <v>12720</v>
      </c>
      <c r="G25" s="6"/>
      <c r="H25" s="8"/>
      <c r="I25" s="100">
        <f t="shared" si="0"/>
        <v>849704</v>
      </c>
    </row>
    <row r="26" spans="1:10" x14ac:dyDescent="0.25">
      <c r="A26" s="157" t="s">
        <v>73</v>
      </c>
      <c r="B26" s="195" t="s">
        <v>71</v>
      </c>
      <c r="C26" s="18" t="s">
        <v>46</v>
      </c>
      <c r="D26" s="7"/>
      <c r="E26" s="8"/>
      <c r="F26" s="201">
        <v>6240</v>
      </c>
      <c r="G26" s="6"/>
      <c r="H26" s="8"/>
      <c r="I26" s="100">
        <f t="shared" si="0"/>
        <v>855944</v>
      </c>
    </row>
    <row r="27" spans="1:10" x14ac:dyDescent="0.25">
      <c r="A27" s="157" t="s">
        <v>74</v>
      </c>
      <c r="B27" s="195" t="s">
        <v>71</v>
      </c>
      <c r="C27" s="18" t="s">
        <v>46</v>
      </c>
      <c r="D27" s="7"/>
      <c r="E27" s="8"/>
      <c r="F27" s="201">
        <v>12000</v>
      </c>
      <c r="G27" s="157" t="s">
        <v>74</v>
      </c>
      <c r="H27" s="8">
        <v>473424</v>
      </c>
      <c r="I27" s="100">
        <f t="shared" si="0"/>
        <v>394520</v>
      </c>
    </row>
    <row r="28" spans="1:10" x14ac:dyDescent="0.25">
      <c r="A28" s="157" t="s">
        <v>72</v>
      </c>
      <c r="B28" s="195" t="s">
        <v>71</v>
      </c>
      <c r="C28" s="18" t="s">
        <v>46</v>
      </c>
      <c r="D28" s="7"/>
      <c r="E28" s="8"/>
      <c r="F28" s="202">
        <v>14520</v>
      </c>
      <c r="G28" s="6"/>
      <c r="H28" s="8"/>
      <c r="I28" s="100">
        <f t="shared" si="0"/>
        <v>409040</v>
      </c>
    </row>
    <row r="29" spans="1:10" x14ac:dyDescent="0.25">
      <c r="A29" s="157"/>
      <c r="B29" s="6"/>
      <c r="C29" s="6"/>
      <c r="D29" s="7"/>
      <c r="E29" s="8"/>
      <c r="F29" s="8">
        <f t="shared" si="2"/>
        <v>0</v>
      </c>
      <c r="G29" s="6"/>
      <c r="H29" s="8"/>
      <c r="I29" s="100">
        <f t="shared" si="0"/>
        <v>409040</v>
      </c>
    </row>
    <row r="30" spans="1:10" x14ac:dyDescent="0.25">
      <c r="A30" s="157"/>
      <c r="B30" s="6"/>
      <c r="C30" s="6"/>
      <c r="D30" s="7"/>
      <c r="E30" s="8"/>
      <c r="F30" s="8">
        <f t="shared" ref="F30:F59" si="4">C30*E30+D30*E30</f>
        <v>0</v>
      </c>
      <c r="G30" s="6"/>
      <c r="H30" s="8"/>
      <c r="I30" s="100">
        <f t="shared" si="0"/>
        <v>409040</v>
      </c>
    </row>
    <row r="31" spans="1:10" x14ac:dyDescent="0.25">
      <c r="A31" s="157"/>
      <c r="B31" s="6"/>
      <c r="C31" s="6"/>
      <c r="D31" s="7"/>
      <c r="E31" s="8"/>
      <c r="F31" s="8">
        <f t="shared" si="4"/>
        <v>0</v>
      </c>
      <c r="G31" s="6"/>
      <c r="H31" s="8"/>
      <c r="I31" s="100">
        <f t="shared" si="0"/>
        <v>409040</v>
      </c>
    </row>
    <row r="32" spans="1:10" x14ac:dyDescent="0.25">
      <c r="A32" s="157"/>
      <c r="B32" s="6"/>
      <c r="C32" s="6"/>
      <c r="D32" s="7"/>
      <c r="E32" s="8"/>
      <c r="F32" s="8">
        <f t="shared" si="4"/>
        <v>0</v>
      </c>
      <c r="G32" s="6"/>
      <c r="H32" s="8"/>
      <c r="I32" s="100">
        <f t="shared" si="0"/>
        <v>409040</v>
      </c>
    </row>
    <row r="33" spans="1:9" x14ac:dyDescent="0.25">
      <c r="A33" s="157"/>
      <c r="B33" s="6"/>
      <c r="C33" s="6"/>
      <c r="D33" s="7"/>
      <c r="E33" s="8"/>
      <c r="F33" s="8">
        <f t="shared" si="4"/>
        <v>0</v>
      </c>
      <c r="G33" s="6"/>
      <c r="H33" s="8"/>
      <c r="I33" s="100">
        <f t="shared" si="0"/>
        <v>409040</v>
      </c>
    </row>
    <row r="34" spans="1:9" x14ac:dyDescent="0.25">
      <c r="A34" s="157"/>
      <c r="B34" s="6"/>
      <c r="C34" s="6"/>
      <c r="D34" s="7"/>
      <c r="E34" s="8"/>
      <c r="F34" s="8">
        <f t="shared" si="4"/>
        <v>0</v>
      </c>
      <c r="G34" s="11"/>
      <c r="H34" s="8"/>
      <c r="I34" s="100">
        <f t="shared" si="0"/>
        <v>409040</v>
      </c>
    </row>
    <row r="35" spans="1:9" x14ac:dyDescent="0.25">
      <c r="A35" s="157"/>
      <c r="B35" s="6"/>
      <c r="C35" s="6"/>
      <c r="D35" s="7"/>
      <c r="E35" s="8"/>
      <c r="F35" s="8">
        <f t="shared" si="4"/>
        <v>0</v>
      </c>
      <c r="G35" s="6"/>
      <c r="H35" s="8"/>
      <c r="I35" s="100">
        <f t="shared" ref="I35:I59" si="5">I34+F35-H35</f>
        <v>409040</v>
      </c>
    </row>
    <row r="36" spans="1:9" x14ac:dyDescent="0.25">
      <c r="A36" s="157"/>
      <c r="B36" s="6"/>
      <c r="C36" s="6"/>
      <c r="D36" s="7"/>
      <c r="E36" s="8"/>
      <c r="F36" s="8">
        <f t="shared" si="4"/>
        <v>0</v>
      </c>
      <c r="G36" s="6"/>
      <c r="H36" s="8"/>
      <c r="I36" s="100">
        <f t="shared" si="5"/>
        <v>409040</v>
      </c>
    </row>
    <row r="37" spans="1:9" x14ac:dyDescent="0.25">
      <c r="A37" s="157"/>
      <c r="B37" s="6"/>
      <c r="C37" s="6"/>
      <c r="D37" s="7"/>
      <c r="E37" s="8"/>
      <c r="F37" s="8">
        <f t="shared" si="4"/>
        <v>0</v>
      </c>
      <c r="G37" s="6"/>
      <c r="H37" s="8"/>
      <c r="I37" s="100">
        <f t="shared" si="5"/>
        <v>409040</v>
      </c>
    </row>
    <row r="38" spans="1:9" x14ac:dyDescent="0.25">
      <c r="A38" s="157"/>
      <c r="B38" s="6"/>
      <c r="C38" s="6"/>
      <c r="D38" s="7"/>
      <c r="E38" s="8"/>
      <c r="F38" s="8">
        <f t="shared" si="4"/>
        <v>0</v>
      </c>
      <c r="G38" s="6"/>
      <c r="H38" s="8"/>
      <c r="I38" s="100">
        <f t="shared" si="5"/>
        <v>409040</v>
      </c>
    </row>
    <row r="39" spans="1:9" x14ac:dyDescent="0.25">
      <c r="A39" s="157"/>
      <c r="B39" s="6"/>
      <c r="C39" s="6"/>
      <c r="D39" s="7"/>
      <c r="E39" s="8"/>
      <c r="F39" s="8">
        <f t="shared" si="4"/>
        <v>0</v>
      </c>
      <c r="G39" s="6"/>
      <c r="H39" s="8"/>
      <c r="I39" s="100">
        <f t="shared" si="5"/>
        <v>409040</v>
      </c>
    </row>
    <row r="40" spans="1:9" x14ac:dyDescent="0.25">
      <c r="A40" s="157"/>
      <c r="B40" s="6"/>
      <c r="C40" s="6"/>
      <c r="D40" s="7"/>
      <c r="E40" s="8"/>
      <c r="F40" s="8">
        <f t="shared" si="4"/>
        <v>0</v>
      </c>
      <c r="G40" s="6"/>
      <c r="H40" s="8"/>
      <c r="I40" s="100">
        <f t="shared" si="5"/>
        <v>409040</v>
      </c>
    </row>
    <row r="41" spans="1:9" x14ac:dyDescent="0.25">
      <c r="A41" s="157"/>
      <c r="B41" s="6"/>
      <c r="C41" s="6"/>
      <c r="D41" s="7"/>
      <c r="E41" s="8"/>
      <c r="F41" s="8">
        <f t="shared" si="4"/>
        <v>0</v>
      </c>
      <c r="G41" s="6"/>
      <c r="H41" s="8"/>
      <c r="I41" s="100">
        <f t="shared" si="5"/>
        <v>409040</v>
      </c>
    </row>
    <row r="42" spans="1:9" x14ac:dyDescent="0.25">
      <c r="A42" s="157"/>
      <c r="B42" s="6"/>
      <c r="C42" s="6"/>
      <c r="D42" s="7"/>
      <c r="E42" s="8"/>
      <c r="F42" s="8">
        <f t="shared" si="4"/>
        <v>0</v>
      </c>
      <c r="G42" s="6"/>
      <c r="H42" s="8"/>
      <c r="I42" s="100">
        <f t="shared" si="5"/>
        <v>409040</v>
      </c>
    </row>
    <row r="43" spans="1:9" x14ac:dyDescent="0.25">
      <c r="A43" s="157"/>
      <c r="B43" s="6"/>
      <c r="C43" s="6"/>
      <c r="D43" s="7"/>
      <c r="E43" s="8"/>
      <c r="F43" s="8">
        <f t="shared" si="4"/>
        <v>0</v>
      </c>
      <c r="G43" s="6"/>
      <c r="H43" s="8"/>
      <c r="I43" s="100">
        <f t="shared" si="5"/>
        <v>409040</v>
      </c>
    </row>
    <row r="44" spans="1:9" x14ac:dyDescent="0.25">
      <c r="A44" s="157"/>
      <c r="B44" s="6"/>
      <c r="C44" s="6"/>
      <c r="D44" s="7"/>
      <c r="E44" s="8"/>
      <c r="F44" s="8">
        <f t="shared" si="4"/>
        <v>0</v>
      </c>
      <c r="G44" s="6"/>
      <c r="H44" s="8"/>
      <c r="I44" s="100">
        <f t="shared" si="5"/>
        <v>409040</v>
      </c>
    </row>
    <row r="45" spans="1:9" ht="16.5" thickBot="1" x14ac:dyDescent="0.3">
      <c r="A45" s="163"/>
      <c r="B45" s="14"/>
      <c r="C45" s="14"/>
      <c r="D45" s="15"/>
      <c r="E45" s="16"/>
      <c r="F45" s="16">
        <f t="shared" si="4"/>
        <v>0</v>
      </c>
      <c r="G45" s="14"/>
      <c r="H45" s="16"/>
      <c r="I45" s="100">
        <f t="shared" si="5"/>
        <v>409040</v>
      </c>
    </row>
    <row r="46" spans="1:9" x14ac:dyDescent="0.25">
      <c r="A46" s="164"/>
      <c r="B46" s="18"/>
      <c r="C46" s="18"/>
      <c r="D46" s="19"/>
      <c r="E46" s="20"/>
      <c r="F46" s="20">
        <f t="shared" si="4"/>
        <v>0</v>
      </c>
      <c r="G46" s="18"/>
      <c r="H46" s="20"/>
      <c r="I46" s="100">
        <f t="shared" si="5"/>
        <v>409040</v>
      </c>
    </row>
    <row r="47" spans="1:9" x14ac:dyDescent="0.25">
      <c r="A47" s="157"/>
      <c r="B47" s="6"/>
      <c r="C47" s="6"/>
      <c r="D47" s="7"/>
      <c r="E47" s="8"/>
      <c r="F47" s="8">
        <f t="shared" si="4"/>
        <v>0</v>
      </c>
      <c r="G47" s="11"/>
      <c r="H47" s="8"/>
      <c r="I47" s="100">
        <f t="shared" si="5"/>
        <v>409040</v>
      </c>
    </row>
    <row r="48" spans="1:9" x14ac:dyDescent="0.25">
      <c r="A48" s="157"/>
      <c r="B48" s="6"/>
      <c r="C48" s="6"/>
      <c r="D48" s="7"/>
      <c r="E48" s="8"/>
      <c r="F48" s="8">
        <f t="shared" si="4"/>
        <v>0</v>
      </c>
      <c r="G48" s="11"/>
      <c r="H48" s="8"/>
      <c r="I48" s="100">
        <f t="shared" si="5"/>
        <v>409040</v>
      </c>
    </row>
    <row r="49" spans="1:10" x14ac:dyDescent="0.25">
      <c r="A49" s="157"/>
      <c r="B49" s="6"/>
      <c r="C49" s="6"/>
      <c r="D49" s="7"/>
      <c r="E49" s="8"/>
      <c r="F49" s="8">
        <f t="shared" si="4"/>
        <v>0</v>
      </c>
      <c r="G49" s="6"/>
      <c r="H49" s="8"/>
      <c r="I49" s="100">
        <f t="shared" si="5"/>
        <v>409040</v>
      </c>
    </row>
    <row r="50" spans="1:10" x14ac:dyDescent="0.25">
      <c r="A50" s="157"/>
      <c r="B50" s="6"/>
      <c r="C50" s="6"/>
      <c r="D50" s="7"/>
      <c r="E50" s="8"/>
      <c r="F50" s="8">
        <f t="shared" si="4"/>
        <v>0</v>
      </c>
      <c r="G50" s="6"/>
      <c r="H50" s="8"/>
      <c r="I50" s="100">
        <f t="shared" si="5"/>
        <v>409040</v>
      </c>
    </row>
    <row r="51" spans="1:10" x14ac:dyDescent="0.25">
      <c r="A51" s="157"/>
      <c r="B51" s="6"/>
      <c r="C51" s="6"/>
      <c r="D51" s="7"/>
      <c r="E51" s="8"/>
      <c r="F51" s="8">
        <f t="shared" si="4"/>
        <v>0</v>
      </c>
      <c r="G51" s="6"/>
      <c r="H51" s="8"/>
      <c r="I51" s="100">
        <f t="shared" si="5"/>
        <v>409040</v>
      </c>
    </row>
    <row r="52" spans="1:10" x14ac:dyDescent="0.25">
      <c r="A52" s="157"/>
      <c r="B52" s="6"/>
      <c r="C52" s="6"/>
      <c r="D52" s="7"/>
      <c r="E52" s="8"/>
      <c r="F52" s="8">
        <f t="shared" si="4"/>
        <v>0</v>
      </c>
      <c r="G52" s="6"/>
      <c r="H52" s="8"/>
      <c r="I52" s="100">
        <f t="shared" si="5"/>
        <v>409040</v>
      </c>
    </row>
    <row r="53" spans="1:10" x14ac:dyDescent="0.25">
      <c r="A53" s="157"/>
      <c r="B53" s="6"/>
      <c r="C53" s="6"/>
      <c r="D53" s="7"/>
      <c r="E53" s="8"/>
      <c r="F53" s="8">
        <f t="shared" si="4"/>
        <v>0</v>
      </c>
      <c r="G53" s="6"/>
      <c r="H53" s="8"/>
      <c r="I53" s="100">
        <f t="shared" si="5"/>
        <v>409040</v>
      </c>
    </row>
    <row r="54" spans="1:10" x14ac:dyDescent="0.25">
      <c r="A54" s="157"/>
      <c r="B54" s="6"/>
      <c r="C54" s="6"/>
      <c r="D54" s="7"/>
      <c r="E54" s="8"/>
      <c r="F54" s="8">
        <f t="shared" si="4"/>
        <v>0</v>
      </c>
      <c r="G54" s="6"/>
      <c r="H54" s="8"/>
      <c r="I54" s="100">
        <f t="shared" si="5"/>
        <v>409040</v>
      </c>
    </row>
    <row r="55" spans="1:10" x14ac:dyDescent="0.25">
      <c r="A55" s="157"/>
      <c r="B55" s="6"/>
      <c r="C55" s="6"/>
      <c r="D55" s="7"/>
      <c r="E55" s="8"/>
      <c r="F55" s="8">
        <f t="shared" si="4"/>
        <v>0</v>
      </c>
      <c r="G55" s="6"/>
      <c r="H55" s="8"/>
      <c r="I55" s="100">
        <f t="shared" si="5"/>
        <v>409040</v>
      </c>
    </row>
    <row r="56" spans="1:10" x14ac:dyDescent="0.25">
      <c r="A56" s="157"/>
      <c r="B56" s="6"/>
      <c r="C56" s="6"/>
      <c r="D56" s="7"/>
      <c r="E56" s="8"/>
      <c r="F56" s="8">
        <f t="shared" si="4"/>
        <v>0</v>
      </c>
      <c r="G56" s="6"/>
      <c r="H56" s="8"/>
      <c r="I56" s="100">
        <f t="shared" si="5"/>
        <v>409040</v>
      </c>
    </row>
    <row r="57" spans="1:10" x14ac:dyDescent="0.25">
      <c r="A57" s="156"/>
      <c r="B57" s="6"/>
      <c r="C57" s="6"/>
      <c r="D57" s="7"/>
      <c r="E57" s="8"/>
      <c r="F57" s="8">
        <f t="shared" si="4"/>
        <v>0</v>
      </c>
      <c r="G57" s="6"/>
      <c r="H57" s="8"/>
      <c r="I57" s="100">
        <f t="shared" si="5"/>
        <v>409040</v>
      </c>
    </row>
    <row r="58" spans="1:10" x14ac:dyDescent="0.25">
      <c r="A58" s="156"/>
      <c r="B58" s="6"/>
      <c r="C58" s="6"/>
      <c r="D58" s="7"/>
      <c r="E58" s="8"/>
      <c r="F58" s="8">
        <f t="shared" si="4"/>
        <v>0</v>
      </c>
      <c r="G58" s="6"/>
      <c r="H58" s="8"/>
      <c r="I58" s="100">
        <f t="shared" si="5"/>
        <v>409040</v>
      </c>
    </row>
    <row r="59" spans="1:10" x14ac:dyDescent="0.25">
      <c r="A59" s="156"/>
      <c r="B59" s="6"/>
      <c r="C59" s="6"/>
      <c r="D59" s="7"/>
      <c r="E59" s="8"/>
      <c r="F59" s="8">
        <f t="shared" si="4"/>
        <v>0</v>
      </c>
      <c r="G59" s="6"/>
      <c r="H59" s="8"/>
      <c r="I59" s="100">
        <f t="shared" si="5"/>
        <v>409040</v>
      </c>
    </row>
    <row r="60" spans="1:10" s="25" customFormat="1" x14ac:dyDescent="0.25">
      <c r="A60" s="165"/>
      <c r="B60" s="22"/>
      <c r="C60" s="22">
        <f>SUM(C6:C59)</f>
        <v>0</v>
      </c>
      <c r="D60" s="23"/>
      <c r="E60" s="24"/>
      <c r="F60" s="24"/>
      <c r="G60" s="22"/>
      <c r="H60" s="24"/>
      <c r="I60" s="9"/>
      <c r="J60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ООО "ПРОМСТЕКЛОСНАБ"</vt:lpstr>
      <vt:lpstr>ООО "ПЭК"</vt:lpstr>
      <vt:lpstr>ИП Козырева</vt:lpstr>
      <vt:lpstr>ИП Камалов</vt:lpstr>
      <vt:lpstr>ИП Савин Денис Валерьевич</vt:lpstr>
      <vt:lpstr>ООО "ИТЕКО</vt:lpstr>
      <vt:lpstr>ООО "ЮГ-ЛОГИСТИКА"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2025-09-10T10:10:51Z</dcterms:modified>
</cp:coreProperties>
</file>