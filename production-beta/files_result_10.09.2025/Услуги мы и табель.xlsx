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95018D7-7E65-4318-9D8D-082C190F1EE5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Золотой Снек" sheetId="1" r:id="rId1"/>
    <sheet name="Акваэлемент" sheetId="4" r:id="rId2"/>
    <sheet name="ОптТорг" sheetId="2" r:id="rId3"/>
    <sheet name="Табель начисления Зп" sheetId="3" r:id="rId4"/>
    <sheet name="Табель наемные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2" i="3" l="1"/>
  <c r="E243" i="3" s="1"/>
  <c r="C244" i="3"/>
  <c r="B244" i="3"/>
  <c r="E241" i="3"/>
  <c r="E240" i="3"/>
  <c r="J4" i="2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3" i="2"/>
  <c r="F23" i="4" l="1"/>
  <c r="F24" i="4"/>
  <c r="F25" i="4"/>
  <c r="F26" i="4"/>
  <c r="F8" i="2"/>
  <c r="C23" i="5" l="1"/>
  <c r="B23" i="5"/>
  <c r="E3" i="5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C56" i="4" l="1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J3" i="4" s="1"/>
  <c r="J4" i="4" s="1"/>
  <c r="J5" i="4" l="1"/>
  <c r="J6" i="4" s="1"/>
  <c r="J7" i="4" s="1"/>
  <c r="J8" i="4" s="1"/>
  <c r="J9" i="4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K33" i="1" l="1"/>
  <c r="K46" i="1" s="1"/>
  <c r="E3" i="3" l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C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80" i="3" l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E95" i="3" l="1"/>
  <c r="E96" i="3" s="1"/>
  <c r="E97" i="3" s="1"/>
  <c r="E98" i="3" s="1"/>
  <c r="E99" i="3" s="1"/>
  <c r="E100" i="3" s="1"/>
  <c r="E101" i="3" s="1"/>
  <c r="E102" i="3" s="1"/>
  <c r="E103" i="3" s="1"/>
  <c r="E104" i="3" s="1"/>
  <c r="F24" i="1"/>
  <c r="F25" i="1"/>
  <c r="F26" i="1"/>
  <c r="F27" i="1"/>
  <c r="F28" i="1"/>
  <c r="F29" i="1"/>
  <c r="F30" i="1"/>
  <c r="F31" i="1"/>
  <c r="E105" i="3" l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F15" i="1"/>
  <c r="F16" i="1"/>
  <c r="F17" i="1"/>
  <c r="F18" i="1"/>
  <c r="F19" i="1"/>
  <c r="F20" i="1"/>
  <c r="F21" i="1"/>
  <c r="E130" i="3" l="1"/>
  <c r="E131" i="3" s="1"/>
  <c r="E132" i="3" s="1"/>
  <c r="E133" i="3" s="1"/>
  <c r="E134" i="3" s="1"/>
  <c r="E135" i="3" s="1"/>
  <c r="E136" i="3" s="1"/>
  <c r="E137" i="3" s="1"/>
  <c r="E138" i="3" s="1"/>
  <c r="C46" i="1"/>
  <c r="F12" i="1"/>
  <c r="F13" i="1"/>
  <c r="F14" i="1"/>
  <c r="F22" i="1"/>
  <c r="F23" i="1"/>
  <c r="F4" i="1"/>
  <c r="F5" i="1"/>
  <c r="F6" i="1"/>
  <c r="F7" i="1"/>
  <c r="F8" i="1"/>
  <c r="F9" i="1"/>
  <c r="F10" i="1"/>
  <c r="F11" i="1"/>
  <c r="F3" i="1"/>
  <c r="J3" i="1" s="1"/>
  <c r="E139" i="3" l="1"/>
  <c r="E140" i="3" s="1"/>
  <c r="E141" i="3" s="1"/>
  <c r="E142" i="3" s="1"/>
  <c r="E143" i="3" s="1"/>
  <c r="E144" i="3" s="1"/>
  <c r="E145" i="3" s="1"/>
  <c r="E146" i="3" s="1"/>
  <c r="E147" i="3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E148" i="3" l="1"/>
  <c r="E149" i="3" s="1"/>
  <c r="E150" i="3" s="1"/>
  <c r="E151" i="3" s="1"/>
  <c r="E152" i="3" s="1"/>
  <c r="E153" i="3" s="1"/>
  <c r="J15" i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E154" i="3" l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l="1"/>
  <c r="E167" i="3" s="1"/>
  <c r="E168" i="3" s="1"/>
  <c r="E169" i="3" s="1"/>
  <c r="E170" i="3" s="1"/>
  <c r="E171" i="3" l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</calcChain>
</file>

<file path=xl/sharedStrings.xml><?xml version="1.0" encoding="utf-8"?>
<sst xmlns="http://schemas.openxmlformats.org/spreadsheetml/2006/main" count="338" uniqueCount="124">
  <si>
    <t>вид услуги</t>
  </si>
  <si>
    <t>кг</t>
  </si>
  <si>
    <t>цена</t>
  </si>
  <si>
    <t>сумма</t>
  </si>
  <si>
    <t>способ оплаты</t>
  </si>
  <si>
    <t>фасовка арахис</t>
  </si>
  <si>
    <t>фасовка сырная</t>
  </si>
  <si>
    <t>итого</t>
  </si>
  <si>
    <t>за фасовку</t>
  </si>
  <si>
    <t>выплачено</t>
  </si>
  <si>
    <t>штук</t>
  </si>
  <si>
    <t>дата оплаты</t>
  </si>
  <si>
    <t>дата оказания</t>
  </si>
  <si>
    <t>ОТГРУЖЕНО</t>
  </si>
  <si>
    <t>2 сотрудника</t>
  </si>
  <si>
    <t>окруление</t>
  </si>
  <si>
    <t>Обжарка</t>
  </si>
  <si>
    <t>Дата</t>
  </si>
  <si>
    <t>начислено</t>
  </si>
  <si>
    <t>наличные</t>
  </si>
  <si>
    <t>способ выплаты</t>
  </si>
  <si>
    <t>с Р/с на карту</t>
  </si>
  <si>
    <t>р/с</t>
  </si>
  <si>
    <t>р/с ИП АА</t>
  </si>
  <si>
    <t>на р/с ИП АА</t>
  </si>
  <si>
    <t>возврат с р/с</t>
  </si>
  <si>
    <t>корректировка</t>
  </si>
  <si>
    <t>было 3.000</t>
  </si>
  <si>
    <t>работа техника</t>
  </si>
  <si>
    <t>2025 год</t>
  </si>
  <si>
    <t>было 4.</t>
  </si>
  <si>
    <t>было 10.5</t>
  </si>
  <si>
    <t>было 13.5</t>
  </si>
  <si>
    <t>было 15.6</t>
  </si>
  <si>
    <t>суббота</t>
  </si>
  <si>
    <t>было 9.</t>
  </si>
  <si>
    <t>было 8.</t>
  </si>
  <si>
    <t>было 15.5</t>
  </si>
  <si>
    <t>ноябрь</t>
  </si>
  <si>
    <t>Рожков</t>
  </si>
  <si>
    <t>премия</t>
  </si>
  <si>
    <t>премия Ирина 2024г</t>
  </si>
  <si>
    <t>Зарплата за 27.01.2025 (Сергей прораб)</t>
  </si>
  <si>
    <t>Зарплата за 28.01.2025 (Сергей, Сергей прораб)</t>
  </si>
  <si>
    <t>Зарплата за 29.01.2025 (Сергей, Сергей прораб)</t>
  </si>
  <si>
    <t>Зарплата за 29.01.2025 Светлана (стажировка)</t>
  </si>
  <si>
    <t>Зарплата (Виталий)за 30.01, 31.01</t>
  </si>
  <si>
    <t>Зарплата (Анатолий)за 30.01, 31.01 (1500+3000)</t>
  </si>
  <si>
    <t>Зарплата (Светлана фасовка) 31.01</t>
  </si>
  <si>
    <t>Зарплата (Светлана  стажер фасовка) 31.01</t>
  </si>
  <si>
    <t>Зарплата (Юля  стажер фасовка) 31.01</t>
  </si>
  <si>
    <t>было 19.750</t>
  </si>
  <si>
    <t>премия Ирина январь</t>
  </si>
  <si>
    <t>бухгалтер Январь</t>
  </si>
  <si>
    <t>Токмакова, Агапова</t>
  </si>
  <si>
    <t>По реестру на перечисление (расчет при увольнении Бренев)</t>
  </si>
  <si>
    <t>бухгалтер</t>
  </si>
  <si>
    <t>Зп Зыкова А</t>
  </si>
  <si>
    <t>Зп ТокмаковаЮ</t>
  </si>
  <si>
    <t>Зп Агапова С</t>
  </si>
  <si>
    <t>Зп табель учета</t>
  </si>
  <si>
    <t>премия Ирина февраль</t>
  </si>
  <si>
    <t>бухгалтер Февраль</t>
  </si>
  <si>
    <t>февраль</t>
  </si>
  <si>
    <t>сверхурочные</t>
  </si>
  <si>
    <t>март</t>
  </si>
  <si>
    <t>Агапова</t>
  </si>
  <si>
    <t>премия Алехин</t>
  </si>
  <si>
    <t>премия Рашидова</t>
  </si>
  <si>
    <t>отпускные</t>
  </si>
  <si>
    <t>отпускные Гончарова</t>
  </si>
  <si>
    <t>сотрудники</t>
  </si>
  <si>
    <t>с учетом выходных</t>
  </si>
  <si>
    <t>Гончарова</t>
  </si>
  <si>
    <t>Токмакова</t>
  </si>
  <si>
    <t>01-15.04</t>
  </si>
  <si>
    <t>10-18.04</t>
  </si>
  <si>
    <t>Расчет оператора накатки (уволен)</t>
  </si>
  <si>
    <t>Рс</t>
  </si>
  <si>
    <t>апрель</t>
  </si>
  <si>
    <t>16-30.04</t>
  </si>
  <si>
    <t xml:space="preserve">Заработная плата апрель Зыкова </t>
  </si>
  <si>
    <t xml:space="preserve">Заработная плата апрель Хомутская </t>
  </si>
  <si>
    <t xml:space="preserve">Заработная плата  апрель Чижиков </t>
  </si>
  <si>
    <t xml:space="preserve">Заработная плата апрель Агапова </t>
  </si>
  <si>
    <t xml:space="preserve">Заработная плата по реестрам  апрель </t>
  </si>
  <si>
    <t>05 мая</t>
  </si>
  <si>
    <t>з/п</t>
  </si>
  <si>
    <t>з/п Агапова</t>
  </si>
  <si>
    <t>06 мая</t>
  </si>
  <si>
    <t>07 мая</t>
  </si>
  <si>
    <t>08 мая</t>
  </si>
  <si>
    <t>12 мая</t>
  </si>
  <si>
    <t>з/п Саманков</t>
  </si>
  <si>
    <t>з/п Матвиенко</t>
  </si>
  <si>
    <t>з/п сотрудники</t>
  </si>
  <si>
    <t>14 мая</t>
  </si>
  <si>
    <t>з/п Рожков</t>
  </si>
  <si>
    <t>май</t>
  </si>
  <si>
    <t xml:space="preserve">Заработная плата Геращенко </t>
  </si>
  <si>
    <t xml:space="preserve">заработая плата Крылова </t>
  </si>
  <si>
    <t>20 мая</t>
  </si>
  <si>
    <t xml:space="preserve">Заработная плата Хомутская </t>
  </si>
  <si>
    <t xml:space="preserve">Заработная плата Зыкова </t>
  </si>
  <si>
    <t xml:space="preserve">Заработная плата Чижиков </t>
  </si>
  <si>
    <t xml:space="preserve">Заработная плата Агапова </t>
  </si>
  <si>
    <t>Заработная плата по реестру</t>
  </si>
  <si>
    <t>работа Третьяков Евгений (фасовка Бистром) ?</t>
  </si>
  <si>
    <t>з/п Фетисова (рассчет)</t>
  </si>
  <si>
    <t>23-25 мая</t>
  </si>
  <si>
    <t>з/п Рашидова (рассчет)</t>
  </si>
  <si>
    <t>з/п Музалев (рассчет)</t>
  </si>
  <si>
    <t>26 мая</t>
  </si>
  <si>
    <t>командировка в Москву за весовым дозатором для тарелок (Третьяков Евгений)</t>
  </si>
  <si>
    <t>премия Амплеева</t>
  </si>
  <si>
    <t>премия Пургина</t>
  </si>
  <si>
    <t>премия Реброва</t>
  </si>
  <si>
    <t>премия Гончарова</t>
  </si>
  <si>
    <t>Зарплата Савин</t>
  </si>
  <si>
    <t>30 мая</t>
  </si>
  <si>
    <t>29 мая</t>
  </si>
  <si>
    <t>02.06.2025</t>
  </si>
  <si>
    <t>Зарплата кому-нибудь 2</t>
  </si>
  <si>
    <t>Зарплата кому-нибудь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</si>
</sst>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2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6" fillId="0" borderId="0"/>
  </cellStyleXfs>
  <cellXfs count="18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/>
    <xf numFmtId="8" fontId="2" fillId="0" borderId="1" xfId="0" applyNumberFormat="1" applyFont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" fontId="2" fillId="0" borderId="3" xfId="0" applyNumberFormat="1" applyFont="1" applyBorder="1"/>
    <xf numFmtId="0" fontId="1" fillId="0" borderId="3" xfId="0" applyFont="1" applyBorder="1"/>
    <xf numFmtId="164" fontId="1" fillId="0" borderId="3" xfId="0" applyNumberFormat="1" applyFont="1" applyBorder="1"/>
    <xf numFmtId="8" fontId="1" fillId="0" borderId="3" xfId="0" applyNumberFormat="1" applyFont="1" applyBorder="1"/>
    <xf numFmtId="16" fontId="1" fillId="0" borderId="2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/>
    <xf numFmtId="8" fontId="1" fillId="0" borderId="2" xfId="0" applyNumberFormat="1" applyFont="1" applyBorder="1"/>
    <xf numFmtId="0" fontId="1" fillId="2" borderId="1" xfId="0" applyFont="1" applyFill="1" applyBorder="1"/>
    <xf numFmtId="164" fontId="1" fillId="3" borderId="3" xfId="0" applyNumberFormat="1" applyFont="1" applyFill="1" applyBorder="1"/>
    <xf numFmtId="164" fontId="1" fillId="3" borderId="1" xfId="0" applyNumberFormat="1" applyFont="1" applyFill="1" applyBorder="1"/>
    <xf numFmtId="164" fontId="5" fillId="3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164" fontId="6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/>
    <xf numFmtId="164" fontId="5" fillId="0" borderId="1" xfId="0" applyNumberFormat="1" applyFont="1" applyBorder="1"/>
    <xf numFmtId="0" fontId="2" fillId="0" borderId="0" xfId="0" applyFont="1"/>
    <xf numFmtId="16" fontId="1" fillId="0" borderId="3" xfId="0" applyNumberFormat="1" applyFont="1" applyBorder="1"/>
    <xf numFmtId="2" fontId="2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/>
    <xf numFmtId="2" fontId="1" fillId="0" borderId="2" xfId="0" applyNumberFormat="1" applyFont="1" applyBorder="1"/>
    <xf numFmtId="2" fontId="1" fillId="0" borderId="3" xfId="0" applyNumberFormat="1" applyFont="1" applyBorder="1"/>
    <xf numFmtId="2" fontId="3" fillId="0" borderId="1" xfId="0" applyNumberFormat="1" applyFont="1" applyBorder="1"/>
    <xf numFmtId="2" fontId="1" fillId="0" borderId="0" xfId="0" applyNumberFormat="1" applyFont="1"/>
    <xf numFmtId="0" fontId="7" fillId="0" borderId="0" xfId="0" applyFont="1"/>
    <xf numFmtId="164" fontId="3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/>
    <xf numFmtId="164" fontId="8" fillId="0" borderId="2" xfId="0" applyNumberFormat="1" applyFont="1" applyBorder="1"/>
    <xf numFmtId="164" fontId="8" fillId="0" borderId="3" xfId="0" applyNumberFormat="1" applyFont="1" applyBorder="1"/>
    <xf numFmtId="164" fontId="9" fillId="0" borderId="3" xfId="0" applyNumberFormat="1" applyFont="1" applyBorder="1" applyAlignment="1">
      <alignment horizontal="left" vertical="center"/>
    </xf>
    <xf numFmtId="0" fontId="8" fillId="0" borderId="0" xfId="0" applyFont="1"/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16" fontId="2" fillId="2" borderId="3" xfId="0" applyNumberFormat="1" applyFont="1" applyFill="1" applyBorder="1"/>
    <xf numFmtId="0" fontId="2" fillId="2" borderId="3" xfId="0" applyFont="1" applyFill="1" applyBorder="1"/>
    <xf numFmtId="164" fontId="2" fillId="2" borderId="3" xfId="0" applyNumberFormat="1" applyFont="1" applyFill="1" applyBorder="1"/>
    <xf numFmtId="8" fontId="2" fillId="2" borderId="1" xfId="0" applyNumberFormat="1" applyFont="1" applyFill="1" applyBorder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/>
    <xf numFmtId="0" fontId="12" fillId="0" borderId="0" xfId="0" applyFont="1"/>
    <xf numFmtId="164" fontId="1" fillId="2" borderId="1" xfId="0" applyNumberFormat="1" applyFont="1" applyFill="1" applyBorder="1"/>
    <xf numFmtId="2" fontId="1" fillId="2" borderId="1" xfId="0" applyNumberFormat="1" applyFont="1" applyFill="1" applyBorder="1"/>
    <xf numFmtId="164" fontId="2" fillId="4" borderId="1" xfId="0" applyNumberFormat="1" applyFont="1" applyFill="1" applyBorder="1"/>
    <xf numFmtId="164" fontId="3" fillId="4" borderId="1" xfId="0" applyNumberFormat="1" applyFont="1" applyFill="1" applyBorder="1"/>
    <xf numFmtId="164" fontId="2" fillId="4" borderId="3" xfId="0" applyNumberFormat="1" applyFont="1" applyFill="1" applyBorder="1"/>
    <xf numFmtId="0" fontId="13" fillId="0" borderId="0" xfId="0" applyFont="1"/>
    <xf numFmtId="164" fontId="3" fillId="5" borderId="1" xfId="0" applyNumberFormat="1" applyFont="1" applyFill="1" applyBorder="1"/>
    <xf numFmtId="164" fontId="14" fillId="5" borderId="1" xfId="0" applyNumberFormat="1" applyFont="1" applyFill="1" applyBorder="1"/>
    <xf numFmtId="164" fontId="15" fillId="0" borderId="1" xfId="0" applyNumberFormat="1" applyFont="1" applyBorder="1"/>
    <xf numFmtId="0" fontId="17" fillId="0" borderId="1" xfId="1" applyFont="1" applyBorder="1"/>
    <xf numFmtId="0" fontId="18" fillId="0" borderId="0" xfId="0" applyFont="1"/>
    <xf numFmtId="16" fontId="2" fillId="2" borderId="1" xfId="0" applyNumberFormat="1" applyFont="1" applyFill="1" applyBorder="1"/>
    <xf numFmtId="16" fontId="2" fillId="0" borderId="1" xfId="0" applyNumberFormat="1" applyFont="1" applyBorder="1"/>
    <xf numFmtId="0" fontId="20" fillId="0" borderId="0" xfId="0" applyFont="1"/>
    <xf numFmtId="164" fontId="15" fillId="2" borderId="1" xfId="0" applyNumberFormat="1" applyFont="1" applyFill="1" applyBorder="1"/>
    <xf numFmtId="16" fontId="19" fillId="0" borderId="0" xfId="0" applyNumberFormat="1" applyFont="1"/>
    <xf numFmtId="164" fontId="1" fillId="0" borderId="5" xfId="0" applyNumberFormat="1" applyFont="1" applyBorder="1"/>
    <xf numFmtId="164" fontId="15" fillId="2" borderId="6" xfId="0" applyNumberFormat="1" applyFont="1" applyFill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164" fontId="2" fillId="0" borderId="0" xfId="0" applyNumberFormat="1" applyFont="1"/>
    <xf numFmtId="16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2" fillId="4" borderId="1" xfId="0" applyNumberFormat="1" applyFont="1" applyFill="1" applyBorder="1" applyAlignment="1">
      <alignment horizontal="center" vertical="center"/>
    </xf>
    <xf numFmtId="16" fontId="1" fillId="6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16" fontId="19" fillId="0" borderId="1" xfId="0" applyNumberFormat="1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" fontId="21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6" fontId="22" fillId="0" borderId="4" xfId="0" applyNumberFormat="1" applyFont="1" applyBorder="1" applyAlignment="1">
      <alignment horizontal="center" vertical="center"/>
    </xf>
    <xf numFmtId="164" fontId="1" fillId="0" borderId="10" xfId="0" applyNumberFormat="1" applyFont="1" applyBorder="1"/>
    <xf numFmtId="164" fontId="8" fillId="0" borderId="10" xfId="0" applyNumberFormat="1" applyFont="1" applyBorder="1"/>
    <xf numFmtId="164" fontId="1" fillId="0" borderId="11" xfId="0" applyNumberFormat="1" applyFont="1" applyBorder="1"/>
    <xf numFmtId="0" fontId="19" fillId="0" borderId="0" xfId="0" applyFont="1"/>
    <xf numFmtId="16" fontId="2" fillId="2" borderId="6" xfId="0" applyNumberFormat="1" applyFont="1" applyFill="1" applyBorder="1"/>
    <xf numFmtId="0" fontId="2" fillId="2" borderId="6" xfId="0" applyFont="1" applyFill="1" applyBorder="1"/>
    <xf numFmtId="2" fontId="2" fillId="2" borderId="6" xfId="0" applyNumberFormat="1" applyFont="1" applyFill="1" applyBorder="1"/>
    <xf numFmtId="164" fontId="2" fillId="2" borderId="6" xfId="0" applyNumberFormat="1" applyFont="1" applyFill="1" applyBorder="1"/>
    <xf numFmtId="8" fontId="2" fillId="2" borderId="6" xfId="0" applyNumberFormat="1" applyFont="1" applyFill="1" applyBorder="1"/>
    <xf numFmtId="16" fontId="1" fillId="0" borderId="12" xfId="0" applyNumberFormat="1" applyFont="1" applyBorder="1"/>
    <xf numFmtId="0" fontId="1" fillId="0" borderId="13" xfId="0" applyFont="1" applyBorder="1"/>
    <xf numFmtId="2" fontId="1" fillId="0" borderId="13" xfId="0" applyNumberFormat="1" applyFont="1" applyBorder="1"/>
    <xf numFmtId="164" fontId="1" fillId="0" borderId="13" xfId="0" applyNumberFormat="1" applyFont="1" applyBorder="1"/>
    <xf numFmtId="8" fontId="1" fillId="0" borderId="14" xfId="0" applyNumberFormat="1" applyFont="1" applyBorder="1"/>
    <xf numFmtId="16" fontId="1" fillId="0" borderId="15" xfId="0" applyNumberFormat="1" applyFont="1" applyBorder="1"/>
    <xf numFmtId="8" fontId="1" fillId="0" borderId="16" xfId="0" applyNumberFormat="1" applyFont="1" applyBorder="1"/>
    <xf numFmtId="16" fontId="1" fillId="0" borderId="6" xfId="0" applyNumberFormat="1" applyFont="1" applyBorder="1" applyAlignment="1">
      <alignment horizontal="center" vertical="center"/>
    </xf>
    <xf numFmtId="164" fontId="1" fillId="0" borderId="17" xfId="0" applyNumberFormat="1" applyFont="1" applyBorder="1"/>
    <xf numFmtId="164" fontId="1" fillId="0" borderId="6" xfId="0" applyNumberFormat="1" applyFont="1" applyBorder="1"/>
    <xf numFmtId="164" fontId="8" fillId="0" borderId="6" xfId="0" applyNumberFormat="1" applyFont="1" applyBorder="1"/>
    <xf numFmtId="16" fontId="8" fillId="0" borderId="18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164" fontId="8" fillId="0" borderId="13" xfId="0" applyNumberFormat="1" applyFont="1" applyBorder="1"/>
    <xf numFmtId="164" fontId="1" fillId="0" borderId="14" xfId="0" applyNumberFormat="1" applyFont="1" applyBorder="1"/>
    <xf numFmtId="16" fontId="1" fillId="0" borderId="19" xfId="0" applyNumberFormat="1" applyFont="1" applyBorder="1" applyAlignment="1">
      <alignment horizontal="center" vertical="center"/>
    </xf>
    <xf numFmtId="164" fontId="1" fillId="0" borderId="20" xfId="0" applyNumberFormat="1" applyFont="1" applyBorder="1"/>
    <xf numFmtId="16" fontId="1" fillId="0" borderId="15" xfId="0" applyNumberFormat="1" applyFont="1" applyBorder="1" applyAlignment="1">
      <alignment horizontal="center" vertical="center"/>
    </xf>
    <xf numFmtId="164" fontId="6" fillId="0" borderId="21" xfId="0" applyNumberFormat="1" applyFont="1" applyBorder="1"/>
    <xf numFmtId="164" fontId="1" fillId="0" borderId="22" xfId="0" applyNumberFormat="1" applyFont="1" applyBorder="1"/>
    <xf numFmtId="0" fontId="23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/>
    <xf numFmtId="40" fontId="10" fillId="0" borderId="1" xfId="0" applyNumberFormat="1" applyFont="1" applyBorder="1" applyAlignment="1">
      <alignment horizontal="center" vertical="center" wrapText="1"/>
    </xf>
    <xf numFmtId="40" fontId="1" fillId="0" borderId="6" xfId="0" applyNumberFormat="1" applyFont="1" applyBorder="1"/>
    <xf numFmtId="40" fontId="1" fillId="0" borderId="25" xfId="0" applyNumberFormat="1" applyFont="1" applyBorder="1"/>
    <xf numFmtId="40" fontId="1" fillId="0" borderId="3" xfId="0" applyNumberFormat="1" applyFont="1" applyBorder="1"/>
    <xf numFmtId="40" fontId="1" fillId="0" borderId="1" xfId="0" applyNumberFormat="1" applyFont="1" applyBorder="1"/>
    <xf numFmtId="40" fontId="1" fillId="0" borderId="0" xfId="0" applyNumberFormat="1" applyFont="1"/>
    <xf numFmtId="16" fontId="1" fillId="0" borderId="17" xfId="0" applyNumberFormat="1" applyFont="1" applyBorder="1"/>
    <xf numFmtId="0" fontId="1" fillId="0" borderId="17" xfId="0" applyFont="1" applyBorder="1"/>
    <xf numFmtId="2" fontId="1" fillId="0" borderId="17" xfId="0" applyNumberFormat="1" applyFont="1" applyBorder="1"/>
    <xf numFmtId="8" fontId="1" fillId="0" borderId="17" xfId="0" applyNumberFormat="1" applyFont="1" applyBorder="1"/>
    <xf numFmtId="164" fontId="1" fillId="6" borderId="5" xfId="0" applyNumberFormat="1" applyFont="1" applyFill="1" applyBorder="1"/>
    <xf numFmtId="16" fontId="21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/>
    <xf numFmtId="16" fontId="21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/>
    <xf numFmtId="16" fontId="18" fillId="6" borderId="23" xfId="0" applyNumberFormat="1" applyFont="1" applyFill="1" applyBorder="1" applyAlignment="1">
      <alignment horizontal="center" vertical="center"/>
    </xf>
    <xf numFmtId="164" fontId="2" fillId="6" borderId="25" xfId="0" applyNumberFormat="1" applyFont="1" applyFill="1" applyBorder="1"/>
    <xf numFmtId="16" fontId="8" fillId="0" borderId="26" xfId="0" applyNumberFormat="1" applyFont="1" applyBorder="1" applyAlignment="1">
      <alignment horizontal="center" vertical="center"/>
    </xf>
    <xf numFmtId="164" fontId="8" fillId="0" borderId="14" xfId="0" applyNumberFormat="1" applyFont="1" applyBorder="1"/>
    <xf numFmtId="16" fontId="18" fillId="6" borderId="15" xfId="0" applyNumberFormat="1" applyFont="1" applyFill="1" applyBorder="1" applyAlignment="1">
      <alignment horizontal="center" vertical="center"/>
    </xf>
    <xf numFmtId="164" fontId="2" fillId="6" borderId="16" xfId="0" applyNumberFormat="1" applyFont="1" applyFill="1" applyBorder="1"/>
    <xf numFmtId="164" fontId="7" fillId="0" borderId="27" xfId="0" applyNumberFormat="1" applyFont="1" applyBorder="1" applyAlignment="1">
      <alignment horizontal="center" vertical="center"/>
    </xf>
    <xf numFmtId="164" fontId="17" fillId="0" borderId="27" xfId="0" applyNumberFormat="1" applyFont="1" applyBorder="1" applyAlignment="1">
      <alignment horizontal="center"/>
    </xf>
    <xf numFmtId="164" fontId="1" fillId="0" borderId="18" xfId="0" applyNumberFormat="1" applyFont="1" applyBorder="1"/>
    <xf numFmtId="0" fontId="17" fillId="0" borderId="28" xfId="0" applyFont="1" applyBorder="1"/>
    <xf numFmtId="0" fontId="17" fillId="0" borderId="28" xfId="0" applyFont="1" applyBorder="1" applyAlignment="1">
      <alignment wrapText="1"/>
    </xf>
    <xf numFmtId="16" fontId="1" fillId="2" borderId="3" xfId="0" applyNumberFormat="1" applyFont="1" applyFill="1" applyBorder="1"/>
    <xf numFmtId="0" fontId="1" fillId="2" borderId="3" xfId="0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8" fontId="1" fillId="2" borderId="3" xfId="0" applyNumberFormat="1" applyFont="1" applyFill="1" applyBorder="1"/>
    <xf numFmtId="164" fontId="25" fillId="0" borderId="27" xfId="0" applyNumberFormat="1" applyFont="1" applyBorder="1" applyAlignment="1">
      <alignment horizontal="center" vertical="center" wrapText="1"/>
    </xf>
    <xf numFmtId="164" fontId="27" fillId="0" borderId="27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wrapText="1"/>
    </xf>
    <xf numFmtId="164" fontId="26" fillId="0" borderId="27" xfId="0" applyNumberFormat="1" applyFont="1" applyBorder="1" applyAlignment="1">
      <alignment horizontal="center" vertical="center"/>
    </xf>
    <xf numFmtId="0" fontId="17" fillId="0" borderId="27" xfId="0" applyFont="1" applyBorder="1"/>
    <xf numFmtId="164" fontId="7" fillId="0" borderId="29" xfId="0" applyNumberFormat="1" applyFont="1" applyBorder="1" applyAlignment="1">
      <alignment horizontal="center" vertical="center"/>
    </xf>
    <xf numFmtId="164" fontId="1" fillId="0" borderId="28" xfId="0" applyNumberFormat="1" applyFont="1" applyBorder="1"/>
    <xf numFmtId="0" fontId="17" fillId="0" borderId="29" xfId="0" applyFont="1" applyBorder="1"/>
    <xf numFmtId="0" fontId="3" fillId="0" borderId="31" xfId="0" applyFont="1" applyBorder="1" applyAlignment="1">
      <alignment horizontal="center" vertical="center"/>
    </xf>
    <xf numFmtId="164" fontId="3" fillId="0" borderId="31" xfId="0" applyNumberFormat="1" applyFont="1" applyBorder="1"/>
    <xf numFmtId="0" fontId="7" fillId="0" borderId="32" xfId="0" applyFont="1" applyBorder="1"/>
    <xf numFmtId="0" fontId="7" fillId="0" borderId="30" xfId="0" applyFont="1" applyBorder="1" applyAlignment="1">
      <alignment horizontal="center" vertical="center"/>
    </xf>
    <xf numFmtId="164" fontId="1" fillId="0" borderId="30" xfId="0" applyNumberFormat="1" applyFont="1" applyBorder="1"/>
    <xf numFmtId="0" fontId="8" fillId="0" borderId="30" xfId="0" applyFont="1" applyBorder="1"/>
    <xf numFmtId="0" fontId="1" fillId="0" borderId="30" xfId="0" applyFont="1" applyBorder="1"/>
    <xf numFmtId="0" fontId="7" fillId="0" borderId="30" xfId="0" applyFont="1" applyBorder="1"/>
    <xf numFmtId="0" fontId="7" fillId="0" borderId="31" xfId="0" applyFont="1" applyBorder="1" applyAlignment="1">
      <alignment horizontal="center" vertical="center"/>
    </xf>
    <xf numFmtId="164" fontId="1" fillId="0" borderId="31" xfId="0" applyNumberFormat="1" applyFont="1" applyBorder="1"/>
    <xf numFmtId="0" fontId="8" fillId="0" borderId="31" xfId="0" applyFont="1" applyBorder="1"/>
    <xf numFmtId="0" fontId="7" fillId="0" borderId="31" xfId="0" applyFont="1" applyBorder="1"/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workbookViewId="0">
      <pane ySplit="1" topLeftCell="A19" activePane="bottomLeft" state="frozen"/>
      <selection pane="bottomLeft" activeCell="J39" sqref="J39"/>
    </sheetView>
  </sheetViews>
  <sheetFormatPr defaultColWidth="8.85546875" defaultRowHeight="15.75" x14ac:dyDescent="0.25"/>
  <cols>
    <col min="1" max="1" width="10.7109375" style="1" customWidth="1"/>
    <col min="2" max="2" width="19.5703125" style="1" customWidth="1"/>
    <col min="3" max="4" width="8.85546875" style="1"/>
    <col min="5" max="5" width="9.85546875" style="1" customWidth="1"/>
    <col min="6" max="6" width="13.42578125" style="1" bestFit="1" customWidth="1"/>
    <col min="7" max="7" width="8.85546875" style="1"/>
    <col min="8" max="8" width="11.140625" style="7" bestFit="1" customWidth="1"/>
    <col min="9" max="9" width="12.7109375" style="7" bestFit="1" customWidth="1"/>
    <col min="10" max="10" width="15.140625" style="13" customWidth="1"/>
    <col min="11" max="11" width="17.28515625" style="1" customWidth="1"/>
    <col min="12" max="13" width="12.7109375" style="1" customWidth="1"/>
    <col min="14" max="16384" width="8.85546875" style="1"/>
  </cols>
  <sheetData>
    <row r="1" spans="1:15" s="2" customFormat="1" ht="31.5" x14ac:dyDescent="0.25">
      <c r="A1" s="4" t="s">
        <v>12</v>
      </c>
      <c r="B1" s="4" t="s">
        <v>0</v>
      </c>
      <c r="C1" s="4" t="s">
        <v>10</v>
      </c>
      <c r="D1" s="4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  <c r="K1" s="58" t="s">
        <v>24</v>
      </c>
      <c r="L1" s="52" t="s">
        <v>25</v>
      </c>
      <c r="M1" s="14" t="s">
        <v>7</v>
      </c>
    </row>
    <row r="2" spans="1:15" x14ac:dyDescent="0.25">
      <c r="A2" s="3"/>
      <c r="B2" s="3"/>
      <c r="C2" s="3"/>
      <c r="D2" s="3"/>
      <c r="E2" s="3"/>
      <c r="F2" s="3"/>
      <c r="G2" s="3"/>
      <c r="H2" s="6"/>
      <c r="I2" s="6"/>
      <c r="J2" s="12">
        <v>0</v>
      </c>
      <c r="K2" s="14" t="s">
        <v>8</v>
      </c>
      <c r="L2" s="15" t="s">
        <v>9</v>
      </c>
      <c r="M2" s="6">
        <v>0</v>
      </c>
    </row>
    <row r="3" spans="1:15" x14ac:dyDescent="0.25">
      <c r="A3" s="5">
        <v>45551</v>
      </c>
      <c r="B3" s="3" t="s">
        <v>5</v>
      </c>
      <c r="C3" s="3">
        <v>1120</v>
      </c>
      <c r="D3" s="3"/>
      <c r="E3" s="6">
        <v>12.5</v>
      </c>
      <c r="F3" s="6">
        <f>C3*E3+D3*E3</f>
        <v>14000</v>
      </c>
      <c r="G3" s="3"/>
      <c r="H3" s="6"/>
      <c r="I3" s="6"/>
      <c r="J3" s="12">
        <f>J2-F3+I3</f>
        <v>-14000</v>
      </c>
      <c r="K3" s="6"/>
      <c r="L3" s="6"/>
      <c r="M3" s="6"/>
    </row>
    <row r="4" spans="1:15" x14ac:dyDescent="0.25">
      <c r="A4" s="3"/>
      <c r="B4" s="3" t="s">
        <v>6</v>
      </c>
      <c r="C4" s="3">
        <v>594</v>
      </c>
      <c r="D4" s="3"/>
      <c r="E4" s="6">
        <v>12.5</v>
      </c>
      <c r="F4" s="6">
        <f t="shared" ref="F4:F45" si="0">C4*E4+D4*E4</f>
        <v>7425</v>
      </c>
      <c r="G4" s="3"/>
      <c r="H4" s="6"/>
      <c r="I4" s="6"/>
      <c r="J4" s="12">
        <f t="shared" ref="J4:J45" si="1">J3-F4+I4</f>
        <v>-21425</v>
      </c>
      <c r="K4" s="6"/>
      <c r="L4" s="6"/>
      <c r="M4" s="6"/>
      <c r="N4" s="28">
        <v>569</v>
      </c>
      <c r="O4" s="29" t="s">
        <v>13</v>
      </c>
    </row>
    <row r="5" spans="1:15" x14ac:dyDescent="0.25">
      <c r="A5" s="5">
        <v>45552</v>
      </c>
      <c r="B5" s="3" t="s">
        <v>5</v>
      </c>
      <c r="C5" s="3">
        <v>2271</v>
      </c>
      <c r="D5" s="3"/>
      <c r="E5" s="6">
        <v>12.5</v>
      </c>
      <c r="F5" s="6">
        <f t="shared" si="0"/>
        <v>28387.5</v>
      </c>
      <c r="G5" s="3"/>
      <c r="H5" s="6"/>
      <c r="I5" s="6"/>
      <c r="J5" s="12">
        <f t="shared" si="1"/>
        <v>-49812.5</v>
      </c>
      <c r="K5" s="6"/>
      <c r="L5" s="6"/>
      <c r="M5" s="6"/>
    </row>
    <row r="6" spans="1:15" x14ac:dyDescent="0.25">
      <c r="A6" s="5">
        <v>45553</v>
      </c>
      <c r="B6" s="3" t="s">
        <v>5</v>
      </c>
      <c r="C6" s="3">
        <v>2548</v>
      </c>
      <c r="D6" s="3"/>
      <c r="E6" s="6">
        <v>12.5</v>
      </c>
      <c r="F6" s="6">
        <f t="shared" si="0"/>
        <v>31850</v>
      </c>
      <c r="G6" s="3"/>
      <c r="H6" s="6"/>
      <c r="I6" s="6"/>
      <c r="J6" s="12">
        <f t="shared" si="1"/>
        <v>-81662.5</v>
      </c>
      <c r="K6" s="6"/>
      <c r="L6" s="6"/>
      <c r="M6" s="6"/>
    </row>
    <row r="7" spans="1:15" x14ac:dyDescent="0.25">
      <c r="A7" s="5">
        <v>45554</v>
      </c>
      <c r="B7" s="3" t="s">
        <v>5</v>
      </c>
      <c r="C7" s="3">
        <v>2548</v>
      </c>
      <c r="D7" s="3"/>
      <c r="E7" s="6">
        <v>12.5</v>
      </c>
      <c r="F7" s="6">
        <f t="shared" si="0"/>
        <v>31850</v>
      </c>
      <c r="G7" s="3"/>
      <c r="H7" s="6"/>
      <c r="I7" s="6"/>
      <c r="J7" s="12">
        <f t="shared" si="1"/>
        <v>-113512.5</v>
      </c>
      <c r="K7" s="6"/>
      <c r="L7" s="6"/>
      <c r="M7" s="6"/>
    </row>
    <row r="8" spans="1:15" x14ac:dyDescent="0.25">
      <c r="A8" s="5">
        <v>45555</v>
      </c>
      <c r="B8" s="3" t="s">
        <v>5</v>
      </c>
      <c r="C8" s="3">
        <v>1610</v>
      </c>
      <c r="D8" s="3"/>
      <c r="E8" s="6">
        <v>12.5</v>
      </c>
      <c r="F8" s="6">
        <f t="shared" si="0"/>
        <v>20125</v>
      </c>
      <c r="G8" s="3"/>
      <c r="H8" s="6"/>
      <c r="I8" s="6"/>
      <c r="J8" s="12">
        <f t="shared" si="1"/>
        <v>-133637.5</v>
      </c>
      <c r="K8" s="6"/>
      <c r="L8" s="6"/>
      <c r="M8" s="6"/>
    </row>
    <row r="9" spans="1:15" x14ac:dyDescent="0.25">
      <c r="A9" s="5">
        <v>45558</v>
      </c>
      <c r="B9" s="3" t="s">
        <v>5</v>
      </c>
      <c r="C9" s="3">
        <v>2660</v>
      </c>
      <c r="D9" s="3"/>
      <c r="E9" s="6">
        <v>12.5</v>
      </c>
      <c r="F9" s="6">
        <f t="shared" si="0"/>
        <v>33250</v>
      </c>
      <c r="G9" s="3"/>
      <c r="H9" s="6"/>
      <c r="I9" s="6"/>
      <c r="J9" s="12">
        <f t="shared" si="1"/>
        <v>-166887.5</v>
      </c>
      <c r="K9" s="6"/>
      <c r="L9" s="6"/>
      <c r="M9" s="6"/>
    </row>
    <row r="10" spans="1:15" x14ac:dyDescent="0.25">
      <c r="A10" s="5">
        <v>45559</v>
      </c>
      <c r="B10" s="3" t="s">
        <v>5</v>
      </c>
      <c r="C10" s="3">
        <v>2562</v>
      </c>
      <c r="D10" s="3"/>
      <c r="E10" s="6">
        <v>12.5</v>
      </c>
      <c r="F10" s="6">
        <f t="shared" si="0"/>
        <v>32025</v>
      </c>
      <c r="G10" s="3"/>
      <c r="H10" s="6"/>
      <c r="I10" s="6"/>
      <c r="J10" s="12">
        <f t="shared" si="1"/>
        <v>-198912.5</v>
      </c>
      <c r="K10" s="6"/>
      <c r="L10" s="6"/>
      <c r="M10" s="6"/>
    </row>
    <row r="11" spans="1:15" x14ac:dyDescent="0.25">
      <c r="A11" s="5">
        <v>45560</v>
      </c>
      <c r="B11" s="3" t="s">
        <v>5</v>
      </c>
      <c r="C11" s="3">
        <v>2562</v>
      </c>
      <c r="D11" s="3"/>
      <c r="E11" s="6">
        <v>12.5</v>
      </c>
      <c r="F11" s="6">
        <f t="shared" si="0"/>
        <v>32025</v>
      </c>
      <c r="G11" s="3"/>
      <c r="H11" s="6"/>
      <c r="I11" s="6"/>
      <c r="J11" s="12">
        <f t="shared" si="1"/>
        <v>-230937.5</v>
      </c>
      <c r="K11" s="6"/>
      <c r="L11" s="6"/>
      <c r="M11" s="6"/>
    </row>
    <row r="12" spans="1:15" x14ac:dyDescent="0.25">
      <c r="A12" s="5">
        <v>45561</v>
      </c>
      <c r="B12" s="3" t="s">
        <v>5</v>
      </c>
      <c r="C12" s="3">
        <v>2420</v>
      </c>
      <c r="D12" s="3"/>
      <c r="E12" s="6">
        <v>12.5</v>
      </c>
      <c r="F12" s="6">
        <f t="shared" si="0"/>
        <v>30250</v>
      </c>
      <c r="G12" s="3"/>
      <c r="H12" s="6"/>
      <c r="I12" s="6"/>
      <c r="J12" s="12">
        <f t="shared" si="1"/>
        <v>-261187.5</v>
      </c>
      <c r="K12" s="6"/>
      <c r="L12" s="6"/>
      <c r="M12" s="6"/>
    </row>
    <row r="13" spans="1:15" x14ac:dyDescent="0.25">
      <c r="A13" s="5">
        <v>45562</v>
      </c>
      <c r="B13" s="3" t="s">
        <v>5</v>
      </c>
      <c r="C13" s="3">
        <v>2578</v>
      </c>
      <c r="D13" s="3"/>
      <c r="E13" s="6">
        <v>12.5</v>
      </c>
      <c r="F13" s="6">
        <f t="shared" si="0"/>
        <v>32225</v>
      </c>
      <c r="G13" s="3"/>
      <c r="H13" s="6"/>
      <c r="I13" s="6"/>
      <c r="J13" s="12">
        <f t="shared" si="1"/>
        <v>-293412.5</v>
      </c>
      <c r="K13" s="6"/>
      <c r="L13" s="6"/>
      <c r="M13" s="6"/>
    </row>
    <row r="14" spans="1:15" ht="16.5" thickBot="1" x14ac:dyDescent="0.3">
      <c r="A14" s="20">
        <v>45565</v>
      </c>
      <c r="B14" s="21" t="s">
        <v>5</v>
      </c>
      <c r="C14" s="21">
        <v>2548</v>
      </c>
      <c r="D14" s="21"/>
      <c r="E14" s="22">
        <v>12.5</v>
      </c>
      <c r="F14" s="22">
        <f t="shared" si="0"/>
        <v>31850</v>
      </c>
      <c r="G14" s="21"/>
      <c r="H14" s="22"/>
      <c r="I14" s="22"/>
      <c r="J14" s="23">
        <f t="shared" si="1"/>
        <v>-325262.5</v>
      </c>
      <c r="K14" s="22"/>
      <c r="L14" s="22"/>
      <c r="M14" s="22"/>
    </row>
    <row r="15" spans="1:15" x14ac:dyDescent="0.25">
      <c r="A15" s="16">
        <v>45566</v>
      </c>
      <c r="B15" s="17" t="s">
        <v>5</v>
      </c>
      <c r="C15" s="17">
        <v>2590</v>
      </c>
      <c r="D15" s="17"/>
      <c r="E15" s="18">
        <v>12.5</v>
      </c>
      <c r="F15" s="18">
        <f t="shared" si="0"/>
        <v>32375</v>
      </c>
      <c r="G15" s="17"/>
      <c r="H15" s="18"/>
      <c r="I15" s="18"/>
      <c r="J15" s="19">
        <f t="shared" si="1"/>
        <v>-357637.5</v>
      </c>
      <c r="K15" s="18"/>
      <c r="L15" s="18"/>
      <c r="M15" s="18"/>
    </row>
    <row r="16" spans="1:15" x14ac:dyDescent="0.25">
      <c r="A16" s="5">
        <v>45567</v>
      </c>
      <c r="B16" s="3" t="s">
        <v>5</v>
      </c>
      <c r="C16" s="3">
        <v>2296</v>
      </c>
      <c r="D16" s="3"/>
      <c r="E16" s="6">
        <v>12.5</v>
      </c>
      <c r="F16" s="6">
        <f t="shared" si="0"/>
        <v>28700</v>
      </c>
      <c r="G16" s="3"/>
      <c r="H16" s="6"/>
      <c r="I16" s="6"/>
      <c r="J16" s="12">
        <f t="shared" si="1"/>
        <v>-386337.5</v>
      </c>
      <c r="K16" s="6"/>
      <c r="L16" s="6"/>
      <c r="M16" s="6"/>
    </row>
    <row r="17" spans="1:14" x14ac:dyDescent="0.25">
      <c r="A17" s="5">
        <v>45568</v>
      </c>
      <c r="B17" s="3" t="s">
        <v>5</v>
      </c>
      <c r="C17" s="24">
        <v>1526</v>
      </c>
      <c r="D17" s="3"/>
      <c r="E17" s="6">
        <v>12.5</v>
      </c>
      <c r="F17" s="6">
        <f t="shared" si="0"/>
        <v>19075</v>
      </c>
      <c r="G17" s="3"/>
      <c r="H17" s="6"/>
      <c r="I17" s="6"/>
      <c r="J17" s="12">
        <f t="shared" si="1"/>
        <v>-405412.5</v>
      </c>
      <c r="K17" s="6"/>
      <c r="L17" s="6"/>
      <c r="M17" s="6"/>
    </row>
    <row r="18" spans="1:14" x14ac:dyDescent="0.25">
      <c r="A18" s="5">
        <v>45569</v>
      </c>
      <c r="B18" s="3" t="s">
        <v>5</v>
      </c>
      <c r="C18" s="3">
        <v>1750</v>
      </c>
      <c r="D18" s="3"/>
      <c r="E18" s="6">
        <v>12.5</v>
      </c>
      <c r="F18" s="6">
        <f t="shared" si="0"/>
        <v>21875</v>
      </c>
      <c r="G18" s="5"/>
      <c r="H18" s="6"/>
      <c r="I18" s="6"/>
      <c r="J18" s="12">
        <f t="shared" si="1"/>
        <v>-427287.5</v>
      </c>
      <c r="K18" s="32"/>
      <c r="L18" s="6"/>
      <c r="M18" s="6"/>
      <c r="N18" s="28"/>
    </row>
    <row r="19" spans="1:14" x14ac:dyDescent="0.25">
      <c r="A19" s="5">
        <v>45573</v>
      </c>
      <c r="B19" s="3" t="s">
        <v>5</v>
      </c>
      <c r="C19" s="3">
        <v>4256</v>
      </c>
      <c r="D19" s="3"/>
      <c r="E19" s="6">
        <v>12.5</v>
      </c>
      <c r="F19" s="6">
        <f t="shared" si="0"/>
        <v>53200</v>
      </c>
      <c r="G19" s="3"/>
      <c r="H19" s="6"/>
      <c r="I19" s="6"/>
      <c r="J19" s="12">
        <f t="shared" si="1"/>
        <v>-480487.5</v>
      </c>
      <c r="K19" s="32"/>
      <c r="L19" s="6"/>
      <c r="M19" s="6"/>
      <c r="N19" s="28"/>
    </row>
    <row r="20" spans="1:14" x14ac:dyDescent="0.25">
      <c r="A20" s="5">
        <v>45574</v>
      </c>
      <c r="B20" s="3" t="s">
        <v>5</v>
      </c>
      <c r="C20" s="3">
        <v>1526</v>
      </c>
      <c r="D20" s="3"/>
      <c r="E20" s="6">
        <v>12.5</v>
      </c>
      <c r="F20" s="6">
        <f t="shared" si="0"/>
        <v>19075</v>
      </c>
      <c r="G20" s="3"/>
      <c r="H20" s="6"/>
      <c r="I20" s="6"/>
      <c r="J20" s="12">
        <f t="shared" si="1"/>
        <v>-499562.5</v>
      </c>
      <c r="K20" s="6"/>
      <c r="L20" s="6"/>
      <c r="M20" s="6"/>
    </row>
    <row r="21" spans="1:14" x14ac:dyDescent="0.25">
      <c r="A21" s="5">
        <v>45575</v>
      </c>
      <c r="B21" s="3" t="s">
        <v>5</v>
      </c>
      <c r="C21" s="3">
        <v>3542</v>
      </c>
      <c r="D21" s="3"/>
      <c r="E21" s="6">
        <v>12.5</v>
      </c>
      <c r="F21" s="6">
        <f t="shared" si="0"/>
        <v>44275</v>
      </c>
      <c r="G21" s="3"/>
      <c r="H21" s="6"/>
      <c r="I21" s="6"/>
      <c r="J21" s="12">
        <f t="shared" si="1"/>
        <v>-543837.5</v>
      </c>
      <c r="K21" s="6"/>
      <c r="L21" s="6"/>
      <c r="M21" s="6"/>
    </row>
    <row r="22" spans="1:14" x14ac:dyDescent="0.25">
      <c r="A22" s="5">
        <v>45576</v>
      </c>
      <c r="B22" s="3" t="s">
        <v>5</v>
      </c>
      <c r="C22" s="3">
        <v>2828</v>
      </c>
      <c r="D22" s="3"/>
      <c r="E22" s="6">
        <v>12.5</v>
      </c>
      <c r="F22" s="6">
        <f t="shared" si="0"/>
        <v>35350</v>
      </c>
      <c r="G22" s="3"/>
      <c r="H22" s="6"/>
      <c r="I22" s="6"/>
      <c r="J22" s="12">
        <f t="shared" si="1"/>
        <v>-579187.5</v>
      </c>
      <c r="K22" s="6"/>
      <c r="L22" s="6"/>
      <c r="M22" s="6"/>
    </row>
    <row r="23" spans="1:14" x14ac:dyDescent="0.25">
      <c r="A23" s="5">
        <v>45579</v>
      </c>
      <c r="B23" s="3" t="s">
        <v>5</v>
      </c>
      <c r="C23" s="3">
        <v>616</v>
      </c>
      <c r="D23" s="3"/>
      <c r="E23" s="6">
        <v>12.5</v>
      </c>
      <c r="F23" s="6">
        <f t="shared" si="0"/>
        <v>7700</v>
      </c>
      <c r="G23" s="3"/>
      <c r="H23" s="6"/>
      <c r="I23" s="6"/>
      <c r="J23" s="12">
        <f t="shared" si="1"/>
        <v>-586887.5</v>
      </c>
      <c r="K23" s="6"/>
      <c r="L23" s="6"/>
      <c r="M23" s="6"/>
    </row>
    <row r="24" spans="1:14" x14ac:dyDescent="0.25">
      <c r="A24" s="5">
        <v>45581</v>
      </c>
      <c r="B24" s="3" t="s">
        <v>5</v>
      </c>
      <c r="C24" s="3">
        <v>3388</v>
      </c>
      <c r="D24" s="3"/>
      <c r="E24" s="6">
        <v>12.5</v>
      </c>
      <c r="F24" s="6">
        <f t="shared" si="0"/>
        <v>42350</v>
      </c>
      <c r="G24" s="3"/>
      <c r="H24" s="6"/>
      <c r="I24" s="6"/>
      <c r="J24" s="12">
        <f t="shared" si="1"/>
        <v>-629237.5</v>
      </c>
      <c r="K24" s="6"/>
      <c r="L24" s="6"/>
      <c r="M24" s="6"/>
    </row>
    <row r="25" spans="1:14" x14ac:dyDescent="0.25">
      <c r="A25" s="5">
        <v>45584</v>
      </c>
      <c r="B25" s="3" t="s">
        <v>5</v>
      </c>
      <c r="C25" s="3">
        <v>882</v>
      </c>
      <c r="D25" s="3"/>
      <c r="E25" s="6">
        <v>12.5</v>
      </c>
      <c r="F25" s="6">
        <f t="shared" si="0"/>
        <v>11025</v>
      </c>
      <c r="G25" s="3"/>
      <c r="H25" s="6"/>
      <c r="I25" s="6"/>
      <c r="J25" s="12">
        <f t="shared" si="1"/>
        <v>-640262.5</v>
      </c>
      <c r="K25" s="6"/>
      <c r="L25" s="6"/>
      <c r="M25" s="6"/>
    </row>
    <row r="26" spans="1:14" x14ac:dyDescent="0.25">
      <c r="A26" s="5">
        <v>45586</v>
      </c>
      <c r="B26" s="3" t="s">
        <v>5</v>
      </c>
      <c r="C26" s="3">
        <v>2156</v>
      </c>
      <c r="D26" s="3"/>
      <c r="E26" s="6">
        <v>12.5</v>
      </c>
      <c r="F26" s="6">
        <f t="shared" si="0"/>
        <v>26950</v>
      </c>
      <c r="G26" s="3"/>
      <c r="H26" s="6"/>
      <c r="I26" s="6"/>
      <c r="J26" s="12">
        <f t="shared" si="1"/>
        <v>-667212.5</v>
      </c>
      <c r="K26" s="6"/>
      <c r="L26" s="6"/>
      <c r="M26" s="6"/>
    </row>
    <row r="27" spans="1:14" x14ac:dyDescent="0.25">
      <c r="A27" s="5">
        <v>45587</v>
      </c>
      <c r="B27" s="3" t="s">
        <v>5</v>
      </c>
      <c r="C27" s="3">
        <v>2156</v>
      </c>
      <c r="D27" s="3"/>
      <c r="E27" s="6">
        <v>12.5</v>
      </c>
      <c r="F27" s="6">
        <f t="shared" si="0"/>
        <v>26950</v>
      </c>
      <c r="G27" s="3"/>
      <c r="H27" s="6"/>
      <c r="I27" s="6"/>
      <c r="J27" s="12">
        <f t="shared" si="1"/>
        <v>-694162.5</v>
      </c>
      <c r="K27" s="6"/>
      <c r="L27" s="6"/>
      <c r="M27" s="6"/>
    </row>
    <row r="28" spans="1:14" x14ac:dyDescent="0.25">
      <c r="A28" s="5">
        <v>45588</v>
      </c>
      <c r="B28" s="3" t="s">
        <v>5</v>
      </c>
      <c r="C28" s="3">
        <v>3766</v>
      </c>
      <c r="D28" s="3"/>
      <c r="E28" s="6">
        <v>12.5</v>
      </c>
      <c r="F28" s="6">
        <f t="shared" si="0"/>
        <v>47075</v>
      </c>
      <c r="G28" s="3"/>
      <c r="H28" s="6"/>
      <c r="I28" s="6"/>
      <c r="J28" s="12">
        <f t="shared" si="1"/>
        <v>-741237.5</v>
      </c>
      <c r="K28" s="6"/>
      <c r="L28" s="6"/>
      <c r="M28" s="6"/>
    </row>
    <row r="29" spans="1:14" x14ac:dyDescent="0.25">
      <c r="A29" s="5">
        <v>45589</v>
      </c>
      <c r="B29" s="3" t="s">
        <v>5</v>
      </c>
      <c r="C29" s="3">
        <v>644</v>
      </c>
      <c r="D29" s="3"/>
      <c r="E29" s="6">
        <v>12.5</v>
      </c>
      <c r="F29" s="6">
        <f t="shared" si="0"/>
        <v>8050</v>
      </c>
      <c r="G29" s="3"/>
      <c r="H29" s="6"/>
      <c r="I29" s="6"/>
      <c r="J29" s="12">
        <f t="shared" si="1"/>
        <v>-749287.5</v>
      </c>
      <c r="K29" s="6"/>
      <c r="L29" s="6"/>
      <c r="M29" s="6"/>
    </row>
    <row r="30" spans="1:14" x14ac:dyDescent="0.25">
      <c r="A30" s="5">
        <v>45590</v>
      </c>
      <c r="B30" s="3" t="s">
        <v>5</v>
      </c>
      <c r="C30" s="3">
        <v>3976</v>
      </c>
      <c r="D30" s="3"/>
      <c r="E30" s="6">
        <v>12.5</v>
      </c>
      <c r="F30" s="6">
        <f t="shared" si="0"/>
        <v>49700</v>
      </c>
      <c r="G30" s="3"/>
      <c r="H30" s="6"/>
      <c r="I30" s="6"/>
      <c r="J30" s="12">
        <f t="shared" si="1"/>
        <v>-798987.5</v>
      </c>
      <c r="K30" s="6"/>
      <c r="L30" s="6"/>
      <c r="M30" s="6"/>
    </row>
    <row r="31" spans="1:14" x14ac:dyDescent="0.25">
      <c r="A31" s="5">
        <v>45593</v>
      </c>
      <c r="B31" s="3" t="s">
        <v>5</v>
      </c>
      <c r="C31" s="3">
        <v>420</v>
      </c>
      <c r="D31" s="3"/>
      <c r="E31" s="6">
        <v>12.5</v>
      </c>
      <c r="F31" s="6">
        <f t="shared" si="0"/>
        <v>5250</v>
      </c>
      <c r="G31" s="3"/>
      <c r="H31" s="6"/>
      <c r="I31" s="6"/>
      <c r="J31" s="12">
        <f t="shared" si="1"/>
        <v>-804237.5</v>
      </c>
      <c r="K31" s="6"/>
      <c r="L31" s="6"/>
      <c r="M31" s="6"/>
    </row>
    <row r="32" spans="1:14" x14ac:dyDescent="0.25">
      <c r="A32" s="54"/>
      <c r="B32" s="55"/>
      <c r="C32" s="55"/>
      <c r="D32" s="55"/>
      <c r="E32" s="56"/>
      <c r="F32" s="56">
        <f t="shared" si="0"/>
        <v>0</v>
      </c>
      <c r="G32" s="55"/>
      <c r="H32" s="56"/>
      <c r="I32" s="56"/>
      <c r="J32" s="57">
        <f t="shared" si="1"/>
        <v>-804237.5</v>
      </c>
      <c r="K32" s="18">
        <v>0</v>
      </c>
      <c r="L32" s="18"/>
      <c r="M32" s="18"/>
    </row>
    <row r="33" spans="1:13" x14ac:dyDescent="0.25">
      <c r="A33" s="5">
        <v>45602</v>
      </c>
      <c r="B33" s="59" t="s">
        <v>26</v>
      </c>
      <c r="C33" s="59">
        <v>-3793</v>
      </c>
      <c r="D33" s="3"/>
      <c r="E33" s="6">
        <v>12.5</v>
      </c>
      <c r="F33" s="32">
        <f t="shared" si="0"/>
        <v>-47412.5</v>
      </c>
      <c r="G33" s="5">
        <v>45602</v>
      </c>
      <c r="H33" s="6" t="s">
        <v>23</v>
      </c>
      <c r="I33" s="6">
        <v>7425</v>
      </c>
      <c r="J33" s="12">
        <f t="shared" si="1"/>
        <v>-749400</v>
      </c>
      <c r="K33" s="6">
        <f>K32+I33</f>
        <v>7425</v>
      </c>
      <c r="L33" s="30"/>
      <c r="M33" s="6"/>
    </row>
    <row r="34" spans="1:13" x14ac:dyDescent="0.25">
      <c r="A34" s="5"/>
      <c r="B34" s="3"/>
      <c r="C34" s="3"/>
      <c r="D34" s="3"/>
      <c r="E34" s="6"/>
      <c r="F34" s="6">
        <f t="shared" si="0"/>
        <v>0</v>
      </c>
      <c r="G34" s="5"/>
      <c r="H34" s="6" t="s">
        <v>23</v>
      </c>
      <c r="I34" s="6">
        <v>300000</v>
      </c>
      <c r="J34" s="12">
        <f t="shared" si="1"/>
        <v>-449400</v>
      </c>
      <c r="K34" s="6">
        <v>300000</v>
      </c>
      <c r="L34" s="6"/>
      <c r="M34" s="6"/>
    </row>
    <row r="35" spans="1:13" x14ac:dyDescent="0.25">
      <c r="A35" s="5"/>
      <c r="B35" s="3"/>
      <c r="C35" s="3"/>
      <c r="D35" s="3"/>
      <c r="E35" s="6"/>
      <c r="F35" s="6">
        <f t="shared" si="0"/>
        <v>0</v>
      </c>
      <c r="G35" s="5">
        <v>45615</v>
      </c>
      <c r="H35" s="6" t="s">
        <v>23</v>
      </c>
      <c r="I35" s="6">
        <v>180000</v>
      </c>
      <c r="J35" s="12">
        <f t="shared" si="1"/>
        <v>-269400</v>
      </c>
      <c r="K35" s="6">
        <v>180000</v>
      </c>
      <c r="L35" s="6"/>
      <c r="M35" s="6"/>
    </row>
    <row r="36" spans="1:13" x14ac:dyDescent="0.25">
      <c r="A36" s="5"/>
      <c r="B36" s="3"/>
      <c r="C36" s="3"/>
      <c r="D36" s="3"/>
      <c r="E36" s="6"/>
      <c r="F36" s="6">
        <f t="shared" si="0"/>
        <v>0</v>
      </c>
      <c r="G36" s="5">
        <v>45632</v>
      </c>
      <c r="H36" s="6" t="s">
        <v>23</v>
      </c>
      <c r="I36" s="6">
        <v>90000</v>
      </c>
      <c r="J36" s="12">
        <f t="shared" si="1"/>
        <v>-179400</v>
      </c>
      <c r="K36" s="6">
        <v>90000</v>
      </c>
      <c r="L36" s="6"/>
      <c r="M36" s="6"/>
    </row>
    <row r="37" spans="1:13" x14ac:dyDescent="0.25">
      <c r="A37" s="5"/>
      <c r="B37" s="3"/>
      <c r="C37" s="3"/>
      <c r="D37" s="3"/>
      <c r="E37" s="6"/>
      <c r="F37" s="6">
        <f t="shared" si="0"/>
        <v>0</v>
      </c>
      <c r="G37" s="5">
        <v>45636</v>
      </c>
      <c r="H37" s="6" t="s">
        <v>23</v>
      </c>
      <c r="I37" s="6">
        <v>179400</v>
      </c>
      <c r="J37" s="12">
        <f t="shared" si="1"/>
        <v>0</v>
      </c>
      <c r="K37" s="6">
        <v>179400</v>
      </c>
      <c r="L37" s="6"/>
      <c r="M37" s="6"/>
    </row>
    <row r="38" spans="1:13" x14ac:dyDescent="0.25">
      <c r="A38" s="5"/>
      <c r="B38" s="3"/>
      <c r="C38" s="3"/>
      <c r="D38" s="3"/>
      <c r="E38" s="6"/>
      <c r="F38" s="6">
        <f t="shared" si="0"/>
        <v>0</v>
      </c>
      <c r="G38" s="3"/>
      <c r="H38" s="6"/>
      <c r="I38" s="6"/>
      <c r="J38" s="12">
        <f t="shared" si="1"/>
        <v>0</v>
      </c>
      <c r="K38" s="6"/>
      <c r="L38" s="6"/>
      <c r="M38" s="6"/>
    </row>
    <row r="39" spans="1:13" x14ac:dyDescent="0.25">
      <c r="A39" s="5"/>
      <c r="B39" s="3"/>
      <c r="C39" s="3"/>
      <c r="D39" s="3"/>
      <c r="E39" s="6"/>
      <c r="F39" s="6">
        <f t="shared" si="0"/>
        <v>0</v>
      </c>
      <c r="G39" s="3"/>
      <c r="H39" s="6"/>
      <c r="I39" s="6"/>
      <c r="J39" s="12">
        <f t="shared" si="1"/>
        <v>0</v>
      </c>
      <c r="K39" s="6"/>
      <c r="L39" s="6"/>
      <c r="M39" s="6"/>
    </row>
    <row r="40" spans="1:13" x14ac:dyDescent="0.25">
      <c r="A40" s="5"/>
      <c r="B40" s="3"/>
      <c r="C40" s="3"/>
      <c r="D40" s="3"/>
      <c r="E40" s="6"/>
      <c r="F40" s="6">
        <f t="shared" si="0"/>
        <v>0</v>
      </c>
      <c r="G40" s="3"/>
      <c r="H40" s="6"/>
      <c r="I40" s="6"/>
      <c r="J40" s="12">
        <f t="shared" si="1"/>
        <v>0</v>
      </c>
      <c r="K40" s="6"/>
      <c r="L40" s="6"/>
      <c r="M40" s="6"/>
    </row>
    <row r="41" spans="1:13" x14ac:dyDescent="0.25">
      <c r="A41" s="5"/>
      <c r="B41" s="3"/>
      <c r="C41" s="3"/>
      <c r="D41" s="3"/>
      <c r="E41" s="6"/>
      <c r="F41" s="6">
        <f t="shared" si="0"/>
        <v>0</v>
      </c>
      <c r="G41" s="3"/>
      <c r="H41" s="6"/>
      <c r="I41" s="6"/>
      <c r="J41" s="12">
        <f t="shared" si="1"/>
        <v>0</v>
      </c>
      <c r="K41" s="6"/>
      <c r="L41" s="6"/>
      <c r="M41" s="6"/>
    </row>
    <row r="42" spans="1:13" x14ac:dyDescent="0.25">
      <c r="A42" s="5"/>
      <c r="B42" s="3"/>
      <c r="C42" s="3"/>
      <c r="D42" s="3"/>
      <c r="E42" s="6"/>
      <c r="F42" s="6">
        <f t="shared" si="0"/>
        <v>0</v>
      </c>
      <c r="G42" s="3"/>
      <c r="H42" s="6"/>
      <c r="I42" s="6"/>
      <c r="J42" s="12">
        <f t="shared" si="1"/>
        <v>0</v>
      </c>
      <c r="K42" s="6"/>
      <c r="L42" s="6"/>
      <c r="M42" s="6"/>
    </row>
    <row r="43" spans="1:13" x14ac:dyDescent="0.25">
      <c r="A43" s="3"/>
      <c r="B43" s="3"/>
      <c r="C43" s="3"/>
      <c r="D43" s="3"/>
      <c r="E43" s="6"/>
      <c r="F43" s="6">
        <f t="shared" si="0"/>
        <v>0</v>
      </c>
      <c r="G43" s="3"/>
      <c r="H43" s="6"/>
      <c r="I43" s="6"/>
      <c r="J43" s="12">
        <f t="shared" si="1"/>
        <v>0</v>
      </c>
      <c r="K43" s="6"/>
      <c r="L43" s="6"/>
      <c r="M43" s="6"/>
    </row>
    <row r="44" spans="1:13" x14ac:dyDescent="0.25">
      <c r="A44" s="3"/>
      <c r="B44" s="3"/>
      <c r="C44" s="3"/>
      <c r="D44" s="3"/>
      <c r="E44" s="6"/>
      <c r="F44" s="6">
        <f t="shared" si="0"/>
        <v>0</v>
      </c>
      <c r="G44" s="3"/>
      <c r="H44" s="6"/>
      <c r="I44" s="6"/>
      <c r="J44" s="12">
        <f t="shared" si="1"/>
        <v>0</v>
      </c>
      <c r="K44" s="6"/>
      <c r="L44" s="6"/>
      <c r="M44" s="6"/>
    </row>
    <row r="45" spans="1:13" x14ac:dyDescent="0.25">
      <c r="A45" s="3"/>
      <c r="B45" s="3"/>
      <c r="C45" s="3"/>
      <c r="D45" s="3"/>
      <c r="E45" s="6"/>
      <c r="F45" s="6">
        <f t="shared" si="0"/>
        <v>0</v>
      </c>
      <c r="G45" s="3"/>
      <c r="H45" s="6"/>
      <c r="I45" s="6"/>
      <c r="J45" s="12">
        <f t="shared" si="1"/>
        <v>0</v>
      </c>
      <c r="K45" s="6"/>
      <c r="L45" s="6"/>
      <c r="M45" s="6"/>
    </row>
    <row r="46" spans="1:13" s="10" customFormat="1" x14ac:dyDescent="0.25">
      <c r="A46" s="8"/>
      <c r="B46" s="8"/>
      <c r="C46" s="8">
        <f>SUM(C3:C45)</f>
        <v>60546</v>
      </c>
      <c r="D46" s="8"/>
      <c r="E46" s="8"/>
      <c r="F46" s="9"/>
      <c r="G46" s="8"/>
      <c r="H46" s="9"/>
      <c r="I46" s="9"/>
      <c r="J46" s="12"/>
      <c r="K46" s="9">
        <f>SUM(K32:K45)</f>
        <v>756825</v>
      </c>
      <c r="L46" s="9"/>
      <c r="M46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workbookViewId="0">
      <pane ySplit="1" topLeftCell="A2" activePane="bottomLeft" state="frozen"/>
      <selection pane="bottomLeft" activeCell="J32" sqref="J32"/>
    </sheetView>
  </sheetViews>
  <sheetFormatPr defaultColWidth="8.85546875" defaultRowHeight="15.75" x14ac:dyDescent="0.25"/>
  <cols>
    <col min="1" max="1" width="10.7109375" style="1" customWidth="1"/>
    <col min="2" max="2" width="15.7109375" style="1" customWidth="1"/>
    <col min="3" max="3" width="8.85546875" style="1"/>
    <col min="4" max="4" width="9.28515625" style="40" bestFit="1" customWidth="1"/>
    <col min="5" max="5" width="9.85546875" style="1" customWidth="1"/>
    <col min="6" max="6" width="13.42578125" style="1" bestFit="1" customWidth="1"/>
    <col min="7" max="7" width="8.85546875" style="1"/>
    <col min="8" max="8" width="12.28515625" style="7" customWidth="1"/>
    <col min="9" max="9" width="13.140625" style="7" bestFit="1" customWidth="1"/>
    <col min="10" max="10" width="15.42578125" style="13" customWidth="1"/>
    <col min="11" max="16384" width="8.85546875" style="1"/>
  </cols>
  <sheetData>
    <row r="1" spans="1:11" s="2" customFormat="1" ht="31.5" x14ac:dyDescent="0.25">
      <c r="A1" s="4" t="s">
        <v>12</v>
      </c>
      <c r="B1" s="4" t="s">
        <v>0</v>
      </c>
      <c r="C1" s="4" t="s">
        <v>10</v>
      </c>
      <c r="D1" s="35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</row>
    <row r="2" spans="1:11" x14ac:dyDescent="0.25">
      <c r="A2" s="3"/>
      <c r="B2" s="3"/>
      <c r="C2" s="3"/>
      <c r="D2" s="36"/>
      <c r="E2" s="3"/>
      <c r="F2" s="3"/>
      <c r="G2" s="3"/>
      <c r="H2" s="6"/>
      <c r="I2" s="6"/>
      <c r="J2" s="12">
        <v>0</v>
      </c>
    </row>
    <row r="3" spans="1:11" x14ac:dyDescent="0.25">
      <c r="A3" s="5">
        <v>45674</v>
      </c>
      <c r="B3" s="3" t="s">
        <v>16</v>
      </c>
      <c r="C3" s="3"/>
      <c r="D3" s="36">
        <v>2700</v>
      </c>
      <c r="E3" s="6">
        <v>14</v>
      </c>
      <c r="F3" s="6">
        <f>C3*E3+D3*E3</f>
        <v>37800</v>
      </c>
      <c r="G3" s="3"/>
      <c r="H3" s="6"/>
      <c r="I3" s="6"/>
      <c r="J3" s="12">
        <f>J2-F3+I3</f>
        <v>-37800</v>
      </c>
    </row>
    <row r="4" spans="1:11" x14ac:dyDescent="0.25">
      <c r="A4" s="5">
        <v>45677</v>
      </c>
      <c r="B4" s="3" t="s">
        <v>16</v>
      </c>
      <c r="C4" s="3"/>
      <c r="D4" s="36">
        <v>2700</v>
      </c>
      <c r="E4" s="6">
        <v>14</v>
      </c>
      <c r="F4" s="6">
        <f t="shared" ref="F4:F55" si="0">C4*E4+D4*E4</f>
        <v>37800</v>
      </c>
      <c r="G4" s="5"/>
      <c r="H4" s="6"/>
      <c r="I4" s="6"/>
      <c r="J4" s="12">
        <f t="shared" ref="J4:J55" si="1">J3-F4+I4</f>
        <v>-75600</v>
      </c>
      <c r="K4" s="33"/>
    </row>
    <row r="5" spans="1:11" x14ac:dyDescent="0.25">
      <c r="A5" s="5">
        <v>45678</v>
      </c>
      <c r="B5" s="3" t="s">
        <v>16</v>
      </c>
      <c r="C5" s="3"/>
      <c r="D5" s="36">
        <v>5400</v>
      </c>
      <c r="E5" s="6">
        <v>14</v>
      </c>
      <c r="F5" s="6">
        <f t="shared" si="0"/>
        <v>75600</v>
      </c>
      <c r="G5" s="3"/>
      <c r="H5" s="6"/>
      <c r="I5" s="6"/>
      <c r="J5" s="12">
        <f t="shared" si="1"/>
        <v>-151200</v>
      </c>
    </row>
    <row r="6" spans="1:11" x14ac:dyDescent="0.25">
      <c r="A6" s="5">
        <v>45679</v>
      </c>
      <c r="B6" s="3" t="s">
        <v>16</v>
      </c>
      <c r="C6" s="3"/>
      <c r="D6" s="36">
        <v>5450</v>
      </c>
      <c r="E6" s="6">
        <v>14</v>
      </c>
      <c r="F6" s="6">
        <f t="shared" si="0"/>
        <v>76300</v>
      </c>
      <c r="G6" s="5"/>
      <c r="H6" s="6"/>
      <c r="I6" s="6"/>
      <c r="J6" s="12">
        <f t="shared" si="1"/>
        <v>-227500</v>
      </c>
    </row>
    <row r="7" spans="1:11" x14ac:dyDescent="0.25">
      <c r="A7" s="5">
        <v>45684</v>
      </c>
      <c r="B7" s="3"/>
      <c r="C7" s="3"/>
      <c r="D7" s="36"/>
      <c r="E7" s="6"/>
      <c r="F7" s="6">
        <f t="shared" si="0"/>
        <v>0</v>
      </c>
      <c r="G7" s="5">
        <v>45684</v>
      </c>
      <c r="H7" s="6" t="s">
        <v>22</v>
      </c>
      <c r="I7" s="6">
        <v>227500</v>
      </c>
      <c r="J7" s="12">
        <f t="shared" si="1"/>
        <v>0</v>
      </c>
    </row>
    <row r="8" spans="1:11" x14ac:dyDescent="0.25">
      <c r="A8" s="72">
        <v>45698</v>
      </c>
      <c r="B8" s="3" t="s">
        <v>16</v>
      </c>
      <c r="C8" s="3"/>
      <c r="D8" s="36">
        <v>3500</v>
      </c>
      <c r="E8" s="6">
        <v>14</v>
      </c>
      <c r="F8" s="6">
        <f t="shared" si="0"/>
        <v>49000</v>
      </c>
      <c r="G8" s="3"/>
      <c r="H8" s="6"/>
      <c r="I8" s="6"/>
      <c r="J8" s="12">
        <f t="shared" si="1"/>
        <v>-49000</v>
      </c>
    </row>
    <row r="9" spans="1:11" x14ac:dyDescent="0.25">
      <c r="A9" s="5">
        <v>45699</v>
      </c>
      <c r="B9" s="3" t="s">
        <v>16</v>
      </c>
      <c r="C9" s="3"/>
      <c r="D9" s="36">
        <v>4250</v>
      </c>
      <c r="E9" s="6">
        <v>14</v>
      </c>
      <c r="F9" s="6">
        <f t="shared" si="0"/>
        <v>59500</v>
      </c>
      <c r="G9" s="3"/>
      <c r="H9" s="6"/>
      <c r="I9" s="6"/>
      <c r="J9" s="12">
        <f t="shared" si="1"/>
        <v>-108500</v>
      </c>
    </row>
    <row r="10" spans="1:11" x14ac:dyDescent="0.25">
      <c r="A10" s="5">
        <v>45700</v>
      </c>
      <c r="B10" s="3" t="s">
        <v>16</v>
      </c>
      <c r="C10" s="3"/>
      <c r="D10" s="62">
        <v>330</v>
      </c>
      <c r="E10" s="6">
        <v>14</v>
      </c>
      <c r="F10" s="6">
        <f t="shared" si="0"/>
        <v>4620</v>
      </c>
      <c r="G10" s="3"/>
      <c r="H10" s="6"/>
      <c r="I10" s="6"/>
      <c r="J10" s="12">
        <f t="shared" si="1"/>
        <v>-113120</v>
      </c>
    </row>
    <row r="11" spans="1:11" x14ac:dyDescent="0.25">
      <c r="A11" s="5">
        <v>45701</v>
      </c>
      <c r="B11" s="3" t="s">
        <v>16</v>
      </c>
      <c r="C11" s="3"/>
      <c r="D11" s="36">
        <v>5220</v>
      </c>
      <c r="E11" s="6">
        <v>14</v>
      </c>
      <c r="F11" s="6">
        <f t="shared" si="0"/>
        <v>73080</v>
      </c>
      <c r="G11" s="3"/>
      <c r="H11" s="6"/>
      <c r="I11" s="6"/>
      <c r="J11" s="12">
        <f t="shared" si="1"/>
        <v>-186200</v>
      </c>
    </row>
    <row r="12" spans="1:11" x14ac:dyDescent="0.25">
      <c r="A12" s="5">
        <v>45702</v>
      </c>
      <c r="B12" s="3" t="s">
        <v>16</v>
      </c>
      <c r="C12" s="3"/>
      <c r="D12" s="36">
        <v>6150</v>
      </c>
      <c r="E12" s="6">
        <v>14</v>
      </c>
      <c r="F12" s="6">
        <f t="shared" si="0"/>
        <v>86100</v>
      </c>
      <c r="G12" s="3"/>
      <c r="H12" s="6"/>
      <c r="I12" s="6"/>
      <c r="J12" s="12">
        <f t="shared" si="1"/>
        <v>-272300</v>
      </c>
    </row>
    <row r="13" spans="1:11" ht="16.5" thickBot="1" x14ac:dyDescent="0.3">
      <c r="A13" s="20">
        <v>45705</v>
      </c>
      <c r="B13" s="21" t="s">
        <v>16</v>
      </c>
      <c r="C13" s="21"/>
      <c r="D13" s="37">
        <v>1850</v>
      </c>
      <c r="E13" s="22">
        <v>14</v>
      </c>
      <c r="F13" s="22">
        <f t="shared" si="0"/>
        <v>25900</v>
      </c>
      <c r="G13" s="21"/>
      <c r="H13" s="22"/>
      <c r="I13" s="22"/>
      <c r="J13" s="23">
        <f t="shared" si="1"/>
        <v>-298200</v>
      </c>
    </row>
    <row r="14" spans="1:11" x14ac:dyDescent="0.25">
      <c r="A14" s="34"/>
      <c r="B14" s="17"/>
      <c r="C14" s="17"/>
      <c r="D14" s="38"/>
      <c r="E14" s="18"/>
      <c r="F14" s="18">
        <f t="shared" si="0"/>
        <v>0</v>
      </c>
      <c r="G14" s="34">
        <v>45720</v>
      </c>
      <c r="H14" s="18" t="s">
        <v>22</v>
      </c>
      <c r="I14" s="18">
        <v>298200</v>
      </c>
      <c r="J14" s="19">
        <f t="shared" si="1"/>
        <v>0</v>
      </c>
    </row>
    <row r="15" spans="1:11" x14ac:dyDescent="0.25">
      <c r="A15" s="73">
        <v>45747</v>
      </c>
      <c r="B15" s="3" t="s">
        <v>16</v>
      </c>
      <c r="C15" s="3"/>
      <c r="D15" s="36">
        <v>6000</v>
      </c>
      <c r="E15" s="6">
        <v>14</v>
      </c>
      <c r="F15" s="6">
        <f t="shared" si="0"/>
        <v>84000</v>
      </c>
      <c r="G15" s="3"/>
      <c r="H15" s="6"/>
      <c r="I15" s="6"/>
      <c r="J15" s="12">
        <f t="shared" si="1"/>
        <v>-84000</v>
      </c>
    </row>
    <row r="16" spans="1:11" ht="16.5" thickBot="1" x14ac:dyDescent="0.3">
      <c r="A16" s="105"/>
      <c r="B16" s="106"/>
      <c r="C16" s="106"/>
      <c r="D16" s="107"/>
      <c r="E16" s="108"/>
      <c r="F16" s="108">
        <f t="shared" si="0"/>
        <v>0</v>
      </c>
      <c r="G16" s="106"/>
      <c r="H16" s="108"/>
      <c r="I16" s="108"/>
      <c r="J16" s="109">
        <f t="shared" si="1"/>
        <v>-84000</v>
      </c>
    </row>
    <row r="17" spans="1:10" x14ac:dyDescent="0.25">
      <c r="A17" s="110">
        <v>45748</v>
      </c>
      <c r="B17" s="111" t="s">
        <v>16</v>
      </c>
      <c r="C17" s="111"/>
      <c r="D17" s="112">
        <v>4950</v>
      </c>
      <c r="E17" s="113">
        <v>14</v>
      </c>
      <c r="F17" s="113">
        <f t="shared" si="0"/>
        <v>69300</v>
      </c>
      <c r="G17" s="111"/>
      <c r="H17" s="113"/>
      <c r="I17" s="113"/>
      <c r="J17" s="114">
        <f t="shared" si="1"/>
        <v>-153300</v>
      </c>
    </row>
    <row r="18" spans="1:10" ht="16.5" thickBot="1" x14ac:dyDescent="0.3">
      <c r="A18" s="115">
        <v>45749</v>
      </c>
      <c r="B18" s="21" t="s">
        <v>16</v>
      </c>
      <c r="C18" s="21"/>
      <c r="D18" s="37">
        <v>3050</v>
      </c>
      <c r="E18" s="22">
        <v>14</v>
      </c>
      <c r="F18" s="22">
        <f t="shared" si="0"/>
        <v>42700</v>
      </c>
      <c r="G18" s="20"/>
      <c r="H18" s="22"/>
      <c r="I18" s="22"/>
      <c r="J18" s="116">
        <f t="shared" si="1"/>
        <v>-196000</v>
      </c>
    </row>
    <row r="19" spans="1:10" ht="16.5" thickBot="1" x14ac:dyDescent="0.3">
      <c r="A19" s="142">
        <v>45758</v>
      </c>
      <c r="B19" s="143"/>
      <c r="C19" s="143"/>
      <c r="D19" s="144"/>
      <c r="E19" s="118"/>
      <c r="F19" s="118">
        <f t="shared" si="0"/>
        <v>0</v>
      </c>
      <c r="G19" s="142">
        <v>45758</v>
      </c>
      <c r="H19" s="118" t="s">
        <v>22</v>
      </c>
      <c r="I19" s="118">
        <v>196000</v>
      </c>
      <c r="J19" s="145">
        <f t="shared" si="1"/>
        <v>0</v>
      </c>
    </row>
    <row r="20" spans="1:10" x14ac:dyDescent="0.25">
      <c r="A20" s="110">
        <v>45768</v>
      </c>
      <c r="B20" s="111" t="s">
        <v>16</v>
      </c>
      <c r="C20" s="111"/>
      <c r="D20" s="112">
        <v>13000</v>
      </c>
      <c r="E20" s="113">
        <v>14.5</v>
      </c>
      <c r="F20" s="113">
        <f t="shared" si="0"/>
        <v>188500</v>
      </c>
      <c r="G20" s="111"/>
      <c r="H20" s="113"/>
      <c r="I20" s="113"/>
      <c r="J20" s="114">
        <f t="shared" si="1"/>
        <v>-188500</v>
      </c>
    </row>
    <row r="21" spans="1:10" ht="16.5" thickBot="1" x14ac:dyDescent="0.3">
      <c r="A21" s="115">
        <v>45769</v>
      </c>
      <c r="B21" s="21" t="s">
        <v>16</v>
      </c>
      <c r="C21" s="21"/>
      <c r="D21" s="37">
        <v>7000</v>
      </c>
      <c r="E21" s="22">
        <v>14.5</v>
      </c>
      <c r="F21" s="22">
        <f t="shared" si="0"/>
        <v>101500</v>
      </c>
      <c r="G21" s="21"/>
      <c r="H21" s="22"/>
      <c r="I21" s="22"/>
      <c r="J21" s="116">
        <f t="shared" si="1"/>
        <v>-290000</v>
      </c>
    </row>
    <row r="22" spans="1:10" x14ac:dyDescent="0.25">
      <c r="A22" s="162"/>
      <c r="B22" s="163"/>
      <c r="C22" s="163"/>
      <c r="D22" s="164"/>
      <c r="E22" s="165"/>
      <c r="F22" s="165">
        <f t="shared" si="0"/>
        <v>0</v>
      </c>
      <c r="G22" s="55" t="s">
        <v>98</v>
      </c>
      <c r="H22" s="165"/>
      <c r="I22" s="165"/>
      <c r="J22" s="166">
        <f t="shared" si="1"/>
        <v>-290000</v>
      </c>
    </row>
    <row r="23" spans="1:10" x14ac:dyDescent="0.25">
      <c r="A23" s="5"/>
      <c r="B23" s="3"/>
      <c r="C23" s="3"/>
      <c r="D23" s="36"/>
      <c r="E23" s="6"/>
      <c r="F23" s="165">
        <f t="shared" si="0"/>
        <v>0</v>
      </c>
      <c r="G23" s="3" t="s">
        <v>96</v>
      </c>
      <c r="H23" s="6" t="s">
        <v>22</v>
      </c>
      <c r="I23" s="6">
        <v>290000</v>
      </c>
      <c r="J23" s="12">
        <f t="shared" si="1"/>
        <v>0</v>
      </c>
    </row>
    <row r="24" spans="1:10" x14ac:dyDescent="0.25">
      <c r="A24" s="5"/>
      <c r="B24" s="3"/>
      <c r="C24" s="3"/>
      <c r="D24" s="36"/>
      <c r="E24" s="6"/>
      <c r="F24" s="165">
        <f t="shared" si="0"/>
        <v>0</v>
      </c>
      <c r="G24" s="3"/>
      <c r="H24" s="6"/>
      <c r="I24" s="6"/>
      <c r="J24" s="12">
        <f t="shared" si="1"/>
        <v>0</v>
      </c>
    </row>
    <row r="25" spans="1:10" x14ac:dyDescent="0.25">
      <c r="A25" s="5"/>
      <c r="B25" s="3"/>
      <c r="C25" s="3"/>
      <c r="D25" s="36"/>
      <c r="E25" s="6"/>
      <c r="F25" s="165">
        <f t="shared" si="0"/>
        <v>0</v>
      </c>
      <c r="G25" s="3"/>
      <c r="H25" s="6"/>
      <c r="I25" s="6"/>
      <c r="J25" s="12">
        <f t="shared" si="1"/>
        <v>0</v>
      </c>
    </row>
    <row r="26" spans="1:10" x14ac:dyDescent="0.25">
      <c r="A26" s="5"/>
      <c r="B26" s="3"/>
      <c r="C26" s="3"/>
      <c r="D26" s="36"/>
      <c r="E26" s="6"/>
      <c r="F26" s="165">
        <f t="shared" si="0"/>
        <v>0</v>
      </c>
      <c r="G26" s="3"/>
      <c r="H26" s="6"/>
      <c r="I26" s="6"/>
      <c r="J26" s="12">
        <f t="shared" si="1"/>
        <v>0</v>
      </c>
    </row>
    <row r="27" spans="1:10" x14ac:dyDescent="0.25">
      <c r="A27" s="5"/>
      <c r="B27" s="3"/>
      <c r="C27" s="3"/>
      <c r="D27" s="36"/>
      <c r="E27" s="6"/>
      <c r="F27" s="6">
        <f t="shared" si="0"/>
        <v>0</v>
      </c>
      <c r="G27" s="3"/>
      <c r="H27" s="6"/>
      <c r="I27" s="6"/>
      <c r="J27" s="12">
        <f t="shared" si="1"/>
        <v>0</v>
      </c>
    </row>
    <row r="28" spans="1:10" x14ac:dyDescent="0.25">
      <c r="A28" s="5"/>
      <c r="B28" s="3"/>
      <c r="C28" s="3"/>
      <c r="D28" s="36"/>
      <c r="E28" s="6"/>
      <c r="F28" s="6">
        <f t="shared" si="0"/>
        <v>0</v>
      </c>
      <c r="G28" s="3"/>
      <c r="H28" s="6"/>
      <c r="I28" s="6"/>
      <c r="J28" s="12">
        <f t="shared" si="1"/>
        <v>0</v>
      </c>
    </row>
    <row r="29" spans="1:10" x14ac:dyDescent="0.25">
      <c r="A29" s="5"/>
      <c r="B29" s="3"/>
      <c r="C29" s="3"/>
      <c r="D29" s="36"/>
      <c r="E29" s="6"/>
      <c r="F29" s="6">
        <f t="shared" si="0"/>
        <v>0</v>
      </c>
      <c r="G29" s="3"/>
      <c r="H29" s="6"/>
      <c r="I29" s="6"/>
      <c r="J29" s="12">
        <f t="shared" si="1"/>
        <v>0</v>
      </c>
    </row>
    <row r="30" spans="1:10" x14ac:dyDescent="0.25">
      <c r="A30" s="5"/>
      <c r="B30" s="3"/>
      <c r="C30" s="3"/>
      <c r="D30" s="36"/>
      <c r="E30" s="6"/>
      <c r="F30" s="6">
        <f t="shared" si="0"/>
        <v>0</v>
      </c>
      <c r="G30" s="5"/>
      <c r="H30" s="6"/>
      <c r="I30" s="6"/>
      <c r="J30" s="12">
        <f t="shared" si="1"/>
        <v>0</v>
      </c>
    </row>
    <row r="31" spans="1:10" x14ac:dyDescent="0.25">
      <c r="A31" s="5"/>
      <c r="B31" s="3"/>
      <c r="C31" s="3"/>
      <c r="D31" s="36"/>
      <c r="E31" s="6"/>
      <c r="F31" s="6">
        <f t="shared" si="0"/>
        <v>0</v>
      </c>
      <c r="G31" s="3"/>
      <c r="H31" s="6"/>
      <c r="I31" s="6"/>
      <c r="J31" s="12">
        <f t="shared" si="1"/>
        <v>0</v>
      </c>
    </row>
    <row r="32" spans="1:10" x14ac:dyDescent="0.25">
      <c r="A32" s="5"/>
      <c r="B32" s="3"/>
      <c r="C32" s="3"/>
      <c r="D32" s="36"/>
      <c r="E32" s="6"/>
      <c r="F32" s="6">
        <f t="shared" si="0"/>
        <v>0</v>
      </c>
      <c r="G32" s="3"/>
      <c r="H32" s="6"/>
      <c r="I32" s="6"/>
      <c r="J32" s="12">
        <f t="shared" si="1"/>
        <v>0</v>
      </c>
    </row>
    <row r="33" spans="1:10" x14ac:dyDescent="0.25">
      <c r="A33" s="5"/>
      <c r="B33" s="3"/>
      <c r="C33" s="3"/>
      <c r="D33" s="36"/>
      <c r="E33" s="6"/>
      <c r="F33" s="6">
        <f t="shared" si="0"/>
        <v>0</v>
      </c>
      <c r="G33" s="3"/>
      <c r="H33" s="6"/>
      <c r="I33" s="6"/>
      <c r="J33" s="12">
        <f t="shared" si="1"/>
        <v>0</v>
      </c>
    </row>
    <row r="34" spans="1:10" x14ac:dyDescent="0.25">
      <c r="A34" s="5"/>
      <c r="B34" s="3"/>
      <c r="C34" s="3"/>
      <c r="D34" s="36"/>
      <c r="E34" s="6"/>
      <c r="F34" s="6">
        <f t="shared" si="0"/>
        <v>0</v>
      </c>
      <c r="G34" s="3"/>
      <c r="H34" s="6"/>
      <c r="I34" s="6"/>
      <c r="J34" s="12">
        <f t="shared" si="1"/>
        <v>0</v>
      </c>
    </row>
    <row r="35" spans="1:10" x14ac:dyDescent="0.25">
      <c r="A35" s="5"/>
      <c r="B35" s="3"/>
      <c r="C35" s="3"/>
      <c r="D35" s="36"/>
      <c r="E35" s="6"/>
      <c r="F35" s="6">
        <f t="shared" si="0"/>
        <v>0</v>
      </c>
      <c r="G35" s="3"/>
      <c r="H35" s="6"/>
      <c r="I35" s="6"/>
      <c r="J35" s="12">
        <f t="shared" si="1"/>
        <v>0</v>
      </c>
    </row>
    <row r="36" spans="1:10" x14ac:dyDescent="0.25">
      <c r="A36" s="5"/>
      <c r="B36" s="3"/>
      <c r="C36" s="3"/>
      <c r="D36" s="36"/>
      <c r="E36" s="6"/>
      <c r="F36" s="6">
        <f t="shared" si="0"/>
        <v>0</v>
      </c>
      <c r="G36" s="3"/>
      <c r="H36" s="6"/>
      <c r="I36" s="6"/>
      <c r="J36" s="12">
        <f t="shared" si="1"/>
        <v>0</v>
      </c>
    </row>
    <row r="37" spans="1:10" x14ac:dyDescent="0.25">
      <c r="A37" s="5"/>
      <c r="B37" s="3"/>
      <c r="C37" s="3"/>
      <c r="D37" s="36"/>
      <c r="E37" s="6"/>
      <c r="F37" s="6">
        <f t="shared" si="0"/>
        <v>0</v>
      </c>
      <c r="G37" s="3"/>
      <c r="H37" s="6"/>
      <c r="I37" s="6"/>
      <c r="J37" s="12">
        <f t="shared" si="1"/>
        <v>0</v>
      </c>
    </row>
    <row r="38" spans="1:10" x14ac:dyDescent="0.25">
      <c r="A38" s="5"/>
      <c r="B38" s="3"/>
      <c r="C38" s="3"/>
      <c r="D38" s="36"/>
      <c r="E38" s="6"/>
      <c r="F38" s="6">
        <f t="shared" si="0"/>
        <v>0</v>
      </c>
      <c r="G38" s="3"/>
      <c r="H38" s="6"/>
      <c r="I38" s="6"/>
      <c r="J38" s="12">
        <f t="shared" si="1"/>
        <v>0</v>
      </c>
    </row>
    <row r="39" spans="1:10" x14ac:dyDescent="0.25">
      <c r="A39" s="5"/>
      <c r="B39" s="3"/>
      <c r="C39" s="3"/>
      <c r="D39" s="36"/>
      <c r="E39" s="6"/>
      <c r="F39" s="6">
        <f t="shared" si="0"/>
        <v>0</v>
      </c>
      <c r="G39" s="3"/>
      <c r="H39" s="6"/>
      <c r="I39" s="6"/>
      <c r="J39" s="12">
        <f t="shared" si="1"/>
        <v>0</v>
      </c>
    </row>
    <row r="40" spans="1:10" x14ac:dyDescent="0.25">
      <c r="A40" s="5"/>
      <c r="B40" s="3"/>
      <c r="C40" s="3"/>
      <c r="D40" s="36"/>
      <c r="E40" s="6"/>
      <c r="F40" s="6">
        <f t="shared" si="0"/>
        <v>0</v>
      </c>
      <c r="G40" s="3"/>
      <c r="H40" s="6"/>
      <c r="I40" s="6"/>
      <c r="J40" s="12">
        <f t="shared" si="1"/>
        <v>0</v>
      </c>
    </row>
    <row r="41" spans="1:10" ht="16.5" thickBot="1" x14ac:dyDescent="0.3">
      <c r="A41" s="20"/>
      <c r="B41" s="21"/>
      <c r="C41" s="21"/>
      <c r="D41" s="37"/>
      <c r="E41" s="22"/>
      <c r="F41" s="22">
        <f t="shared" si="0"/>
        <v>0</v>
      </c>
      <c r="G41" s="21"/>
      <c r="H41" s="22"/>
      <c r="I41" s="22"/>
      <c r="J41" s="23">
        <f t="shared" si="1"/>
        <v>0</v>
      </c>
    </row>
    <row r="42" spans="1:10" x14ac:dyDescent="0.25">
      <c r="A42" s="34"/>
      <c r="B42" s="17"/>
      <c r="C42" s="17"/>
      <c r="D42" s="38"/>
      <c r="E42" s="18"/>
      <c r="F42" s="18">
        <f t="shared" si="0"/>
        <v>0</v>
      </c>
      <c r="G42" s="17"/>
      <c r="H42" s="18"/>
      <c r="I42" s="18"/>
      <c r="J42" s="19">
        <f t="shared" si="1"/>
        <v>0</v>
      </c>
    </row>
    <row r="43" spans="1:10" x14ac:dyDescent="0.25">
      <c r="A43" s="5"/>
      <c r="B43" s="3"/>
      <c r="C43" s="3"/>
      <c r="D43" s="36"/>
      <c r="E43" s="6"/>
      <c r="F43" s="6">
        <f t="shared" si="0"/>
        <v>0</v>
      </c>
      <c r="G43" s="5"/>
      <c r="H43" s="6"/>
      <c r="I43" s="6"/>
      <c r="J43" s="12">
        <f t="shared" si="1"/>
        <v>0</v>
      </c>
    </row>
    <row r="44" spans="1:10" x14ac:dyDescent="0.25">
      <c r="A44" s="5"/>
      <c r="B44" s="3"/>
      <c r="C44" s="3"/>
      <c r="D44" s="36"/>
      <c r="E44" s="6"/>
      <c r="F44" s="6">
        <f t="shared" si="0"/>
        <v>0</v>
      </c>
      <c r="G44" s="5"/>
      <c r="H44" s="6"/>
      <c r="I44" s="6"/>
      <c r="J44" s="12">
        <f t="shared" si="1"/>
        <v>0</v>
      </c>
    </row>
    <row r="45" spans="1:10" x14ac:dyDescent="0.25">
      <c r="A45" s="5"/>
      <c r="B45" s="3"/>
      <c r="C45" s="3"/>
      <c r="D45" s="36"/>
      <c r="E45" s="6"/>
      <c r="F45" s="6">
        <f t="shared" si="0"/>
        <v>0</v>
      </c>
      <c r="G45" s="3"/>
      <c r="H45" s="6"/>
      <c r="I45" s="6"/>
      <c r="J45" s="12">
        <f t="shared" si="1"/>
        <v>0</v>
      </c>
    </row>
    <row r="46" spans="1:10" x14ac:dyDescent="0.25">
      <c r="A46" s="5"/>
      <c r="B46" s="3"/>
      <c r="C46" s="3"/>
      <c r="D46" s="36"/>
      <c r="E46" s="6"/>
      <c r="F46" s="6">
        <f t="shared" si="0"/>
        <v>0</v>
      </c>
      <c r="G46" s="3"/>
      <c r="H46" s="6"/>
      <c r="I46" s="6"/>
      <c r="J46" s="12">
        <f t="shared" si="1"/>
        <v>0</v>
      </c>
    </row>
    <row r="47" spans="1:10" x14ac:dyDescent="0.25">
      <c r="A47" s="5"/>
      <c r="B47" s="3"/>
      <c r="C47" s="3"/>
      <c r="D47" s="36"/>
      <c r="E47" s="6"/>
      <c r="F47" s="6">
        <f t="shared" si="0"/>
        <v>0</v>
      </c>
      <c r="G47" s="3"/>
      <c r="H47" s="6"/>
      <c r="I47" s="6"/>
      <c r="J47" s="12">
        <f t="shared" si="1"/>
        <v>0</v>
      </c>
    </row>
    <row r="48" spans="1:10" x14ac:dyDescent="0.25">
      <c r="A48" s="5"/>
      <c r="B48" s="3"/>
      <c r="C48" s="3"/>
      <c r="D48" s="36"/>
      <c r="E48" s="6"/>
      <c r="F48" s="6">
        <f t="shared" si="0"/>
        <v>0</v>
      </c>
      <c r="G48" s="3"/>
      <c r="H48" s="6"/>
      <c r="I48" s="6"/>
      <c r="J48" s="12">
        <f t="shared" si="1"/>
        <v>0</v>
      </c>
    </row>
    <row r="49" spans="1:10" x14ac:dyDescent="0.25">
      <c r="A49" s="5"/>
      <c r="B49" s="3"/>
      <c r="C49" s="3"/>
      <c r="D49" s="36"/>
      <c r="E49" s="6"/>
      <c r="F49" s="6">
        <f t="shared" si="0"/>
        <v>0</v>
      </c>
      <c r="G49" s="3"/>
      <c r="H49" s="6"/>
      <c r="I49" s="6"/>
      <c r="J49" s="12">
        <f t="shared" si="1"/>
        <v>0</v>
      </c>
    </row>
    <row r="50" spans="1:10" x14ac:dyDescent="0.25">
      <c r="A50" s="5"/>
      <c r="B50" s="3"/>
      <c r="C50" s="3"/>
      <c r="D50" s="36"/>
      <c r="E50" s="6"/>
      <c r="F50" s="6">
        <f t="shared" si="0"/>
        <v>0</v>
      </c>
      <c r="G50" s="3"/>
      <c r="H50" s="6"/>
      <c r="I50" s="6"/>
      <c r="J50" s="12">
        <f t="shared" si="1"/>
        <v>0</v>
      </c>
    </row>
    <row r="51" spans="1:10" x14ac:dyDescent="0.25">
      <c r="A51" s="5"/>
      <c r="B51" s="3"/>
      <c r="C51" s="3"/>
      <c r="D51" s="36"/>
      <c r="E51" s="6"/>
      <c r="F51" s="6">
        <f t="shared" si="0"/>
        <v>0</v>
      </c>
      <c r="G51" s="3"/>
      <c r="H51" s="6"/>
      <c r="I51" s="6"/>
      <c r="J51" s="12">
        <f t="shared" si="1"/>
        <v>0</v>
      </c>
    </row>
    <row r="52" spans="1:10" x14ac:dyDescent="0.25">
      <c r="A52" s="5"/>
      <c r="B52" s="3"/>
      <c r="C52" s="3"/>
      <c r="D52" s="36"/>
      <c r="E52" s="6"/>
      <c r="F52" s="6">
        <f t="shared" si="0"/>
        <v>0</v>
      </c>
      <c r="G52" s="3"/>
      <c r="H52" s="6"/>
      <c r="I52" s="6"/>
      <c r="J52" s="12">
        <f t="shared" si="1"/>
        <v>0</v>
      </c>
    </row>
    <row r="53" spans="1:10" x14ac:dyDescent="0.25">
      <c r="A53" s="3"/>
      <c r="B53" s="3"/>
      <c r="C53" s="3"/>
      <c r="D53" s="36"/>
      <c r="E53" s="6"/>
      <c r="F53" s="6">
        <f t="shared" si="0"/>
        <v>0</v>
      </c>
      <c r="G53" s="3"/>
      <c r="H53" s="6"/>
      <c r="I53" s="6"/>
      <c r="J53" s="12">
        <f t="shared" si="1"/>
        <v>0</v>
      </c>
    </row>
    <row r="54" spans="1:10" x14ac:dyDescent="0.25">
      <c r="A54" s="3"/>
      <c r="B54" s="3"/>
      <c r="C54" s="3"/>
      <c r="D54" s="36"/>
      <c r="E54" s="6"/>
      <c r="F54" s="6">
        <f t="shared" si="0"/>
        <v>0</v>
      </c>
      <c r="G54" s="3"/>
      <c r="H54" s="6"/>
      <c r="I54" s="6"/>
      <c r="J54" s="12">
        <f t="shared" si="1"/>
        <v>0</v>
      </c>
    </row>
    <row r="55" spans="1:10" x14ac:dyDescent="0.25">
      <c r="A55" s="3"/>
      <c r="B55" s="3"/>
      <c r="C55" s="3"/>
      <c r="D55" s="36"/>
      <c r="E55" s="6"/>
      <c r="F55" s="6">
        <f t="shared" si="0"/>
        <v>0</v>
      </c>
      <c r="G55" s="3"/>
      <c r="H55" s="6"/>
      <c r="I55" s="6"/>
      <c r="J55" s="12">
        <f t="shared" si="1"/>
        <v>0</v>
      </c>
    </row>
    <row r="56" spans="1:10" s="10" customFormat="1" x14ac:dyDescent="0.25">
      <c r="A56" s="8"/>
      <c r="B56" s="8"/>
      <c r="C56" s="8">
        <f>SUM(C3:C55)</f>
        <v>0</v>
      </c>
      <c r="D56" s="39"/>
      <c r="E56" s="8"/>
      <c r="F56" s="9"/>
      <c r="G56" s="8"/>
      <c r="H56" s="9"/>
      <c r="I56" s="9"/>
      <c r="J56" s="12"/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workbookViewId="0">
      <pane ySplit="1" topLeftCell="A2" activePane="bottomLeft" state="frozen"/>
      <selection pane="bottomLeft" activeCell="L13" sqref="L13"/>
    </sheetView>
  </sheetViews>
  <sheetFormatPr defaultColWidth="8.85546875" defaultRowHeight="15.75" x14ac:dyDescent="0.25"/>
  <cols>
    <col min="1" max="1" width="10.7109375" style="1" customWidth="1"/>
    <col min="2" max="2" width="15.7109375" style="1" customWidth="1"/>
    <col min="3" max="3" width="8.85546875" style="1"/>
    <col min="4" max="4" width="10.7109375" style="40" customWidth="1"/>
    <col min="5" max="5" width="9.85546875" style="1" customWidth="1"/>
    <col min="6" max="6" width="13.42578125" style="1" bestFit="1" customWidth="1"/>
    <col min="7" max="7" width="8.85546875" style="1"/>
    <col min="8" max="9" width="12.28515625" style="7" customWidth="1"/>
    <col min="10" max="10" width="13.5703125" style="13" bestFit="1" customWidth="1"/>
    <col min="11" max="16384" width="8.85546875" style="1"/>
  </cols>
  <sheetData>
    <row r="1" spans="1:11" s="2" customFormat="1" ht="31.5" x14ac:dyDescent="0.25">
      <c r="A1" s="4" t="s">
        <v>12</v>
      </c>
      <c r="B1" s="4" t="s">
        <v>0</v>
      </c>
      <c r="C1" s="4" t="s">
        <v>10</v>
      </c>
      <c r="D1" s="35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</row>
    <row r="2" spans="1:11" x14ac:dyDescent="0.25">
      <c r="A2" s="3"/>
      <c r="B2" s="3"/>
      <c r="C2" s="3"/>
      <c r="D2" s="36"/>
      <c r="E2" s="3"/>
      <c r="F2" s="3"/>
      <c r="G2" s="3"/>
      <c r="H2" s="6"/>
      <c r="I2" s="6"/>
      <c r="J2" s="12">
        <v>0</v>
      </c>
    </row>
    <row r="3" spans="1:11" x14ac:dyDescent="0.25">
      <c r="A3" s="5">
        <v>45601</v>
      </c>
      <c r="B3" s="3" t="s">
        <v>16</v>
      </c>
      <c r="C3" s="3"/>
      <c r="D3" s="36">
        <v>2000</v>
      </c>
      <c r="E3" s="6">
        <v>17</v>
      </c>
      <c r="F3" s="6">
        <f>C3*E3+D3*E3</f>
        <v>34000</v>
      </c>
      <c r="G3" s="3"/>
      <c r="H3" s="6"/>
      <c r="I3" s="6"/>
      <c r="J3" s="12">
        <f>J2-I3+F3</f>
        <v>34000</v>
      </c>
    </row>
    <row r="4" spans="1:11" x14ac:dyDescent="0.25">
      <c r="A4" s="3"/>
      <c r="B4" s="3"/>
      <c r="C4" s="3"/>
      <c r="D4" s="36"/>
      <c r="E4" s="6"/>
      <c r="F4" s="6">
        <f t="shared" ref="F4:F55" si="0">C4*E4+D4*E4</f>
        <v>0</v>
      </c>
      <c r="G4" s="5">
        <v>45603</v>
      </c>
      <c r="H4" s="6" t="s">
        <v>22</v>
      </c>
      <c r="I4" s="6">
        <v>34000</v>
      </c>
      <c r="J4" s="12">
        <f t="shared" ref="J4:J55" si="1">J3-I4+F4</f>
        <v>0</v>
      </c>
      <c r="K4" s="33"/>
    </row>
    <row r="5" spans="1:11" x14ac:dyDescent="0.25">
      <c r="A5" s="5">
        <v>45608</v>
      </c>
      <c r="B5" s="3" t="s">
        <v>16</v>
      </c>
      <c r="C5" s="3"/>
      <c r="D5" s="62">
        <v>2925</v>
      </c>
      <c r="E5" s="6">
        <v>17</v>
      </c>
      <c r="F5" s="6">
        <f t="shared" si="0"/>
        <v>49725</v>
      </c>
      <c r="G5" s="3"/>
      <c r="H5" s="6"/>
      <c r="I5" s="6"/>
      <c r="J5" s="12">
        <f t="shared" si="1"/>
        <v>49725</v>
      </c>
      <c r="K5" s="1" t="s">
        <v>27</v>
      </c>
    </row>
    <row r="6" spans="1:11" x14ac:dyDescent="0.25">
      <c r="A6" s="5"/>
      <c r="B6" s="3"/>
      <c r="C6" s="3"/>
      <c r="D6" s="36"/>
      <c r="E6" s="6"/>
      <c r="F6" s="6">
        <f t="shared" si="0"/>
        <v>0</v>
      </c>
      <c r="G6" s="5">
        <v>46019</v>
      </c>
      <c r="H6" s="6" t="s">
        <v>22</v>
      </c>
      <c r="I6" s="6">
        <v>48875</v>
      </c>
      <c r="J6" s="12">
        <f t="shared" si="1"/>
        <v>850</v>
      </c>
    </row>
    <row r="7" spans="1:11" x14ac:dyDescent="0.25">
      <c r="A7" s="5"/>
      <c r="B7" s="3"/>
      <c r="C7" s="3"/>
      <c r="D7" s="36"/>
      <c r="E7" s="6"/>
      <c r="F7" s="6">
        <f t="shared" si="0"/>
        <v>0</v>
      </c>
      <c r="G7" s="3"/>
      <c r="H7" s="6"/>
      <c r="I7" s="6"/>
      <c r="J7" s="12">
        <f t="shared" si="1"/>
        <v>850</v>
      </c>
    </row>
    <row r="8" spans="1:11" x14ac:dyDescent="0.25">
      <c r="A8" s="73"/>
      <c r="B8" s="3"/>
      <c r="C8" s="3"/>
      <c r="D8" s="36"/>
      <c r="E8" s="6"/>
      <c r="F8" s="6">
        <f t="shared" si="0"/>
        <v>0</v>
      </c>
      <c r="G8" s="3"/>
      <c r="H8" s="6"/>
      <c r="I8" s="6"/>
      <c r="J8" s="12">
        <f t="shared" si="1"/>
        <v>850</v>
      </c>
    </row>
    <row r="9" spans="1:11" x14ac:dyDescent="0.25">
      <c r="A9" s="5"/>
      <c r="B9" s="3"/>
      <c r="C9" s="3"/>
      <c r="D9" s="36"/>
      <c r="E9" s="6"/>
      <c r="F9" s="6">
        <f t="shared" si="0"/>
        <v>0</v>
      </c>
      <c r="G9" s="3"/>
      <c r="H9" s="6"/>
      <c r="I9" s="6"/>
      <c r="J9" s="12">
        <f t="shared" si="1"/>
        <v>850</v>
      </c>
    </row>
    <row r="10" spans="1:11" x14ac:dyDescent="0.25">
      <c r="A10" s="5"/>
      <c r="B10" s="3"/>
      <c r="C10" s="3"/>
      <c r="D10" s="36"/>
      <c r="E10" s="6"/>
      <c r="F10" s="6">
        <f t="shared" si="0"/>
        <v>0</v>
      </c>
      <c r="G10" s="3"/>
      <c r="H10" s="6"/>
      <c r="I10" s="6"/>
      <c r="J10" s="12">
        <f t="shared" si="1"/>
        <v>850</v>
      </c>
    </row>
    <row r="11" spans="1:11" x14ac:dyDescent="0.25">
      <c r="A11" s="5"/>
      <c r="B11" s="3"/>
      <c r="C11" s="3"/>
      <c r="D11" s="36"/>
      <c r="E11" s="6"/>
      <c r="F11" s="6">
        <f t="shared" si="0"/>
        <v>0</v>
      </c>
      <c r="G11" s="3"/>
      <c r="H11" s="6"/>
      <c r="I11" s="6"/>
      <c r="J11" s="12">
        <f t="shared" si="1"/>
        <v>850</v>
      </c>
    </row>
    <row r="12" spans="1:11" x14ac:dyDescent="0.25">
      <c r="A12" s="5"/>
      <c r="B12" s="3"/>
      <c r="C12" s="3"/>
      <c r="D12" s="36"/>
      <c r="E12" s="6"/>
      <c r="F12" s="6">
        <f t="shared" si="0"/>
        <v>0</v>
      </c>
      <c r="G12" s="3"/>
      <c r="H12" s="6"/>
      <c r="I12" s="6"/>
      <c r="J12" s="12">
        <f t="shared" si="1"/>
        <v>850</v>
      </c>
    </row>
    <row r="13" spans="1:11" x14ac:dyDescent="0.25">
      <c r="A13" s="5"/>
      <c r="B13" s="3"/>
      <c r="C13" s="3"/>
      <c r="D13" s="36"/>
      <c r="E13" s="6"/>
      <c r="F13" s="6">
        <f t="shared" si="0"/>
        <v>0</v>
      </c>
      <c r="G13" s="3"/>
      <c r="H13" s="6"/>
      <c r="I13" s="6"/>
      <c r="J13" s="12">
        <f t="shared" si="1"/>
        <v>850</v>
      </c>
    </row>
    <row r="14" spans="1:11" ht="16.5" thickBot="1" x14ac:dyDescent="0.3">
      <c r="A14" s="20"/>
      <c r="B14" s="21"/>
      <c r="C14" s="21"/>
      <c r="D14" s="37"/>
      <c r="E14" s="22"/>
      <c r="F14" s="22">
        <f t="shared" si="0"/>
        <v>0</v>
      </c>
      <c r="G14" s="21"/>
      <c r="H14" s="22"/>
      <c r="I14" s="22"/>
      <c r="J14" s="12">
        <f t="shared" si="1"/>
        <v>850</v>
      </c>
    </row>
    <row r="15" spans="1:11" x14ac:dyDescent="0.25">
      <c r="A15" s="16"/>
      <c r="B15" s="17"/>
      <c r="C15" s="17"/>
      <c r="D15" s="38"/>
      <c r="E15" s="18"/>
      <c r="F15" s="18">
        <f t="shared" si="0"/>
        <v>0</v>
      </c>
      <c r="G15" s="17"/>
      <c r="H15" s="18"/>
      <c r="I15" s="18"/>
      <c r="J15" s="12">
        <f t="shared" si="1"/>
        <v>850</v>
      </c>
    </row>
    <row r="16" spans="1:11" x14ac:dyDescent="0.25">
      <c r="A16" s="5"/>
      <c r="B16" s="3"/>
      <c r="C16" s="3"/>
      <c r="D16" s="36"/>
      <c r="E16" s="6"/>
      <c r="F16" s="6">
        <f t="shared" si="0"/>
        <v>0</v>
      </c>
      <c r="G16" s="3"/>
      <c r="H16" s="6"/>
      <c r="I16" s="6"/>
      <c r="J16" s="12">
        <f t="shared" si="1"/>
        <v>850</v>
      </c>
    </row>
    <row r="17" spans="1:10" x14ac:dyDescent="0.25">
      <c r="A17" s="5"/>
      <c r="B17" s="3"/>
      <c r="C17" s="3"/>
      <c r="D17" s="36"/>
      <c r="E17" s="6"/>
      <c r="F17" s="6">
        <f t="shared" si="0"/>
        <v>0</v>
      </c>
      <c r="G17" s="3"/>
      <c r="H17" s="6"/>
      <c r="I17" s="6"/>
      <c r="J17" s="12">
        <f t="shared" si="1"/>
        <v>850</v>
      </c>
    </row>
    <row r="18" spans="1:10" x14ac:dyDescent="0.25">
      <c r="A18" s="5"/>
      <c r="B18" s="3"/>
      <c r="C18" s="3"/>
      <c r="D18" s="36"/>
      <c r="E18" s="6"/>
      <c r="F18" s="6">
        <f t="shared" si="0"/>
        <v>0</v>
      </c>
      <c r="G18" s="5"/>
      <c r="H18" s="6"/>
      <c r="I18" s="6"/>
      <c r="J18" s="12">
        <f t="shared" si="1"/>
        <v>850</v>
      </c>
    </row>
    <row r="19" spans="1:10" x14ac:dyDescent="0.25">
      <c r="A19" s="3"/>
      <c r="B19" s="3"/>
      <c r="C19" s="3"/>
      <c r="D19" s="36"/>
      <c r="E19" s="6"/>
      <c r="F19" s="6">
        <f t="shared" si="0"/>
        <v>0</v>
      </c>
      <c r="G19" s="5"/>
      <c r="H19" s="6"/>
      <c r="I19" s="6"/>
      <c r="J19" s="12">
        <f t="shared" si="1"/>
        <v>850</v>
      </c>
    </row>
    <row r="20" spans="1:10" x14ac:dyDescent="0.25">
      <c r="A20" s="5"/>
      <c r="B20" s="3"/>
      <c r="C20" s="3"/>
      <c r="D20" s="36"/>
      <c r="E20" s="6"/>
      <c r="F20" s="6">
        <f t="shared" si="0"/>
        <v>0</v>
      </c>
      <c r="G20" s="3"/>
      <c r="H20" s="6"/>
      <c r="I20" s="6"/>
      <c r="J20" s="12">
        <f t="shared" si="1"/>
        <v>850</v>
      </c>
    </row>
    <row r="21" spans="1:10" x14ac:dyDescent="0.25">
      <c r="A21" s="5"/>
      <c r="B21" s="3"/>
      <c r="C21" s="3"/>
      <c r="D21" s="36"/>
      <c r="E21" s="6"/>
      <c r="F21" s="6">
        <f t="shared" si="0"/>
        <v>0</v>
      </c>
      <c r="G21" s="3"/>
      <c r="H21" s="6"/>
      <c r="I21" s="6"/>
      <c r="J21" s="12">
        <f t="shared" si="1"/>
        <v>850</v>
      </c>
    </row>
    <row r="22" spans="1:10" x14ac:dyDescent="0.25">
      <c r="A22" s="5"/>
      <c r="B22" s="3"/>
      <c r="C22" s="3"/>
      <c r="D22" s="36"/>
      <c r="E22" s="6"/>
      <c r="F22" s="6">
        <f t="shared" si="0"/>
        <v>0</v>
      </c>
      <c r="G22" s="3"/>
      <c r="H22" s="6"/>
      <c r="I22" s="6"/>
      <c r="J22" s="12">
        <f t="shared" si="1"/>
        <v>850</v>
      </c>
    </row>
    <row r="23" spans="1:10" x14ac:dyDescent="0.25">
      <c r="A23" s="5"/>
      <c r="B23" s="3"/>
      <c r="C23" s="3"/>
      <c r="D23" s="36"/>
      <c r="E23" s="6"/>
      <c r="F23" s="6">
        <f t="shared" si="0"/>
        <v>0</v>
      </c>
      <c r="G23" s="3"/>
      <c r="H23" s="6"/>
      <c r="I23" s="6"/>
      <c r="J23" s="12">
        <f t="shared" si="1"/>
        <v>850</v>
      </c>
    </row>
    <row r="24" spans="1:10" x14ac:dyDescent="0.25">
      <c r="A24" s="5"/>
      <c r="B24" s="3"/>
      <c r="C24" s="3"/>
      <c r="D24" s="36"/>
      <c r="E24" s="6"/>
      <c r="F24" s="6">
        <f t="shared" si="0"/>
        <v>0</v>
      </c>
      <c r="G24" s="3"/>
      <c r="H24" s="6"/>
      <c r="I24" s="6"/>
      <c r="J24" s="12">
        <f t="shared" si="1"/>
        <v>850</v>
      </c>
    </row>
    <row r="25" spans="1:10" x14ac:dyDescent="0.25">
      <c r="A25" s="5"/>
      <c r="B25" s="3"/>
      <c r="C25" s="3"/>
      <c r="D25" s="36"/>
      <c r="E25" s="6"/>
      <c r="F25" s="6">
        <f t="shared" si="0"/>
        <v>0</v>
      </c>
      <c r="G25" s="3"/>
      <c r="H25" s="6"/>
      <c r="I25" s="6"/>
      <c r="J25" s="12">
        <f t="shared" si="1"/>
        <v>850</v>
      </c>
    </row>
    <row r="26" spans="1:10" x14ac:dyDescent="0.25">
      <c r="A26" s="5"/>
      <c r="B26" s="3"/>
      <c r="C26" s="3"/>
      <c r="D26" s="36"/>
      <c r="E26" s="6"/>
      <c r="F26" s="6">
        <f t="shared" si="0"/>
        <v>0</v>
      </c>
      <c r="G26" s="3"/>
      <c r="H26" s="6"/>
      <c r="I26" s="6"/>
      <c r="J26" s="12">
        <f t="shared" si="1"/>
        <v>850</v>
      </c>
    </row>
    <row r="27" spans="1:10" x14ac:dyDescent="0.25">
      <c r="A27" s="5"/>
      <c r="B27" s="3"/>
      <c r="C27" s="3"/>
      <c r="D27" s="36"/>
      <c r="E27" s="6"/>
      <c r="F27" s="6">
        <f t="shared" si="0"/>
        <v>0</v>
      </c>
      <c r="G27" s="3"/>
      <c r="H27" s="6"/>
      <c r="I27" s="6"/>
      <c r="J27" s="12">
        <f t="shared" si="1"/>
        <v>850</v>
      </c>
    </row>
    <row r="28" spans="1:10" x14ac:dyDescent="0.25">
      <c r="A28" s="5"/>
      <c r="B28" s="3"/>
      <c r="C28" s="3"/>
      <c r="D28" s="36"/>
      <c r="E28" s="6"/>
      <c r="F28" s="6">
        <f t="shared" si="0"/>
        <v>0</v>
      </c>
      <c r="G28" s="3"/>
      <c r="H28" s="6"/>
      <c r="I28" s="6"/>
      <c r="J28" s="12">
        <f t="shared" si="1"/>
        <v>850</v>
      </c>
    </row>
    <row r="29" spans="1:10" x14ac:dyDescent="0.25">
      <c r="A29" s="5"/>
      <c r="B29" s="3"/>
      <c r="C29" s="3"/>
      <c r="D29" s="36"/>
      <c r="E29" s="6"/>
      <c r="F29" s="6">
        <f t="shared" si="0"/>
        <v>0</v>
      </c>
      <c r="G29" s="3"/>
      <c r="H29" s="6"/>
      <c r="I29" s="6"/>
      <c r="J29" s="12">
        <f t="shared" si="1"/>
        <v>850</v>
      </c>
    </row>
    <row r="30" spans="1:10" x14ac:dyDescent="0.25">
      <c r="A30" s="5"/>
      <c r="B30" s="3"/>
      <c r="C30" s="3"/>
      <c r="D30" s="36"/>
      <c r="E30" s="6"/>
      <c r="F30" s="6">
        <f t="shared" si="0"/>
        <v>0</v>
      </c>
      <c r="G30" s="5"/>
      <c r="H30" s="6"/>
      <c r="I30" s="6"/>
      <c r="J30" s="12">
        <f t="shared" si="1"/>
        <v>850</v>
      </c>
    </row>
    <row r="31" spans="1:10" x14ac:dyDescent="0.25">
      <c r="A31" s="5"/>
      <c r="B31" s="3"/>
      <c r="C31" s="3"/>
      <c r="D31" s="36"/>
      <c r="E31" s="6"/>
      <c r="F31" s="6">
        <f t="shared" si="0"/>
        <v>0</v>
      </c>
      <c r="G31" s="3"/>
      <c r="H31" s="6"/>
      <c r="I31" s="6"/>
      <c r="J31" s="12">
        <f t="shared" si="1"/>
        <v>850</v>
      </c>
    </row>
    <row r="32" spans="1:10" x14ac:dyDescent="0.25">
      <c r="A32" s="5"/>
      <c r="B32" s="3"/>
      <c r="C32" s="3"/>
      <c r="D32" s="36"/>
      <c r="E32" s="6"/>
      <c r="F32" s="6">
        <f t="shared" si="0"/>
        <v>0</v>
      </c>
      <c r="G32" s="3"/>
      <c r="H32" s="6"/>
      <c r="I32" s="6"/>
      <c r="J32" s="12">
        <f t="shared" si="1"/>
        <v>850</v>
      </c>
    </row>
    <row r="33" spans="1:10" x14ac:dyDescent="0.25">
      <c r="A33" s="5"/>
      <c r="B33" s="3"/>
      <c r="C33" s="3"/>
      <c r="D33" s="36"/>
      <c r="E33" s="6"/>
      <c r="F33" s="6">
        <f t="shared" si="0"/>
        <v>0</v>
      </c>
      <c r="G33" s="3"/>
      <c r="H33" s="6"/>
      <c r="I33" s="6"/>
      <c r="J33" s="12">
        <f t="shared" si="1"/>
        <v>850</v>
      </c>
    </row>
    <row r="34" spans="1:10" x14ac:dyDescent="0.25">
      <c r="A34" s="5"/>
      <c r="B34" s="3"/>
      <c r="C34" s="3"/>
      <c r="D34" s="36"/>
      <c r="E34" s="6"/>
      <c r="F34" s="6">
        <f t="shared" si="0"/>
        <v>0</v>
      </c>
      <c r="G34" s="3"/>
      <c r="H34" s="6"/>
      <c r="I34" s="6"/>
      <c r="J34" s="12">
        <f t="shared" si="1"/>
        <v>850</v>
      </c>
    </row>
    <row r="35" spans="1:10" x14ac:dyDescent="0.25">
      <c r="A35" s="5"/>
      <c r="B35" s="3"/>
      <c r="C35" s="3"/>
      <c r="D35" s="36"/>
      <c r="E35" s="6"/>
      <c r="F35" s="6">
        <f t="shared" si="0"/>
        <v>0</v>
      </c>
      <c r="G35" s="3"/>
      <c r="H35" s="6"/>
      <c r="I35" s="6"/>
      <c r="J35" s="12">
        <f t="shared" si="1"/>
        <v>850</v>
      </c>
    </row>
    <row r="36" spans="1:10" x14ac:dyDescent="0.25">
      <c r="A36" s="5"/>
      <c r="B36" s="3"/>
      <c r="C36" s="3"/>
      <c r="D36" s="36"/>
      <c r="E36" s="6"/>
      <c r="F36" s="6">
        <f t="shared" si="0"/>
        <v>0</v>
      </c>
      <c r="G36" s="3"/>
      <c r="H36" s="6"/>
      <c r="I36" s="6"/>
      <c r="J36" s="12">
        <f t="shared" si="1"/>
        <v>850</v>
      </c>
    </row>
    <row r="37" spans="1:10" x14ac:dyDescent="0.25">
      <c r="A37" s="5"/>
      <c r="B37" s="3"/>
      <c r="C37" s="3"/>
      <c r="D37" s="36"/>
      <c r="E37" s="6"/>
      <c r="F37" s="6">
        <f t="shared" si="0"/>
        <v>0</v>
      </c>
      <c r="G37" s="3"/>
      <c r="H37" s="6"/>
      <c r="I37" s="6"/>
      <c r="J37" s="12">
        <f t="shared" si="1"/>
        <v>850</v>
      </c>
    </row>
    <row r="38" spans="1:10" x14ac:dyDescent="0.25">
      <c r="A38" s="5"/>
      <c r="B38" s="3"/>
      <c r="C38" s="3"/>
      <c r="D38" s="36"/>
      <c r="E38" s="6"/>
      <c r="F38" s="6">
        <f t="shared" si="0"/>
        <v>0</v>
      </c>
      <c r="G38" s="3"/>
      <c r="H38" s="6"/>
      <c r="I38" s="6"/>
      <c r="J38" s="12">
        <f t="shared" si="1"/>
        <v>850</v>
      </c>
    </row>
    <row r="39" spans="1:10" x14ac:dyDescent="0.25">
      <c r="A39" s="5"/>
      <c r="B39" s="3"/>
      <c r="C39" s="3"/>
      <c r="D39" s="36"/>
      <c r="E39" s="6"/>
      <c r="F39" s="6">
        <f t="shared" si="0"/>
        <v>0</v>
      </c>
      <c r="G39" s="3"/>
      <c r="H39" s="6"/>
      <c r="I39" s="6"/>
      <c r="J39" s="12">
        <f t="shared" si="1"/>
        <v>850</v>
      </c>
    </row>
    <row r="40" spans="1:10" x14ac:dyDescent="0.25">
      <c r="A40" s="5"/>
      <c r="B40" s="3"/>
      <c r="C40" s="3"/>
      <c r="D40" s="36"/>
      <c r="E40" s="6"/>
      <c r="F40" s="6">
        <f t="shared" si="0"/>
        <v>0</v>
      </c>
      <c r="G40" s="3"/>
      <c r="H40" s="6"/>
      <c r="I40" s="6"/>
      <c r="J40" s="12">
        <f t="shared" si="1"/>
        <v>850</v>
      </c>
    </row>
    <row r="41" spans="1:10" ht="16.5" thickBot="1" x14ac:dyDescent="0.3">
      <c r="A41" s="20"/>
      <c r="B41" s="21"/>
      <c r="C41" s="21"/>
      <c r="D41" s="37"/>
      <c r="E41" s="22"/>
      <c r="F41" s="22">
        <f t="shared" si="0"/>
        <v>0</v>
      </c>
      <c r="G41" s="21"/>
      <c r="H41" s="22"/>
      <c r="I41" s="22"/>
      <c r="J41" s="12">
        <f t="shared" si="1"/>
        <v>850</v>
      </c>
    </row>
    <row r="42" spans="1:10" x14ac:dyDescent="0.25">
      <c r="A42" s="34"/>
      <c r="B42" s="17"/>
      <c r="C42" s="17"/>
      <c r="D42" s="38"/>
      <c r="E42" s="18"/>
      <c r="F42" s="18">
        <f t="shared" si="0"/>
        <v>0</v>
      </c>
      <c r="G42" s="17"/>
      <c r="H42" s="18"/>
      <c r="I42" s="18"/>
      <c r="J42" s="12">
        <f t="shared" si="1"/>
        <v>850</v>
      </c>
    </row>
    <row r="43" spans="1:10" x14ac:dyDescent="0.25">
      <c r="A43" s="5"/>
      <c r="B43" s="3"/>
      <c r="C43" s="3"/>
      <c r="D43" s="36"/>
      <c r="E43" s="6"/>
      <c r="F43" s="6">
        <f t="shared" si="0"/>
        <v>0</v>
      </c>
      <c r="G43" s="5"/>
      <c r="H43" s="6"/>
      <c r="I43" s="6"/>
      <c r="J43" s="12">
        <f t="shared" si="1"/>
        <v>850</v>
      </c>
    </row>
    <row r="44" spans="1:10" x14ac:dyDescent="0.25">
      <c r="A44" s="5"/>
      <c r="B44" s="3"/>
      <c r="C44" s="3"/>
      <c r="D44" s="36"/>
      <c r="E44" s="6"/>
      <c r="F44" s="6">
        <f t="shared" si="0"/>
        <v>0</v>
      </c>
      <c r="G44" s="5"/>
      <c r="H44" s="6"/>
      <c r="I44" s="6"/>
      <c r="J44" s="12">
        <f t="shared" si="1"/>
        <v>850</v>
      </c>
    </row>
    <row r="45" spans="1:10" x14ac:dyDescent="0.25">
      <c r="A45" s="5"/>
      <c r="B45" s="3"/>
      <c r="C45" s="3"/>
      <c r="D45" s="36"/>
      <c r="E45" s="6"/>
      <c r="F45" s="6">
        <f t="shared" si="0"/>
        <v>0</v>
      </c>
      <c r="G45" s="3"/>
      <c r="H45" s="6"/>
      <c r="I45" s="6"/>
      <c r="J45" s="12">
        <f t="shared" si="1"/>
        <v>850</v>
      </c>
    </row>
    <row r="46" spans="1:10" x14ac:dyDescent="0.25">
      <c r="A46" s="5"/>
      <c r="B46" s="3"/>
      <c r="C46" s="3"/>
      <c r="D46" s="36"/>
      <c r="E46" s="6"/>
      <c r="F46" s="6">
        <f t="shared" si="0"/>
        <v>0</v>
      </c>
      <c r="G46" s="3"/>
      <c r="H46" s="6"/>
      <c r="I46" s="6"/>
      <c r="J46" s="12">
        <f t="shared" si="1"/>
        <v>850</v>
      </c>
    </row>
    <row r="47" spans="1:10" x14ac:dyDescent="0.25">
      <c r="A47" s="5"/>
      <c r="B47" s="3"/>
      <c r="C47" s="3"/>
      <c r="D47" s="36"/>
      <c r="E47" s="6"/>
      <c r="F47" s="6">
        <f t="shared" si="0"/>
        <v>0</v>
      </c>
      <c r="G47" s="3"/>
      <c r="H47" s="6"/>
      <c r="I47" s="6"/>
      <c r="J47" s="12">
        <f t="shared" si="1"/>
        <v>850</v>
      </c>
    </row>
    <row r="48" spans="1:10" x14ac:dyDescent="0.25">
      <c r="A48" s="5"/>
      <c r="B48" s="3"/>
      <c r="C48" s="3"/>
      <c r="D48" s="36"/>
      <c r="E48" s="6"/>
      <c r="F48" s="6">
        <f t="shared" si="0"/>
        <v>0</v>
      </c>
      <c r="G48" s="3"/>
      <c r="H48" s="6"/>
      <c r="I48" s="6"/>
      <c r="J48" s="12">
        <f t="shared" si="1"/>
        <v>850</v>
      </c>
    </row>
    <row r="49" spans="1:10" x14ac:dyDescent="0.25">
      <c r="A49" s="5"/>
      <c r="B49" s="3"/>
      <c r="C49" s="3"/>
      <c r="D49" s="36"/>
      <c r="E49" s="6"/>
      <c r="F49" s="6">
        <f t="shared" si="0"/>
        <v>0</v>
      </c>
      <c r="G49" s="3"/>
      <c r="H49" s="6"/>
      <c r="I49" s="6"/>
      <c r="J49" s="12">
        <f t="shared" si="1"/>
        <v>850</v>
      </c>
    </row>
    <row r="50" spans="1:10" x14ac:dyDescent="0.25">
      <c r="A50" s="5"/>
      <c r="B50" s="3"/>
      <c r="C50" s="3"/>
      <c r="D50" s="36"/>
      <c r="E50" s="6"/>
      <c r="F50" s="6">
        <f t="shared" si="0"/>
        <v>0</v>
      </c>
      <c r="G50" s="3"/>
      <c r="H50" s="6"/>
      <c r="I50" s="6"/>
      <c r="J50" s="12">
        <f t="shared" si="1"/>
        <v>850</v>
      </c>
    </row>
    <row r="51" spans="1:10" x14ac:dyDescent="0.25">
      <c r="A51" s="5"/>
      <c r="B51" s="3"/>
      <c r="C51" s="3"/>
      <c r="D51" s="36"/>
      <c r="E51" s="6"/>
      <c r="F51" s="6">
        <f t="shared" si="0"/>
        <v>0</v>
      </c>
      <c r="G51" s="3"/>
      <c r="H51" s="6"/>
      <c r="I51" s="6"/>
      <c r="J51" s="12">
        <f t="shared" si="1"/>
        <v>850</v>
      </c>
    </row>
    <row r="52" spans="1:10" x14ac:dyDescent="0.25">
      <c r="A52" s="5"/>
      <c r="B52" s="3"/>
      <c r="C52" s="3"/>
      <c r="D52" s="36"/>
      <c r="E52" s="6"/>
      <c r="F52" s="6">
        <f t="shared" si="0"/>
        <v>0</v>
      </c>
      <c r="G52" s="3"/>
      <c r="H52" s="6"/>
      <c r="I52" s="6"/>
      <c r="J52" s="12">
        <f t="shared" si="1"/>
        <v>850</v>
      </c>
    </row>
    <row r="53" spans="1:10" x14ac:dyDescent="0.25">
      <c r="A53" s="3"/>
      <c r="B53" s="3"/>
      <c r="C53" s="3"/>
      <c r="D53" s="36"/>
      <c r="E53" s="6"/>
      <c r="F53" s="6">
        <f t="shared" si="0"/>
        <v>0</v>
      </c>
      <c r="G53" s="3"/>
      <c r="H53" s="6"/>
      <c r="I53" s="6"/>
      <c r="J53" s="12">
        <f t="shared" si="1"/>
        <v>850</v>
      </c>
    </row>
    <row r="54" spans="1:10" x14ac:dyDescent="0.25">
      <c r="A54" s="3"/>
      <c r="B54" s="3"/>
      <c r="C54" s="3"/>
      <c r="D54" s="36"/>
      <c r="E54" s="6"/>
      <c r="F54" s="6">
        <f t="shared" si="0"/>
        <v>0</v>
      </c>
      <c r="G54" s="3"/>
      <c r="H54" s="6"/>
      <c r="I54" s="6"/>
      <c r="J54" s="12">
        <f t="shared" si="1"/>
        <v>850</v>
      </c>
    </row>
    <row r="55" spans="1:10" x14ac:dyDescent="0.25">
      <c r="A55" s="3"/>
      <c r="B55" s="3"/>
      <c r="C55" s="3"/>
      <c r="D55" s="36"/>
      <c r="E55" s="6"/>
      <c r="F55" s="6">
        <f t="shared" si="0"/>
        <v>0</v>
      </c>
      <c r="G55" s="3"/>
      <c r="H55" s="6"/>
      <c r="I55" s="6"/>
      <c r="J55" s="12">
        <f t="shared" si="1"/>
        <v>850</v>
      </c>
    </row>
    <row r="56" spans="1:10" s="10" customFormat="1" x14ac:dyDescent="0.25">
      <c r="A56" s="8"/>
      <c r="B56" s="8"/>
      <c r="C56" s="8">
        <f>SUM(C3:C55)</f>
        <v>0</v>
      </c>
      <c r="D56" s="39"/>
      <c r="E56" s="8"/>
      <c r="F56" s="9"/>
      <c r="G56" s="8"/>
      <c r="H56" s="9"/>
      <c r="I56" s="9"/>
      <c r="J56" s="12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4"/>
  <sheetViews>
    <sheetView tabSelected="1" workbookViewId="0">
      <pane ySplit="1" topLeftCell="A213" activePane="bottomLeft" state="frozen"/>
      <selection pane="bottomLeft" activeCell="K235" sqref="K235"/>
    </sheetView>
  </sheetViews>
  <sheetFormatPr defaultColWidth="8.85546875" defaultRowHeight="15.75" x14ac:dyDescent="0.25"/>
  <cols>
    <col min="1" max="1" width="10" style="98" customWidth="1"/>
    <col min="2" max="2" width="16.140625" style="1" customWidth="1"/>
    <col min="3" max="3" width="15.5703125" style="1" customWidth="1"/>
    <col min="4" max="4" width="15.85546875" style="47" customWidth="1"/>
    <col min="5" max="5" width="17.28515625" style="1" customWidth="1"/>
    <col min="6" max="6" width="17" style="41" customWidth="1"/>
    <col min="7" max="16384" width="8.85546875" style="41"/>
  </cols>
  <sheetData>
    <row r="1" spans="1:5" s="51" customFormat="1" ht="39" x14ac:dyDescent="0.25">
      <c r="A1" s="48" t="s">
        <v>17</v>
      </c>
      <c r="B1" s="48" t="s">
        <v>18</v>
      </c>
      <c r="C1" s="49" t="s">
        <v>9</v>
      </c>
      <c r="D1" s="50" t="s">
        <v>20</v>
      </c>
      <c r="E1" s="48" t="s">
        <v>7</v>
      </c>
    </row>
    <row r="2" spans="1:5" x14ac:dyDescent="0.25">
      <c r="A2" s="84"/>
      <c r="B2" s="14"/>
      <c r="C2" s="15"/>
      <c r="D2" s="42"/>
      <c r="E2" s="31">
        <v>0</v>
      </c>
    </row>
    <row r="3" spans="1:5" x14ac:dyDescent="0.25">
      <c r="A3" s="85">
        <v>45551</v>
      </c>
      <c r="B3" s="6">
        <v>8000</v>
      </c>
      <c r="C3" s="6"/>
      <c r="D3" s="43"/>
      <c r="E3" s="6">
        <f t="shared" ref="E3:E34" si="0">E2+B3-C3</f>
        <v>8000</v>
      </c>
    </row>
    <row r="4" spans="1:5" x14ac:dyDescent="0.25">
      <c r="A4" s="86"/>
      <c r="B4" s="6"/>
      <c r="C4" s="6"/>
      <c r="D4" s="43"/>
      <c r="E4" s="6">
        <f t="shared" si="0"/>
        <v>8000</v>
      </c>
    </row>
    <row r="5" spans="1:5" x14ac:dyDescent="0.25">
      <c r="A5" s="85">
        <v>45552</v>
      </c>
      <c r="B5" s="6">
        <v>8000</v>
      </c>
      <c r="C5" s="6"/>
      <c r="D5" s="43"/>
      <c r="E5" s="6">
        <f t="shared" si="0"/>
        <v>16000</v>
      </c>
    </row>
    <row r="6" spans="1:5" x14ac:dyDescent="0.25">
      <c r="A6" s="85">
        <v>45553</v>
      </c>
      <c r="B6" s="6">
        <v>8000</v>
      </c>
      <c r="C6" s="6"/>
      <c r="D6" s="43"/>
      <c r="E6" s="6">
        <f t="shared" si="0"/>
        <v>24000</v>
      </c>
    </row>
    <row r="7" spans="1:5" x14ac:dyDescent="0.25">
      <c r="A7" s="85">
        <v>45554</v>
      </c>
      <c r="B7" s="6">
        <v>8000</v>
      </c>
      <c r="C7" s="6"/>
      <c r="D7" s="43"/>
      <c r="E7" s="6">
        <f t="shared" si="0"/>
        <v>32000</v>
      </c>
    </row>
    <row r="8" spans="1:5" x14ac:dyDescent="0.25">
      <c r="A8" s="85">
        <v>45555</v>
      </c>
      <c r="B8" s="6">
        <v>8000</v>
      </c>
      <c r="C8" s="6"/>
      <c r="D8" s="43"/>
      <c r="E8" s="6">
        <f t="shared" si="0"/>
        <v>40000</v>
      </c>
    </row>
    <row r="9" spans="1:5" x14ac:dyDescent="0.25">
      <c r="A9" s="85">
        <v>45558</v>
      </c>
      <c r="B9" s="6">
        <v>8000</v>
      </c>
      <c r="C9" s="6"/>
      <c r="D9" s="43"/>
      <c r="E9" s="6">
        <f t="shared" si="0"/>
        <v>48000</v>
      </c>
    </row>
    <row r="10" spans="1:5" x14ac:dyDescent="0.25">
      <c r="A10" s="85">
        <v>45559</v>
      </c>
      <c r="B10" s="6">
        <v>8000</v>
      </c>
      <c r="C10" s="6"/>
      <c r="D10" s="43"/>
      <c r="E10" s="6">
        <f t="shared" si="0"/>
        <v>56000</v>
      </c>
    </row>
    <row r="11" spans="1:5" x14ac:dyDescent="0.25">
      <c r="A11" s="85">
        <v>45560</v>
      </c>
      <c r="B11" s="6">
        <v>8000</v>
      </c>
      <c r="C11" s="6"/>
      <c r="D11" s="43"/>
      <c r="E11" s="6">
        <f t="shared" si="0"/>
        <v>64000</v>
      </c>
    </row>
    <row r="12" spans="1:5" x14ac:dyDescent="0.25">
      <c r="A12" s="85">
        <v>45561</v>
      </c>
      <c r="B12" s="6">
        <v>8000</v>
      </c>
      <c r="C12" s="6"/>
      <c r="D12" s="43"/>
      <c r="E12" s="6">
        <f t="shared" si="0"/>
        <v>72000</v>
      </c>
    </row>
    <row r="13" spans="1:5" x14ac:dyDescent="0.25">
      <c r="A13" s="85">
        <v>45562</v>
      </c>
      <c r="B13" s="6">
        <v>8000</v>
      </c>
      <c r="C13" s="6"/>
      <c r="D13" s="43"/>
      <c r="E13" s="6">
        <f t="shared" si="0"/>
        <v>80000</v>
      </c>
    </row>
    <row r="14" spans="1:5" ht="16.5" thickBot="1" x14ac:dyDescent="0.3">
      <c r="A14" s="87">
        <v>45565</v>
      </c>
      <c r="B14" s="22">
        <v>8000</v>
      </c>
      <c r="C14" s="22"/>
      <c r="D14" s="44"/>
      <c r="E14" s="22">
        <f t="shared" si="0"/>
        <v>88000</v>
      </c>
    </row>
    <row r="15" spans="1:5" x14ac:dyDescent="0.25">
      <c r="A15" s="88">
        <v>45566</v>
      </c>
      <c r="B15" s="25">
        <v>8000</v>
      </c>
      <c r="C15" s="18"/>
      <c r="D15" s="45"/>
      <c r="E15" s="18">
        <f t="shared" si="0"/>
        <v>96000</v>
      </c>
    </row>
    <row r="16" spans="1:5" x14ac:dyDescent="0.25">
      <c r="A16" s="85">
        <v>45567</v>
      </c>
      <c r="B16" s="26">
        <v>8000</v>
      </c>
      <c r="C16" s="6"/>
      <c r="D16" s="43"/>
      <c r="E16" s="6">
        <f t="shared" si="0"/>
        <v>104000</v>
      </c>
    </row>
    <row r="17" spans="1:6" x14ac:dyDescent="0.25">
      <c r="A17" s="85">
        <v>45568</v>
      </c>
      <c r="B17" s="26">
        <v>8000</v>
      </c>
      <c r="C17" s="6"/>
      <c r="D17" s="43"/>
      <c r="E17" s="6">
        <f t="shared" si="0"/>
        <v>112000</v>
      </c>
    </row>
    <row r="18" spans="1:6" x14ac:dyDescent="0.25">
      <c r="A18" s="85">
        <v>45569</v>
      </c>
      <c r="B18" s="27">
        <v>10000</v>
      </c>
      <c r="C18" s="6">
        <v>88000</v>
      </c>
      <c r="D18" s="43" t="s">
        <v>19</v>
      </c>
      <c r="E18" s="6">
        <f t="shared" si="0"/>
        <v>34000</v>
      </c>
      <c r="F18" s="28">
        <v>8000</v>
      </c>
    </row>
    <row r="19" spans="1:6" x14ac:dyDescent="0.25">
      <c r="A19" s="86"/>
      <c r="B19" s="27">
        <v>10000</v>
      </c>
      <c r="C19" s="6"/>
      <c r="D19" s="43"/>
      <c r="E19" s="6">
        <f t="shared" si="0"/>
        <v>44000</v>
      </c>
      <c r="F19" s="28">
        <v>8000</v>
      </c>
    </row>
    <row r="20" spans="1:6" x14ac:dyDescent="0.25">
      <c r="A20" s="85">
        <v>45573</v>
      </c>
      <c r="B20" s="27">
        <v>9000</v>
      </c>
      <c r="C20" s="6"/>
      <c r="D20" s="43"/>
      <c r="E20" s="6">
        <f t="shared" si="0"/>
        <v>53000</v>
      </c>
      <c r="F20" s="28">
        <v>10000</v>
      </c>
    </row>
    <row r="21" spans="1:6" x14ac:dyDescent="0.25">
      <c r="A21" s="85">
        <v>45574</v>
      </c>
      <c r="B21" s="6">
        <v>10000</v>
      </c>
      <c r="C21" s="6"/>
      <c r="D21" s="43"/>
      <c r="E21" s="6">
        <f t="shared" si="0"/>
        <v>63000</v>
      </c>
    </row>
    <row r="22" spans="1:6" x14ac:dyDescent="0.25">
      <c r="A22" s="85">
        <v>45575</v>
      </c>
      <c r="B22" s="6">
        <v>10000</v>
      </c>
      <c r="C22" s="6"/>
      <c r="D22" s="43"/>
      <c r="E22" s="6">
        <f t="shared" si="0"/>
        <v>73000</v>
      </c>
    </row>
    <row r="23" spans="1:6" x14ac:dyDescent="0.25">
      <c r="A23" s="85">
        <v>45576</v>
      </c>
      <c r="B23" s="6">
        <v>10000</v>
      </c>
      <c r="C23" s="6"/>
      <c r="D23" s="43"/>
      <c r="E23" s="6">
        <f t="shared" si="0"/>
        <v>83000</v>
      </c>
    </row>
    <row r="24" spans="1:6" x14ac:dyDescent="0.25">
      <c r="A24" s="85">
        <v>45579</v>
      </c>
      <c r="B24" s="6">
        <v>4000</v>
      </c>
      <c r="C24" s="6"/>
      <c r="D24" s="43"/>
      <c r="E24" s="6">
        <f t="shared" si="0"/>
        <v>87000</v>
      </c>
    </row>
    <row r="25" spans="1:6" x14ac:dyDescent="0.25">
      <c r="A25" s="85">
        <v>45580</v>
      </c>
      <c r="B25" s="6">
        <v>8000</v>
      </c>
      <c r="C25" s="6"/>
      <c r="D25" s="43"/>
      <c r="E25" s="6">
        <f t="shared" si="0"/>
        <v>95000</v>
      </c>
    </row>
    <row r="26" spans="1:6" x14ac:dyDescent="0.25">
      <c r="A26" s="85">
        <v>45581</v>
      </c>
      <c r="B26" s="6">
        <v>12500</v>
      </c>
      <c r="C26" s="6"/>
      <c r="D26" s="43"/>
      <c r="E26" s="6">
        <f t="shared" si="0"/>
        <v>107500</v>
      </c>
    </row>
    <row r="27" spans="1:6" x14ac:dyDescent="0.25">
      <c r="A27" s="85"/>
      <c r="B27" s="6">
        <v>2000</v>
      </c>
      <c r="C27" s="6"/>
      <c r="D27" s="43"/>
      <c r="E27" s="6">
        <f t="shared" si="0"/>
        <v>109500</v>
      </c>
    </row>
    <row r="28" spans="1:6" x14ac:dyDescent="0.25">
      <c r="A28" s="85">
        <v>45582</v>
      </c>
      <c r="B28" s="6">
        <v>12500</v>
      </c>
      <c r="C28" s="6"/>
      <c r="D28" s="43"/>
      <c r="E28" s="6">
        <f t="shared" si="0"/>
        <v>122000</v>
      </c>
    </row>
    <row r="29" spans="1:6" x14ac:dyDescent="0.25">
      <c r="A29" s="85"/>
      <c r="B29" s="6">
        <v>2000</v>
      </c>
      <c r="C29" s="6"/>
      <c r="D29" s="43"/>
      <c r="E29" s="6">
        <f t="shared" si="0"/>
        <v>124000</v>
      </c>
    </row>
    <row r="30" spans="1:6" x14ac:dyDescent="0.25">
      <c r="A30" s="85">
        <v>45583</v>
      </c>
      <c r="B30" s="6">
        <v>12500</v>
      </c>
      <c r="C30" s="6"/>
      <c r="D30" s="43"/>
      <c r="E30" s="6">
        <f t="shared" si="0"/>
        <v>136500</v>
      </c>
    </row>
    <row r="31" spans="1:6" x14ac:dyDescent="0.25">
      <c r="A31" s="85"/>
      <c r="B31" s="6">
        <v>2000</v>
      </c>
      <c r="C31" s="6">
        <v>136500</v>
      </c>
      <c r="D31" s="43" t="s">
        <v>19</v>
      </c>
      <c r="E31" s="6">
        <f t="shared" si="0"/>
        <v>2000</v>
      </c>
    </row>
    <row r="32" spans="1:6" x14ac:dyDescent="0.25">
      <c r="A32" s="85">
        <v>45584</v>
      </c>
      <c r="B32" s="6">
        <v>4500</v>
      </c>
      <c r="C32" s="6"/>
      <c r="D32" s="43"/>
      <c r="E32" s="6">
        <f t="shared" si="0"/>
        <v>6500</v>
      </c>
    </row>
    <row r="33" spans="1:6" x14ac:dyDescent="0.25">
      <c r="A33" s="85">
        <v>45586</v>
      </c>
      <c r="B33" s="6">
        <v>8000</v>
      </c>
      <c r="C33" s="6"/>
      <c r="D33" s="43"/>
      <c r="E33" s="6">
        <f t="shared" si="0"/>
        <v>14500</v>
      </c>
    </row>
    <row r="34" spans="1:6" x14ac:dyDescent="0.25">
      <c r="A34" s="85">
        <v>45587</v>
      </c>
      <c r="B34" s="6">
        <v>12500</v>
      </c>
      <c r="C34" s="6"/>
      <c r="D34" s="43"/>
      <c r="E34" s="6">
        <f t="shared" si="0"/>
        <v>27000</v>
      </c>
    </row>
    <row r="35" spans="1:6" x14ac:dyDescent="0.25">
      <c r="A35" s="85">
        <v>45588</v>
      </c>
      <c r="B35" s="6">
        <v>12500</v>
      </c>
      <c r="C35" s="6"/>
      <c r="D35" s="43"/>
      <c r="E35" s="6">
        <f t="shared" ref="E35:E236" si="1">E34+B35-C35</f>
        <v>39500</v>
      </c>
    </row>
    <row r="36" spans="1:6" x14ac:dyDescent="0.25">
      <c r="A36" s="85">
        <v>45589</v>
      </c>
      <c r="B36" s="6">
        <v>12500</v>
      </c>
      <c r="C36" s="6"/>
      <c r="D36" s="43"/>
      <c r="E36" s="6">
        <f t="shared" si="1"/>
        <v>52000</v>
      </c>
    </row>
    <row r="37" spans="1:6" x14ac:dyDescent="0.25">
      <c r="A37" s="85">
        <v>45590</v>
      </c>
      <c r="B37" s="6">
        <v>12500</v>
      </c>
      <c r="C37" s="6"/>
      <c r="D37" s="43"/>
      <c r="E37" s="6">
        <f t="shared" si="1"/>
        <v>64500</v>
      </c>
    </row>
    <row r="38" spans="1:6" x14ac:dyDescent="0.25">
      <c r="A38" s="85">
        <v>45593</v>
      </c>
      <c r="B38" s="6">
        <v>14500</v>
      </c>
      <c r="C38" s="6"/>
      <c r="D38" s="43"/>
      <c r="E38" s="6">
        <f t="shared" si="1"/>
        <v>79000</v>
      </c>
    </row>
    <row r="39" spans="1:6" x14ac:dyDescent="0.25">
      <c r="A39" s="85">
        <v>45594</v>
      </c>
      <c r="B39" s="6">
        <v>12500</v>
      </c>
      <c r="C39" s="6"/>
      <c r="D39" s="43"/>
      <c r="E39" s="6">
        <f t="shared" si="1"/>
        <v>91500</v>
      </c>
    </row>
    <row r="40" spans="1:6" x14ac:dyDescent="0.25">
      <c r="A40" s="85">
        <v>45595</v>
      </c>
      <c r="B40" s="6">
        <v>14500</v>
      </c>
      <c r="C40" s="6"/>
      <c r="D40" s="43"/>
      <c r="E40" s="6">
        <f t="shared" si="1"/>
        <v>106000</v>
      </c>
    </row>
    <row r="41" spans="1:6" ht="16.5" thickBot="1" x14ac:dyDescent="0.3">
      <c r="A41" s="87">
        <v>45596</v>
      </c>
      <c r="B41" s="22">
        <v>14500</v>
      </c>
      <c r="C41" s="22"/>
      <c r="D41" s="44"/>
      <c r="E41" s="22">
        <f t="shared" si="1"/>
        <v>120500</v>
      </c>
    </row>
    <row r="42" spans="1:6" x14ac:dyDescent="0.25">
      <c r="A42" s="89">
        <v>45597</v>
      </c>
      <c r="B42" s="18">
        <v>12500</v>
      </c>
      <c r="C42" s="18"/>
      <c r="D42" s="45"/>
      <c r="E42" s="18">
        <f t="shared" si="1"/>
        <v>133000</v>
      </c>
    </row>
    <row r="43" spans="1:6" x14ac:dyDescent="0.25">
      <c r="A43" s="89">
        <v>45598</v>
      </c>
      <c r="B43" s="18">
        <v>12500</v>
      </c>
      <c r="C43" s="18"/>
      <c r="D43" s="45"/>
      <c r="E43" s="18">
        <f t="shared" si="1"/>
        <v>145500</v>
      </c>
      <c r="F43" s="60">
        <v>9500</v>
      </c>
    </row>
    <row r="44" spans="1:6" x14ac:dyDescent="0.25">
      <c r="A44" s="85">
        <v>45601</v>
      </c>
      <c r="B44" s="6">
        <v>12500</v>
      </c>
      <c r="C44" s="30">
        <v>27234.34</v>
      </c>
      <c r="D44" s="46" t="s">
        <v>21</v>
      </c>
      <c r="E44" s="18">
        <f t="shared" si="1"/>
        <v>130765.66</v>
      </c>
      <c r="F44" s="1" t="s">
        <v>14</v>
      </c>
    </row>
    <row r="45" spans="1:6" x14ac:dyDescent="0.25">
      <c r="A45" s="85">
        <v>45602</v>
      </c>
      <c r="B45" s="32">
        <v>0.34</v>
      </c>
      <c r="C45" s="6">
        <v>93266</v>
      </c>
      <c r="D45" s="43" t="s">
        <v>19</v>
      </c>
      <c r="E45" s="18">
        <f t="shared" si="1"/>
        <v>37500</v>
      </c>
      <c r="F45" s="1" t="s">
        <v>15</v>
      </c>
    </row>
    <row r="46" spans="1:6" x14ac:dyDescent="0.25">
      <c r="A46" s="85">
        <v>45602</v>
      </c>
      <c r="B46" s="6">
        <v>15000</v>
      </c>
      <c r="C46" s="6"/>
      <c r="D46" s="45"/>
      <c r="E46" s="18">
        <f t="shared" si="1"/>
        <v>52500</v>
      </c>
      <c r="F46" s="1"/>
    </row>
    <row r="47" spans="1:6" x14ac:dyDescent="0.25">
      <c r="A47" s="85">
        <v>45603</v>
      </c>
      <c r="B47" s="6">
        <v>10000</v>
      </c>
      <c r="C47" s="6"/>
      <c r="D47" s="45"/>
      <c r="E47" s="18">
        <f t="shared" si="1"/>
        <v>62500</v>
      </c>
    </row>
    <row r="48" spans="1:6" x14ac:dyDescent="0.25">
      <c r="A48" s="85">
        <v>45604</v>
      </c>
      <c r="B48" s="6">
        <v>13000</v>
      </c>
      <c r="C48" s="6"/>
      <c r="D48" s="45"/>
      <c r="E48" s="18">
        <f t="shared" si="1"/>
        <v>75500</v>
      </c>
    </row>
    <row r="49" spans="1:5" x14ac:dyDescent="0.25">
      <c r="A49" s="85">
        <v>45607</v>
      </c>
      <c r="B49" s="6">
        <v>5000</v>
      </c>
      <c r="C49" s="6"/>
      <c r="D49" s="45"/>
      <c r="E49" s="18">
        <f t="shared" si="1"/>
        <v>80500</v>
      </c>
    </row>
    <row r="50" spans="1:5" x14ac:dyDescent="0.25">
      <c r="A50" s="85">
        <v>45608</v>
      </c>
      <c r="B50" s="6">
        <v>5000</v>
      </c>
      <c r="C50" s="6"/>
      <c r="D50" s="45"/>
      <c r="E50" s="18">
        <f t="shared" si="1"/>
        <v>85500</v>
      </c>
    </row>
    <row r="51" spans="1:5" x14ac:dyDescent="0.25">
      <c r="A51" s="85">
        <v>45609</v>
      </c>
      <c r="B51" s="6">
        <v>8000</v>
      </c>
      <c r="C51" s="6"/>
      <c r="D51" s="45"/>
      <c r="E51" s="18">
        <f t="shared" si="1"/>
        <v>93500</v>
      </c>
    </row>
    <row r="52" spans="1:5" x14ac:dyDescent="0.25">
      <c r="A52" s="85">
        <v>45610</v>
      </c>
      <c r="B52" s="6">
        <v>8000</v>
      </c>
      <c r="C52" s="6"/>
      <c r="D52" s="45"/>
      <c r="E52" s="18">
        <f t="shared" si="1"/>
        <v>101500</v>
      </c>
    </row>
    <row r="53" spans="1:5" x14ac:dyDescent="0.25">
      <c r="A53" s="85">
        <v>45611</v>
      </c>
      <c r="B53" s="6">
        <v>4000</v>
      </c>
      <c r="C53" s="6"/>
      <c r="D53" s="45"/>
      <c r="E53" s="18">
        <f t="shared" si="1"/>
        <v>105500</v>
      </c>
    </row>
    <row r="54" spans="1:5" x14ac:dyDescent="0.25">
      <c r="A54" s="85">
        <v>45614</v>
      </c>
      <c r="B54" s="6">
        <v>4000</v>
      </c>
      <c r="C54" s="6"/>
      <c r="D54" s="45"/>
      <c r="E54" s="18">
        <f t="shared" si="1"/>
        <v>109500</v>
      </c>
    </row>
    <row r="55" spans="1:5" x14ac:dyDescent="0.25">
      <c r="A55" s="85">
        <v>45615</v>
      </c>
      <c r="B55" s="6">
        <v>4000</v>
      </c>
      <c r="C55" s="6"/>
      <c r="D55" s="45"/>
      <c r="E55" s="18">
        <f t="shared" si="1"/>
        <v>113500</v>
      </c>
    </row>
    <row r="56" spans="1:5" x14ac:dyDescent="0.25">
      <c r="A56" s="85">
        <v>45616</v>
      </c>
      <c r="B56" s="6">
        <v>4000</v>
      </c>
      <c r="C56" s="6">
        <v>27414.39</v>
      </c>
      <c r="D56" s="46" t="s">
        <v>21</v>
      </c>
      <c r="E56" s="18">
        <f t="shared" si="1"/>
        <v>90085.61</v>
      </c>
    </row>
    <row r="57" spans="1:5" x14ac:dyDescent="0.25">
      <c r="A57" s="85"/>
      <c r="B57" s="6"/>
      <c r="C57" s="6">
        <v>84157.42</v>
      </c>
      <c r="D57" s="43" t="s">
        <v>19</v>
      </c>
      <c r="E57" s="18">
        <f t="shared" si="1"/>
        <v>5928.1900000000023</v>
      </c>
    </row>
    <row r="58" spans="1:5" x14ac:dyDescent="0.25">
      <c r="A58" s="85">
        <v>45617</v>
      </c>
      <c r="B58" s="6">
        <v>4000</v>
      </c>
      <c r="C58" s="6"/>
      <c r="D58" s="45"/>
      <c r="E58" s="18">
        <f t="shared" si="1"/>
        <v>9928.1900000000023</v>
      </c>
    </row>
    <row r="59" spans="1:5" x14ac:dyDescent="0.25">
      <c r="A59" s="85">
        <v>45618</v>
      </c>
      <c r="B59" s="6">
        <v>4000</v>
      </c>
      <c r="C59" s="6"/>
      <c r="D59" s="45"/>
      <c r="E59" s="18">
        <f t="shared" si="1"/>
        <v>13928.190000000002</v>
      </c>
    </row>
    <row r="60" spans="1:5" x14ac:dyDescent="0.25">
      <c r="A60" s="85">
        <v>45621</v>
      </c>
      <c r="B60" s="6">
        <v>6000</v>
      </c>
      <c r="C60" s="6"/>
      <c r="D60" s="45"/>
      <c r="E60" s="18">
        <f t="shared" si="1"/>
        <v>19928.190000000002</v>
      </c>
    </row>
    <row r="61" spans="1:5" x14ac:dyDescent="0.25">
      <c r="A61" s="85">
        <v>45622</v>
      </c>
      <c r="B61" s="6">
        <v>6000</v>
      </c>
      <c r="C61" s="6"/>
      <c r="D61" s="45"/>
      <c r="E61" s="18">
        <f t="shared" si="1"/>
        <v>25928.190000000002</v>
      </c>
    </row>
    <row r="62" spans="1:5" x14ac:dyDescent="0.25">
      <c r="A62" s="85">
        <v>45623</v>
      </c>
      <c r="B62" s="6">
        <v>4000</v>
      </c>
      <c r="C62" s="6"/>
      <c r="D62" s="45"/>
      <c r="E62" s="18">
        <f t="shared" si="1"/>
        <v>29928.190000000002</v>
      </c>
    </row>
    <row r="63" spans="1:5" x14ac:dyDescent="0.25">
      <c r="A63" s="85">
        <v>45624</v>
      </c>
      <c r="B63" s="6">
        <v>4000</v>
      </c>
      <c r="C63" s="6"/>
      <c r="D63" s="45"/>
      <c r="E63" s="18">
        <f t="shared" si="1"/>
        <v>33928.19</v>
      </c>
    </row>
    <row r="64" spans="1:5" x14ac:dyDescent="0.25">
      <c r="A64" s="85">
        <v>45625</v>
      </c>
      <c r="B64" s="6">
        <v>4000</v>
      </c>
      <c r="C64" s="6"/>
      <c r="D64" s="45"/>
      <c r="E64" s="18">
        <f t="shared" si="1"/>
        <v>37928.19</v>
      </c>
    </row>
    <row r="65" spans="1:6" x14ac:dyDescent="0.25">
      <c r="A65" s="83" t="s">
        <v>38</v>
      </c>
      <c r="B65" s="67">
        <v>10000</v>
      </c>
      <c r="C65" s="6"/>
      <c r="D65" s="45"/>
      <c r="E65" s="18">
        <f>E64+B65-C65</f>
        <v>47928.19</v>
      </c>
      <c r="F65" s="41" t="s">
        <v>39</v>
      </c>
    </row>
    <row r="66" spans="1:6" x14ac:dyDescent="0.25">
      <c r="A66" s="83"/>
      <c r="B66" s="67">
        <v>3000</v>
      </c>
      <c r="C66" s="6"/>
      <c r="D66" s="45"/>
      <c r="E66" s="18">
        <f t="shared" ref="E66:E79" si="2">E65+B66-C66</f>
        <v>50928.19</v>
      </c>
      <c r="F66" s="41" t="s">
        <v>39</v>
      </c>
    </row>
    <row r="67" spans="1:6" x14ac:dyDescent="0.25">
      <c r="A67" s="85">
        <v>45628</v>
      </c>
      <c r="B67" s="61">
        <v>0</v>
      </c>
      <c r="C67" s="6"/>
      <c r="D67" s="45"/>
      <c r="E67" s="18">
        <f t="shared" si="2"/>
        <v>50928.19</v>
      </c>
      <c r="F67" s="41" t="s">
        <v>30</v>
      </c>
    </row>
    <row r="68" spans="1:6" x14ac:dyDescent="0.25">
      <c r="A68" s="85">
        <v>45629</v>
      </c>
      <c r="B68" s="61">
        <v>0</v>
      </c>
      <c r="C68" s="6"/>
      <c r="D68" s="45"/>
      <c r="E68" s="18">
        <f t="shared" si="2"/>
        <v>50928.19</v>
      </c>
      <c r="F68" s="41" t="s">
        <v>30</v>
      </c>
    </row>
    <row r="69" spans="1:6" x14ac:dyDescent="0.25">
      <c r="A69" s="85">
        <v>45630</v>
      </c>
      <c r="B69" s="6">
        <v>7500</v>
      </c>
      <c r="C69" s="6"/>
      <c r="D69" s="45"/>
      <c r="E69" s="18">
        <f t="shared" si="2"/>
        <v>58428.19</v>
      </c>
    </row>
    <row r="70" spans="1:6" x14ac:dyDescent="0.25">
      <c r="A70" s="85">
        <v>45631</v>
      </c>
      <c r="B70" s="61">
        <v>10000</v>
      </c>
      <c r="C70" s="6">
        <v>24857.42</v>
      </c>
      <c r="D70" s="46" t="s">
        <v>21</v>
      </c>
      <c r="E70" s="18">
        <f t="shared" si="2"/>
        <v>43570.770000000004</v>
      </c>
      <c r="F70" s="41" t="s">
        <v>31</v>
      </c>
    </row>
    <row r="71" spans="1:6" x14ac:dyDescent="0.25">
      <c r="A71" s="85"/>
      <c r="B71" s="6"/>
      <c r="C71" s="6">
        <v>28000</v>
      </c>
      <c r="D71" s="43" t="s">
        <v>19</v>
      </c>
      <c r="E71" s="18">
        <f t="shared" si="2"/>
        <v>15570.770000000004</v>
      </c>
    </row>
    <row r="72" spans="1:6" x14ac:dyDescent="0.25">
      <c r="A72" s="85">
        <v>45632</v>
      </c>
      <c r="B72" s="61">
        <v>13000</v>
      </c>
      <c r="C72" s="6"/>
      <c r="D72" s="45"/>
      <c r="E72" s="18">
        <f t="shared" si="2"/>
        <v>28570.770000000004</v>
      </c>
      <c r="F72" s="41" t="s">
        <v>32</v>
      </c>
    </row>
    <row r="73" spans="1:6" x14ac:dyDescent="0.25">
      <c r="A73" s="85">
        <v>45998</v>
      </c>
      <c r="B73" s="61">
        <v>1500</v>
      </c>
      <c r="C73" s="6"/>
      <c r="D73" s="45"/>
      <c r="E73" s="18">
        <f t="shared" si="2"/>
        <v>30070.770000000004</v>
      </c>
      <c r="F73" s="41" t="s">
        <v>34</v>
      </c>
    </row>
    <row r="74" spans="1:6" x14ac:dyDescent="0.25">
      <c r="A74" s="85">
        <v>45635</v>
      </c>
      <c r="B74" s="61">
        <v>7500</v>
      </c>
      <c r="C74" s="6"/>
      <c r="D74" s="45"/>
      <c r="E74" s="18">
        <f t="shared" si="2"/>
        <v>37570.770000000004</v>
      </c>
      <c r="F74" s="41" t="s">
        <v>35</v>
      </c>
    </row>
    <row r="75" spans="1:6" x14ac:dyDescent="0.25">
      <c r="A75" s="85">
        <v>45636</v>
      </c>
      <c r="B75" s="61">
        <v>7500</v>
      </c>
      <c r="C75" s="6"/>
      <c r="D75" s="45"/>
      <c r="E75" s="18">
        <f t="shared" si="2"/>
        <v>45070.770000000004</v>
      </c>
      <c r="F75" s="41" t="s">
        <v>36</v>
      </c>
    </row>
    <row r="76" spans="1:6" x14ac:dyDescent="0.25">
      <c r="A76" s="85">
        <v>45637</v>
      </c>
      <c r="B76" s="61">
        <v>11500</v>
      </c>
      <c r="C76" s="6"/>
      <c r="D76" s="45"/>
      <c r="E76" s="18">
        <f t="shared" si="2"/>
        <v>56570.770000000004</v>
      </c>
      <c r="F76" s="41" t="s">
        <v>37</v>
      </c>
    </row>
    <row r="77" spans="1:6" x14ac:dyDescent="0.25">
      <c r="A77" s="85">
        <v>45638</v>
      </c>
      <c r="B77" s="61">
        <v>10000</v>
      </c>
      <c r="C77" s="6"/>
      <c r="D77" s="45"/>
      <c r="E77" s="18">
        <f t="shared" si="2"/>
        <v>66570.77</v>
      </c>
      <c r="F77" s="41" t="s">
        <v>31</v>
      </c>
    </row>
    <row r="78" spans="1:6" x14ac:dyDescent="0.25">
      <c r="A78" s="85">
        <v>45639</v>
      </c>
      <c r="B78" s="6">
        <v>13000</v>
      </c>
      <c r="C78" s="6"/>
      <c r="D78" s="45"/>
      <c r="E78" s="18">
        <f t="shared" si="2"/>
        <v>79570.77</v>
      </c>
    </row>
    <row r="79" spans="1:6" x14ac:dyDescent="0.25">
      <c r="A79" s="85">
        <v>45640</v>
      </c>
      <c r="B79" s="61">
        <v>6600</v>
      </c>
      <c r="C79" s="6"/>
      <c r="D79" s="45"/>
      <c r="E79" s="18">
        <f t="shared" si="2"/>
        <v>86170.77</v>
      </c>
      <c r="F79" s="41" t="s">
        <v>34</v>
      </c>
    </row>
    <row r="80" spans="1:6" x14ac:dyDescent="0.25">
      <c r="A80" s="85">
        <v>45642</v>
      </c>
      <c r="B80" s="61">
        <v>9000</v>
      </c>
      <c r="C80" s="6"/>
      <c r="D80" s="45"/>
      <c r="E80" s="18">
        <f t="shared" si="1"/>
        <v>95170.77</v>
      </c>
      <c r="F80" s="41" t="s">
        <v>33</v>
      </c>
    </row>
    <row r="81" spans="1:6" x14ac:dyDescent="0.25">
      <c r="A81" s="85">
        <v>45643</v>
      </c>
      <c r="B81" s="6">
        <v>10000</v>
      </c>
      <c r="C81" s="6"/>
      <c r="D81" s="45"/>
      <c r="E81" s="18">
        <f t="shared" si="1"/>
        <v>105170.77</v>
      </c>
    </row>
    <row r="82" spans="1:6" x14ac:dyDescent="0.25">
      <c r="A82" s="85">
        <v>45644</v>
      </c>
      <c r="B82" s="6">
        <v>13000</v>
      </c>
      <c r="C82" s="6"/>
      <c r="D82" s="45"/>
      <c r="E82" s="18">
        <f t="shared" si="1"/>
        <v>118170.77</v>
      </c>
    </row>
    <row r="83" spans="1:6" x14ac:dyDescent="0.25">
      <c r="A83" s="85">
        <v>45645</v>
      </c>
      <c r="B83" s="6">
        <v>10700</v>
      </c>
      <c r="C83" s="6"/>
      <c r="D83" s="45"/>
      <c r="E83" s="18">
        <f t="shared" si="1"/>
        <v>128870.77</v>
      </c>
    </row>
    <row r="84" spans="1:6" x14ac:dyDescent="0.25">
      <c r="A84" s="85">
        <v>45646</v>
      </c>
      <c r="B84" s="6">
        <v>8000</v>
      </c>
      <c r="C84" s="6">
        <v>38279</v>
      </c>
      <c r="D84" s="46" t="s">
        <v>21</v>
      </c>
      <c r="E84" s="18">
        <f t="shared" si="1"/>
        <v>98591.770000000019</v>
      </c>
    </row>
    <row r="85" spans="1:6" x14ac:dyDescent="0.25">
      <c r="A85" s="85"/>
      <c r="B85" s="6"/>
      <c r="C85" s="6">
        <v>45260</v>
      </c>
      <c r="D85" s="43" t="s">
        <v>19</v>
      </c>
      <c r="E85" s="18">
        <f t="shared" si="1"/>
        <v>53331.770000000019</v>
      </c>
    </row>
    <row r="86" spans="1:6" x14ac:dyDescent="0.25">
      <c r="A86" s="85">
        <v>46012</v>
      </c>
      <c r="B86" s="61">
        <v>5500</v>
      </c>
      <c r="C86" s="6"/>
      <c r="D86" s="45"/>
      <c r="E86" s="18">
        <f t="shared" si="1"/>
        <v>58831.770000000019</v>
      </c>
      <c r="F86" s="41" t="s">
        <v>34</v>
      </c>
    </row>
    <row r="87" spans="1:6" x14ac:dyDescent="0.25">
      <c r="A87" s="85">
        <v>46014</v>
      </c>
      <c r="B87" s="6">
        <v>13000</v>
      </c>
      <c r="C87" s="6"/>
      <c r="D87" s="45"/>
      <c r="E87" s="18">
        <f t="shared" si="1"/>
        <v>71831.770000000019</v>
      </c>
    </row>
    <row r="88" spans="1:6" x14ac:dyDescent="0.25">
      <c r="A88" s="85">
        <v>46015</v>
      </c>
      <c r="B88" s="6">
        <v>13000</v>
      </c>
      <c r="C88" s="6"/>
      <c r="D88" s="45"/>
      <c r="E88" s="18">
        <f t="shared" si="1"/>
        <v>84831.770000000019</v>
      </c>
    </row>
    <row r="89" spans="1:6" x14ac:dyDescent="0.25">
      <c r="A89" s="85">
        <v>46016</v>
      </c>
      <c r="B89" s="6">
        <v>13000</v>
      </c>
      <c r="C89" s="6"/>
      <c r="D89" s="45"/>
      <c r="E89" s="18">
        <f t="shared" si="1"/>
        <v>97831.770000000019</v>
      </c>
    </row>
    <row r="90" spans="1:6" x14ac:dyDescent="0.25">
      <c r="A90" s="85">
        <v>46017</v>
      </c>
      <c r="B90" s="6">
        <v>13000</v>
      </c>
      <c r="C90" s="6"/>
      <c r="D90" s="45"/>
      <c r="E90" s="18">
        <f t="shared" si="1"/>
        <v>110831.77000000002</v>
      </c>
    </row>
    <row r="91" spans="1:6" x14ac:dyDescent="0.25">
      <c r="A91" s="85">
        <v>46018</v>
      </c>
      <c r="B91" s="6">
        <v>11000</v>
      </c>
      <c r="C91" s="6">
        <v>51952.28</v>
      </c>
      <c r="D91" s="46" t="s">
        <v>21</v>
      </c>
      <c r="E91" s="18">
        <f t="shared" si="1"/>
        <v>69879.49000000002</v>
      </c>
    </row>
    <row r="92" spans="1:6" x14ac:dyDescent="0.25">
      <c r="A92" s="85"/>
      <c r="B92" s="6">
        <v>10000</v>
      </c>
      <c r="C92" s="6"/>
      <c r="D92" s="43" t="s">
        <v>28</v>
      </c>
      <c r="E92" s="18">
        <f t="shared" si="1"/>
        <v>79879.49000000002</v>
      </c>
    </row>
    <row r="93" spans="1:6" x14ac:dyDescent="0.25">
      <c r="A93" s="83" t="s">
        <v>40</v>
      </c>
      <c r="B93" s="68">
        <v>2200</v>
      </c>
      <c r="C93" s="6">
        <v>67247.27</v>
      </c>
      <c r="D93" s="43" t="s">
        <v>19</v>
      </c>
      <c r="E93" s="18">
        <f t="shared" si="1"/>
        <v>14832.220000000016</v>
      </c>
    </row>
    <row r="94" spans="1:6" x14ac:dyDescent="0.25">
      <c r="A94" s="90" t="s">
        <v>29</v>
      </c>
      <c r="B94" s="63">
        <v>-1200</v>
      </c>
      <c r="C94" s="63"/>
      <c r="D94" s="64"/>
      <c r="E94" s="65">
        <f t="shared" si="1"/>
        <v>13632.220000000016</v>
      </c>
      <c r="F94" s="66" t="s">
        <v>26</v>
      </c>
    </row>
    <row r="95" spans="1:6" x14ac:dyDescent="0.25">
      <c r="A95" s="85">
        <v>45666</v>
      </c>
      <c r="B95" s="32">
        <v>367.78</v>
      </c>
      <c r="C95" s="6">
        <v>14000</v>
      </c>
      <c r="D95" s="43" t="s">
        <v>19</v>
      </c>
      <c r="E95" s="18">
        <f>E94+B95-C95</f>
        <v>1.6370904631912708E-11</v>
      </c>
      <c r="F95" s="66" t="s">
        <v>26</v>
      </c>
    </row>
    <row r="96" spans="1:6" x14ac:dyDescent="0.25">
      <c r="A96" s="85"/>
      <c r="B96" s="6">
        <v>20000</v>
      </c>
      <c r="C96" s="6"/>
      <c r="D96" s="43"/>
      <c r="E96" s="18">
        <f t="shared" si="1"/>
        <v>20000.000000000015</v>
      </c>
    </row>
    <row r="97" spans="1:6" x14ac:dyDescent="0.25">
      <c r="A97" s="85">
        <v>45667</v>
      </c>
      <c r="B97" s="6">
        <v>15000</v>
      </c>
      <c r="C97" s="32"/>
      <c r="D97" s="43"/>
      <c r="E97" s="18">
        <f t="shared" si="1"/>
        <v>35000.000000000015</v>
      </c>
      <c r="F97" s="66"/>
    </row>
    <row r="98" spans="1:6" x14ac:dyDescent="0.25">
      <c r="A98" s="85">
        <v>45670</v>
      </c>
      <c r="B98" s="6">
        <v>7500</v>
      </c>
      <c r="C98" s="6"/>
      <c r="D98" s="43"/>
      <c r="E98" s="18">
        <f t="shared" si="1"/>
        <v>42500.000000000015</v>
      </c>
    </row>
    <row r="99" spans="1:6" x14ac:dyDescent="0.25">
      <c r="A99" s="85">
        <v>45671</v>
      </c>
      <c r="B99" s="6">
        <v>15500</v>
      </c>
      <c r="C99" s="6">
        <v>3000</v>
      </c>
      <c r="D99" s="43" t="s">
        <v>19</v>
      </c>
      <c r="E99" s="18">
        <f t="shared" si="1"/>
        <v>55000.000000000015</v>
      </c>
    </row>
    <row r="100" spans="1:6" hidden="1" x14ac:dyDescent="0.25">
      <c r="A100" s="85">
        <v>45672</v>
      </c>
      <c r="B100" s="6"/>
      <c r="C100" s="6"/>
      <c r="D100" s="43"/>
      <c r="E100" s="18">
        <f t="shared" si="1"/>
        <v>55000.000000000015</v>
      </c>
    </row>
    <row r="101" spans="1:6" hidden="1" x14ac:dyDescent="0.25">
      <c r="A101" s="85">
        <v>45673</v>
      </c>
      <c r="B101" s="6"/>
      <c r="C101" s="6"/>
      <c r="D101" s="43"/>
      <c r="E101" s="18">
        <f t="shared" si="1"/>
        <v>55000.000000000015</v>
      </c>
    </row>
    <row r="102" spans="1:6" x14ac:dyDescent="0.25">
      <c r="A102" s="85">
        <v>45672</v>
      </c>
      <c r="B102" s="6">
        <v>14250</v>
      </c>
      <c r="C102" s="6"/>
      <c r="D102" s="43"/>
      <c r="E102" s="18">
        <f t="shared" si="1"/>
        <v>69250.000000000015</v>
      </c>
    </row>
    <row r="103" spans="1:6" x14ac:dyDescent="0.25">
      <c r="A103" s="85">
        <v>45673</v>
      </c>
      <c r="B103" s="6">
        <v>26000</v>
      </c>
      <c r="C103" s="6">
        <v>9000</v>
      </c>
      <c r="D103" s="43" t="s">
        <v>19</v>
      </c>
      <c r="E103" s="18">
        <f t="shared" si="1"/>
        <v>86250.000000000015</v>
      </c>
    </row>
    <row r="104" spans="1:6" x14ac:dyDescent="0.25">
      <c r="A104" s="85">
        <v>45674</v>
      </c>
      <c r="B104" s="6">
        <v>23500</v>
      </c>
      <c r="C104" s="6">
        <v>9000</v>
      </c>
      <c r="D104" s="43" t="s">
        <v>19</v>
      </c>
      <c r="E104" s="18">
        <f t="shared" si="1"/>
        <v>100750.00000000001</v>
      </c>
    </row>
    <row r="105" spans="1:6" x14ac:dyDescent="0.25">
      <c r="A105" s="85"/>
      <c r="B105" s="69">
        <v>3175</v>
      </c>
      <c r="C105" s="6"/>
      <c r="D105" s="43"/>
      <c r="E105" s="18">
        <f t="shared" si="1"/>
        <v>103925.00000000001</v>
      </c>
      <c r="F105" s="41" t="s">
        <v>41</v>
      </c>
    </row>
    <row r="106" spans="1:6" x14ac:dyDescent="0.25">
      <c r="A106" s="85">
        <v>45677</v>
      </c>
      <c r="B106" s="69"/>
      <c r="C106" s="6">
        <v>40225.300000000003</v>
      </c>
      <c r="D106" s="46" t="s">
        <v>21</v>
      </c>
      <c r="E106" s="18">
        <f t="shared" si="1"/>
        <v>63699.700000000012</v>
      </c>
    </row>
    <row r="107" spans="1:6" x14ac:dyDescent="0.25">
      <c r="A107" s="85">
        <v>45678</v>
      </c>
      <c r="B107" s="69"/>
      <c r="C107" s="6">
        <v>60535</v>
      </c>
      <c r="D107" s="43" t="s">
        <v>19</v>
      </c>
      <c r="E107" s="18">
        <f t="shared" si="1"/>
        <v>3164.7000000000116</v>
      </c>
    </row>
    <row r="108" spans="1:6" x14ac:dyDescent="0.25">
      <c r="A108" s="85"/>
      <c r="B108" s="69">
        <v>10.3</v>
      </c>
      <c r="C108" s="32">
        <v>3175</v>
      </c>
      <c r="D108" s="41" t="s">
        <v>41</v>
      </c>
      <c r="E108" s="18">
        <f t="shared" si="1"/>
        <v>1.1823431123048067E-11</v>
      </c>
      <c r="F108" s="66" t="s">
        <v>26</v>
      </c>
    </row>
    <row r="109" spans="1:6" x14ac:dyDescent="0.25">
      <c r="A109" s="85">
        <v>45677</v>
      </c>
      <c r="B109" s="6">
        <v>3000</v>
      </c>
      <c r="C109" s="6">
        <v>3000</v>
      </c>
      <c r="D109" s="43" t="s">
        <v>19</v>
      </c>
      <c r="E109" s="18">
        <f t="shared" si="1"/>
        <v>1.1823431123048067E-11</v>
      </c>
    </row>
    <row r="110" spans="1:6" x14ac:dyDescent="0.25">
      <c r="A110" s="85"/>
      <c r="B110" s="6">
        <v>18500</v>
      </c>
      <c r="C110" s="6"/>
      <c r="D110" s="46"/>
      <c r="E110" s="18">
        <f t="shared" si="1"/>
        <v>18500.000000000011</v>
      </c>
    </row>
    <row r="111" spans="1:6" x14ac:dyDescent="0.25">
      <c r="A111" s="85">
        <v>45678</v>
      </c>
      <c r="B111" s="6">
        <v>22750</v>
      </c>
      <c r="C111" s="6">
        <v>6000</v>
      </c>
      <c r="D111" s="43" t="s">
        <v>19</v>
      </c>
      <c r="E111" s="18">
        <f t="shared" si="1"/>
        <v>35250.000000000015</v>
      </c>
      <c r="F111" s="41" t="s">
        <v>51</v>
      </c>
    </row>
    <row r="112" spans="1:6" x14ac:dyDescent="0.25">
      <c r="A112" s="85">
        <v>45679</v>
      </c>
      <c r="B112" s="6">
        <v>20000</v>
      </c>
      <c r="C112" s="6">
        <v>3000</v>
      </c>
      <c r="D112" s="43" t="s">
        <v>19</v>
      </c>
      <c r="E112" s="18">
        <f t="shared" si="1"/>
        <v>52250.000000000015</v>
      </c>
    </row>
    <row r="113" spans="1:19" x14ac:dyDescent="0.25">
      <c r="A113" s="85">
        <v>45680</v>
      </c>
      <c r="B113" s="6">
        <v>21500</v>
      </c>
      <c r="C113" s="6">
        <v>4500</v>
      </c>
      <c r="D113" s="43" t="s">
        <v>19</v>
      </c>
      <c r="E113" s="18">
        <f t="shared" si="1"/>
        <v>69250.000000000015</v>
      </c>
    </row>
    <row r="114" spans="1:19" x14ac:dyDescent="0.25">
      <c r="A114" s="85">
        <v>45681</v>
      </c>
      <c r="B114" s="6">
        <v>18000</v>
      </c>
      <c r="C114" s="6"/>
      <c r="D114" s="43"/>
      <c r="E114" s="18">
        <f t="shared" si="1"/>
        <v>87250.000000000015</v>
      </c>
    </row>
    <row r="115" spans="1:19" x14ac:dyDescent="0.25">
      <c r="A115" s="85">
        <v>45684</v>
      </c>
      <c r="B115" s="6">
        <v>19000</v>
      </c>
      <c r="C115" s="6">
        <v>3000</v>
      </c>
      <c r="D115" s="43"/>
      <c r="E115" s="18">
        <f t="shared" si="1"/>
        <v>103250.00000000001</v>
      </c>
      <c r="F115" s="70" t="s">
        <v>42</v>
      </c>
    </row>
    <row r="116" spans="1:19" x14ac:dyDescent="0.25">
      <c r="A116" s="85">
        <v>45685</v>
      </c>
      <c r="B116" s="6">
        <v>20750</v>
      </c>
      <c r="C116" s="6"/>
      <c r="D116" s="43"/>
      <c r="E116" s="18">
        <f t="shared" si="1"/>
        <v>124000.00000000001</v>
      </c>
    </row>
    <row r="117" spans="1:19" x14ac:dyDescent="0.25">
      <c r="A117" s="85">
        <v>45686</v>
      </c>
      <c r="B117" s="6">
        <v>21500</v>
      </c>
      <c r="C117" s="6">
        <v>14000</v>
      </c>
      <c r="D117" s="43"/>
      <c r="E117" s="18">
        <f t="shared" si="1"/>
        <v>131500</v>
      </c>
      <c r="F117" s="41" t="s">
        <v>43</v>
      </c>
      <c r="K117" s="41" t="s">
        <v>44</v>
      </c>
      <c r="P117" s="41" t="s">
        <v>45</v>
      </c>
    </row>
    <row r="118" spans="1:19" x14ac:dyDescent="0.25">
      <c r="A118" s="85">
        <v>45687</v>
      </c>
      <c r="B118" s="6">
        <v>20500</v>
      </c>
      <c r="C118" s="6"/>
      <c r="D118" s="43"/>
      <c r="E118" s="18">
        <f t="shared" si="1"/>
        <v>152000</v>
      </c>
    </row>
    <row r="119" spans="1:19" x14ac:dyDescent="0.25">
      <c r="A119" s="85">
        <v>45688</v>
      </c>
      <c r="B119" s="6">
        <v>25000</v>
      </c>
      <c r="C119" s="6">
        <v>14500</v>
      </c>
      <c r="D119" s="43"/>
      <c r="E119" s="18">
        <f t="shared" si="1"/>
        <v>162500</v>
      </c>
      <c r="F119" s="41" t="s">
        <v>46</v>
      </c>
      <c r="J119" s="41" t="s">
        <v>47</v>
      </c>
      <c r="O119" s="41" t="s">
        <v>48</v>
      </c>
      <c r="S119" s="41" t="s">
        <v>49</v>
      </c>
    </row>
    <row r="120" spans="1:19" x14ac:dyDescent="0.25">
      <c r="A120" s="85"/>
      <c r="B120" s="67">
        <v>20000</v>
      </c>
      <c r="C120" s="6"/>
      <c r="D120" s="43"/>
      <c r="E120" s="18">
        <f t="shared" si="1"/>
        <v>182500</v>
      </c>
      <c r="F120" s="41" t="s">
        <v>39</v>
      </c>
      <c r="O120" s="41" t="s">
        <v>50</v>
      </c>
    </row>
    <row r="121" spans="1:19" x14ac:dyDescent="0.25">
      <c r="A121" s="85"/>
      <c r="B121" s="69">
        <v>4000</v>
      </c>
      <c r="C121" s="6"/>
      <c r="D121" s="43"/>
      <c r="E121" s="18">
        <f t="shared" si="1"/>
        <v>186500</v>
      </c>
      <c r="F121" s="41" t="s">
        <v>52</v>
      </c>
    </row>
    <row r="122" spans="1:19" x14ac:dyDescent="0.25">
      <c r="A122" s="91">
        <v>45693</v>
      </c>
      <c r="B122" s="6"/>
      <c r="C122" s="6">
        <v>64700</v>
      </c>
      <c r="D122" s="43" t="s">
        <v>19</v>
      </c>
      <c r="E122" s="18">
        <f>E121+B122-C122</f>
        <v>121800</v>
      </c>
    </row>
    <row r="123" spans="1:19" x14ac:dyDescent="0.25">
      <c r="A123" s="85"/>
      <c r="B123" s="6"/>
      <c r="C123" s="6">
        <v>142070.34</v>
      </c>
      <c r="D123" s="46" t="s">
        <v>21</v>
      </c>
      <c r="E123" s="18">
        <f t="shared" si="1"/>
        <v>-20270.339999999997</v>
      </c>
    </row>
    <row r="124" spans="1:19" x14ac:dyDescent="0.25">
      <c r="A124" s="85"/>
      <c r="B124" s="6">
        <v>26240</v>
      </c>
      <c r="C124" s="6">
        <v>26240</v>
      </c>
      <c r="D124" s="43" t="s">
        <v>19</v>
      </c>
      <c r="E124" s="18">
        <f t="shared" si="1"/>
        <v>-20270.339999999997</v>
      </c>
      <c r="F124" s="71" t="s">
        <v>53</v>
      </c>
    </row>
    <row r="125" spans="1:19" x14ac:dyDescent="0.25">
      <c r="A125" s="85">
        <v>45691</v>
      </c>
      <c r="B125" s="6">
        <v>31700</v>
      </c>
      <c r="C125" s="6">
        <v>11500</v>
      </c>
      <c r="D125" s="43" t="s">
        <v>19</v>
      </c>
      <c r="E125" s="18">
        <f t="shared" si="1"/>
        <v>-70.339999999996508</v>
      </c>
    </row>
    <row r="126" spans="1:19" x14ac:dyDescent="0.25">
      <c r="A126" s="85">
        <v>45692</v>
      </c>
      <c r="B126" s="6">
        <v>29700</v>
      </c>
      <c r="C126" s="6">
        <v>13000</v>
      </c>
      <c r="D126" s="43" t="s">
        <v>19</v>
      </c>
      <c r="E126" s="18">
        <f t="shared" si="1"/>
        <v>16629.660000000003</v>
      </c>
    </row>
    <row r="127" spans="1:19" x14ac:dyDescent="0.25">
      <c r="A127" s="85">
        <v>45693</v>
      </c>
      <c r="B127" s="6">
        <v>32200</v>
      </c>
      <c r="C127" s="6">
        <v>8000</v>
      </c>
      <c r="D127" s="43" t="s">
        <v>19</v>
      </c>
      <c r="E127" s="18">
        <f t="shared" si="1"/>
        <v>40829.660000000003</v>
      </c>
    </row>
    <row r="128" spans="1:19" x14ac:dyDescent="0.25">
      <c r="A128" s="85">
        <v>45694</v>
      </c>
      <c r="B128" s="6">
        <v>32200</v>
      </c>
      <c r="C128" s="6">
        <v>12000</v>
      </c>
      <c r="D128" s="43" t="s">
        <v>19</v>
      </c>
      <c r="E128" s="18">
        <f t="shared" si="1"/>
        <v>61029.66</v>
      </c>
    </row>
    <row r="129" spans="1:6" x14ac:dyDescent="0.25">
      <c r="A129" s="85">
        <v>45695</v>
      </c>
      <c r="B129" s="6">
        <v>32200</v>
      </c>
      <c r="C129" s="6">
        <v>26650</v>
      </c>
      <c r="D129" s="43" t="s">
        <v>19</v>
      </c>
      <c r="E129" s="18">
        <f t="shared" si="1"/>
        <v>66579.66</v>
      </c>
    </row>
    <row r="130" spans="1:6" x14ac:dyDescent="0.25">
      <c r="A130" s="85">
        <v>45698</v>
      </c>
      <c r="B130" s="6">
        <v>32400</v>
      </c>
      <c r="C130" s="6"/>
      <c r="D130" s="43"/>
      <c r="E130" s="18">
        <f t="shared" si="1"/>
        <v>98979.66</v>
      </c>
    </row>
    <row r="131" spans="1:6" x14ac:dyDescent="0.25">
      <c r="A131" s="85">
        <v>45699</v>
      </c>
      <c r="B131" s="6">
        <v>32700</v>
      </c>
      <c r="C131" s="6"/>
      <c r="D131" s="43"/>
      <c r="E131" s="18">
        <f t="shared" si="1"/>
        <v>131679.66</v>
      </c>
    </row>
    <row r="132" spans="1:6" x14ac:dyDescent="0.25">
      <c r="A132" s="85">
        <v>45700</v>
      </c>
      <c r="B132" s="6">
        <v>33700</v>
      </c>
      <c r="C132" s="6"/>
      <c r="D132" s="43"/>
      <c r="E132" s="18">
        <f t="shared" si="1"/>
        <v>165379.66</v>
      </c>
    </row>
    <row r="133" spans="1:6" x14ac:dyDescent="0.25">
      <c r="A133" s="85">
        <v>45701</v>
      </c>
      <c r="B133" s="6">
        <v>34700</v>
      </c>
      <c r="C133" s="6"/>
      <c r="D133" s="43"/>
      <c r="E133" s="18">
        <f t="shared" si="1"/>
        <v>200079.66</v>
      </c>
    </row>
    <row r="134" spans="1:6" x14ac:dyDescent="0.25">
      <c r="A134" s="85">
        <v>45702</v>
      </c>
      <c r="B134" s="6">
        <v>37900</v>
      </c>
      <c r="C134" s="6">
        <v>103800</v>
      </c>
      <c r="D134" s="43" t="s">
        <v>19</v>
      </c>
      <c r="E134" s="18">
        <f t="shared" si="1"/>
        <v>134179.66</v>
      </c>
    </row>
    <row r="135" spans="1:6" x14ac:dyDescent="0.25">
      <c r="A135" s="85">
        <v>45705</v>
      </c>
      <c r="B135" s="6">
        <v>30600</v>
      </c>
      <c r="C135" s="6"/>
      <c r="D135" s="43"/>
      <c r="E135" s="18">
        <f t="shared" si="1"/>
        <v>164779.66</v>
      </c>
    </row>
    <row r="136" spans="1:6" x14ac:dyDescent="0.25">
      <c r="A136" s="85">
        <v>45706</v>
      </c>
      <c r="B136" s="6">
        <v>35050</v>
      </c>
      <c r="C136" s="6"/>
      <c r="D136" s="43"/>
      <c r="E136" s="18">
        <f t="shared" si="1"/>
        <v>199829.66</v>
      </c>
    </row>
    <row r="137" spans="1:6" x14ac:dyDescent="0.25">
      <c r="A137" s="85">
        <v>45707</v>
      </c>
      <c r="B137" s="6">
        <v>42280</v>
      </c>
      <c r="C137" s="6"/>
      <c r="D137" s="43"/>
      <c r="E137" s="18">
        <f t="shared" si="1"/>
        <v>242109.66</v>
      </c>
    </row>
    <row r="138" spans="1:6" x14ac:dyDescent="0.25">
      <c r="A138" s="85">
        <v>45708</v>
      </c>
      <c r="B138" s="6">
        <v>33700</v>
      </c>
      <c r="C138" s="6">
        <v>26970</v>
      </c>
      <c r="D138" s="46" t="s">
        <v>21</v>
      </c>
      <c r="E138" s="18">
        <f t="shared" si="1"/>
        <v>248839.66000000003</v>
      </c>
      <c r="F138" s="41" t="s">
        <v>54</v>
      </c>
    </row>
    <row r="139" spans="1:6" x14ac:dyDescent="0.25">
      <c r="A139" s="85"/>
      <c r="B139" s="6"/>
      <c r="C139" s="6">
        <v>67188.960000000006</v>
      </c>
      <c r="D139" s="46" t="s">
        <v>21</v>
      </c>
      <c r="E139" s="18">
        <f t="shared" si="1"/>
        <v>181650.7</v>
      </c>
    </row>
    <row r="140" spans="1:6" x14ac:dyDescent="0.25">
      <c r="A140" s="85">
        <v>45709</v>
      </c>
      <c r="B140" s="6">
        <v>37700</v>
      </c>
      <c r="C140" s="6">
        <v>100730</v>
      </c>
      <c r="D140" s="43" t="s">
        <v>19</v>
      </c>
      <c r="E140" s="18">
        <f t="shared" si="1"/>
        <v>118620.70000000001</v>
      </c>
    </row>
    <row r="141" spans="1:6" x14ac:dyDescent="0.25">
      <c r="A141" s="85">
        <v>45712</v>
      </c>
      <c r="B141" s="6">
        <v>34900</v>
      </c>
      <c r="C141" s="6"/>
      <c r="D141" s="43"/>
      <c r="E141" s="18">
        <f t="shared" si="1"/>
        <v>153520.70000000001</v>
      </c>
    </row>
    <row r="142" spans="1:6" x14ac:dyDescent="0.25">
      <c r="A142" s="85">
        <v>45713</v>
      </c>
      <c r="B142" s="6">
        <v>57100</v>
      </c>
      <c r="C142" s="6">
        <v>13894.27</v>
      </c>
      <c r="D142" s="46" t="s">
        <v>21</v>
      </c>
      <c r="E142" s="18">
        <f t="shared" si="1"/>
        <v>196726.43000000002</v>
      </c>
      <c r="F142" s="41" t="s">
        <v>55</v>
      </c>
    </row>
    <row r="143" spans="1:6" x14ac:dyDescent="0.25">
      <c r="A143" s="85">
        <v>45714</v>
      </c>
      <c r="B143" s="6">
        <v>52000</v>
      </c>
      <c r="C143" s="6"/>
      <c r="D143" s="43"/>
      <c r="E143" s="18">
        <f t="shared" si="1"/>
        <v>248726.43000000002</v>
      </c>
    </row>
    <row r="144" spans="1:6" x14ac:dyDescent="0.25">
      <c r="A144" s="85">
        <v>45715</v>
      </c>
      <c r="B144" s="6">
        <v>53000</v>
      </c>
      <c r="C144" s="6"/>
      <c r="D144" s="43"/>
      <c r="E144" s="18">
        <f t="shared" si="1"/>
        <v>301726.43000000005</v>
      </c>
    </row>
    <row r="145" spans="1:8" x14ac:dyDescent="0.25">
      <c r="A145" s="85">
        <v>45716</v>
      </c>
      <c r="B145" s="6">
        <v>47700</v>
      </c>
      <c r="C145" s="6">
        <v>163000</v>
      </c>
      <c r="D145" s="43" t="s">
        <v>19</v>
      </c>
      <c r="E145" s="18">
        <f t="shared" si="1"/>
        <v>186426.43000000005</v>
      </c>
    </row>
    <row r="146" spans="1:8" x14ac:dyDescent="0.25">
      <c r="A146" s="92" t="s">
        <v>39</v>
      </c>
      <c r="B146" s="43">
        <v>50000</v>
      </c>
      <c r="C146" s="6">
        <v>50000</v>
      </c>
      <c r="D146" s="43" t="s">
        <v>19</v>
      </c>
      <c r="E146" s="18">
        <f t="shared" si="1"/>
        <v>186426.43000000005</v>
      </c>
    </row>
    <row r="147" spans="1:8" x14ac:dyDescent="0.25">
      <c r="A147" s="93" t="s">
        <v>56</v>
      </c>
      <c r="B147" s="6">
        <v>80000</v>
      </c>
      <c r="C147" s="6"/>
      <c r="D147" s="43"/>
      <c r="E147" s="18">
        <f t="shared" si="1"/>
        <v>266426.43000000005</v>
      </c>
    </row>
    <row r="148" spans="1:8" x14ac:dyDescent="0.25">
      <c r="A148" s="94" t="s">
        <v>63</v>
      </c>
      <c r="B148" s="69">
        <v>6240</v>
      </c>
      <c r="C148" s="6">
        <v>154448</v>
      </c>
      <c r="D148" s="43" t="s">
        <v>19</v>
      </c>
      <c r="E148" s="18">
        <f t="shared" si="1"/>
        <v>118218.43000000005</v>
      </c>
      <c r="F148" s="74" t="s">
        <v>61</v>
      </c>
    </row>
    <row r="149" spans="1:8" x14ac:dyDescent="0.25">
      <c r="A149" s="93"/>
      <c r="B149" s="6"/>
      <c r="C149" s="6">
        <v>10570</v>
      </c>
      <c r="D149" s="46" t="s">
        <v>21</v>
      </c>
      <c r="E149" s="18">
        <f t="shared" si="1"/>
        <v>107648.43000000005</v>
      </c>
      <c r="F149" s="41" t="s">
        <v>57</v>
      </c>
    </row>
    <row r="150" spans="1:8" x14ac:dyDescent="0.25">
      <c r="A150" s="93"/>
      <c r="B150" s="6"/>
      <c r="C150" s="6">
        <v>11927</v>
      </c>
      <c r="D150" s="46" t="s">
        <v>21</v>
      </c>
      <c r="E150" s="18">
        <f t="shared" si="1"/>
        <v>95721.430000000051</v>
      </c>
      <c r="F150" s="41" t="s">
        <v>58</v>
      </c>
    </row>
    <row r="151" spans="1:8" x14ac:dyDescent="0.25">
      <c r="A151" s="93"/>
      <c r="B151" s="6"/>
      <c r="C151" s="6">
        <v>15225</v>
      </c>
      <c r="D151" s="46" t="s">
        <v>21</v>
      </c>
      <c r="E151" s="18">
        <f t="shared" si="1"/>
        <v>80496.430000000051</v>
      </c>
      <c r="F151" s="41" t="s">
        <v>59</v>
      </c>
    </row>
    <row r="152" spans="1:8" x14ac:dyDescent="0.25">
      <c r="A152" s="85"/>
      <c r="B152" s="6"/>
      <c r="C152" s="6">
        <v>57510.29</v>
      </c>
      <c r="D152" s="46" t="s">
        <v>21</v>
      </c>
      <c r="E152" s="18">
        <f t="shared" si="1"/>
        <v>22986.14000000005</v>
      </c>
      <c r="F152" s="41" t="s">
        <v>60</v>
      </c>
    </row>
    <row r="153" spans="1:8" x14ac:dyDescent="0.25">
      <c r="A153" s="85"/>
      <c r="B153" s="6"/>
      <c r="C153" s="6">
        <v>24775</v>
      </c>
      <c r="D153" s="43" t="s">
        <v>19</v>
      </c>
      <c r="E153" s="18">
        <f t="shared" si="1"/>
        <v>-1788.8599999999497</v>
      </c>
      <c r="F153" s="71" t="s">
        <v>62</v>
      </c>
    </row>
    <row r="154" spans="1:8" x14ac:dyDescent="0.25">
      <c r="A154" s="85"/>
      <c r="B154" s="75">
        <v>1788.86</v>
      </c>
      <c r="C154" s="6"/>
      <c r="D154" s="43"/>
      <c r="E154" s="18">
        <f t="shared" si="1"/>
        <v>5.0249582272954285E-11</v>
      </c>
      <c r="F154" s="66" t="s">
        <v>26</v>
      </c>
    </row>
    <row r="155" spans="1:8" ht="16.5" thickBot="1" x14ac:dyDescent="0.3">
      <c r="A155" s="95">
        <v>45716</v>
      </c>
      <c r="B155" s="78">
        <v>9000</v>
      </c>
      <c r="C155" s="6">
        <v>9000</v>
      </c>
      <c r="D155" s="43"/>
      <c r="E155" s="18">
        <f t="shared" si="1"/>
        <v>5.0931703299283981E-11</v>
      </c>
      <c r="F155" s="66" t="s">
        <v>64</v>
      </c>
      <c r="H155" s="76">
        <v>45723</v>
      </c>
    </row>
    <row r="156" spans="1:8" x14ac:dyDescent="0.25">
      <c r="A156" s="96">
        <v>45719</v>
      </c>
      <c r="B156" s="79">
        <v>32700</v>
      </c>
      <c r="C156" s="77"/>
      <c r="D156" s="43"/>
      <c r="E156" s="18">
        <f t="shared" si="1"/>
        <v>32700.000000000051</v>
      </c>
      <c r="F156" s="71"/>
    </row>
    <row r="157" spans="1:8" x14ac:dyDescent="0.25">
      <c r="A157" s="96">
        <v>45720</v>
      </c>
      <c r="B157" s="80">
        <v>43800</v>
      </c>
      <c r="C157" s="77"/>
      <c r="D157" s="43"/>
      <c r="E157" s="18">
        <f t="shared" si="1"/>
        <v>76500.000000000058</v>
      </c>
      <c r="F157" s="71"/>
    </row>
    <row r="158" spans="1:8" x14ac:dyDescent="0.25">
      <c r="A158" s="96">
        <v>45721</v>
      </c>
      <c r="B158" s="80">
        <v>46200</v>
      </c>
      <c r="C158" s="77"/>
      <c r="D158" s="43"/>
      <c r="E158" s="18">
        <f t="shared" si="1"/>
        <v>122700.00000000006</v>
      </c>
      <c r="F158" s="71"/>
    </row>
    <row r="159" spans="1:8" x14ac:dyDescent="0.25">
      <c r="A159" s="96">
        <v>45722</v>
      </c>
      <c r="B159" s="80">
        <v>48500</v>
      </c>
      <c r="C159" s="77"/>
      <c r="D159" s="43"/>
      <c r="E159" s="18">
        <f t="shared" si="1"/>
        <v>171200.00000000006</v>
      </c>
      <c r="F159" s="71"/>
    </row>
    <row r="160" spans="1:8" ht="16.5" thickBot="1" x14ac:dyDescent="0.3">
      <c r="A160" s="96">
        <v>45723</v>
      </c>
      <c r="B160" s="81">
        <v>50200</v>
      </c>
      <c r="C160" s="77">
        <v>151900</v>
      </c>
      <c r="D160" s="43"/>
      <c r="E160" s="18">
        <f t="shared" si="1"/>
        <v>69500.000000000058</v>
      </c>
      <c r="F160" s="76">
        <v>45723</v>
      </c>
    </row>
    <row r="161" spans="1:6" x14ac:dyDescent="0.25">
      <c r="A161" s="96">
        <v>45726</v>
      </c>
      <c r="B161" s="79">
        <v>56500</v>
      </c>
      <c r="C161" s="77"/>
      <c r="D161" s="43"/>
      <c r="E161" s="18">
        <f t="shared" si="1"/>
        <v>126000.00000000006</v>
      </c>
      <c r="F161" s="71"/>
    </row>
    <row r="162" spans="1:6" x14ac:dyDescent="0.25">
      <c r="A162" s="96">
        <v>45727</v>
      </c>
      <c r="B162" s="80">
        <v>58000</v>
      </c>
      <c r="C162" s="77"/>
      <c r="D162" s="43"/>
      <c r="E162" s="18">
        <f t="shared" si="1"/>
        <v>184000.00000000006</v>
      </c>
      <c r="F162" s="71"/>
    </row>
    <row r="163" spans="1:6" x14ac:dyDescent="0.25">
      <c r="A163" s="96">
        <v>45728</v>
      </c>
      <c r="B163" s="80">
        <v>54700</v>
      </c>
      <c r="C163" s="77"/>
      <c r="D163" s="43"/>
      <c r="E163" s="18">
        <f t="shared" si="1"/>
        <v>238700.00000000006</v>
      </c>
      <c r="F163" s="71"/>
    </row>
    <row r="164" spans="1:6" x14ac:dyDescent="0.25">
      <c r="A164" s="96">
        <v>45729</v>
      </c>
      <c r="B164" s="80">
        <v>59700</v>
      </c>
      <c r="C164" s="77"/>
      <c r="D164" s="43"/>
      <c r="E164" s="18">
        <f t="shared" si="1"/>
        <v>298400.00000000006</v>
      </c>
      <c r="F164" s="71"/>
    </row>
    <row r="165" spans="1:6" ht="16.5" thickBot="1" x14ac:dyDescent="0.3">
      <c r="A165" s="96">
        <v>45730</v>
      </c>
      <c r="B165" s="81">
        <v>69100</v>
      </c>
      <c r="C165" s="77">
        <v>223600</v>
      </c>
      <c r="D165" s="43"/>
      <c r="E165" s="18">
        <f t="shared" si="1"/>
        <v>143900.00000000006</v>
      </c>
      <c r="F165" s="71"/>
    </row>
    <row r="166" spans="1:6" ht="16.5" thickBot="1" x14ac:dyDescent="0.3">
      <c r="A166" s="97" t="s">
        <v>56</v>
      </c>
      <c r="B166" s="82">
        <v>80000</v>
      </c>
      <c r="C166" s="6"/>
      <c r="D166" s="43"/>
      <c r="E166" s="18">
        <f t="shared" si="1"/>
        <v>223900.00000000006</v>
      </c>
      <c r="F166" s="71" t="s">
        <v>65</v>
      </c>
    </row>
    <row r="167" spans="1:6" x14ac:dyDescent="0.25">
      <c r="A167" s="96">
        <v>45733</v>
      </c>
      <c r="B167" s="79">
        <v>90700</v>
      </c>
      <c r="C167" s="77"/>
      <c r="D167" s="43"/>
      <c r="E167" s="18">
        <f t="shared" si="1"/>
        <v>314600.00000000006</v>
      </c>
      <c r="F167" s="71"/>
    </row>
    <row r="168" spans="1:6" x14ac:dyDescent="0.25">
      <c r="A168" s="96">
        <v>45734</v>
      </c>
      <c r="B168" s="80">
        <v>65400</v>
      </c>
      <c r="C168" s="77"/>
      <c r="D168" s="43"/>
      <c r="E168" s="18">
        <f t="shared" si="1"/>
        <v>380000.00000000006</v>
      </c>
      <c r="F168" s="71"/>
    </row>
    <row r="169" spans="1:6" x14ac:dyDescent="0.25">
      <c r="A169" s="96">
        <v>45735</v>
      </c>
      <c r="B169" s="80">
        <v>64100</v>
      </c>
      <c r="C169" s="77"/>
      <c r="D169" s="43"/>
      <c r="E169" s="18">
        <f t="shared" si="1"/>
        <v>444100.00000000006</v>
      </c>
      <c r="F169" s="71"/>
    </row>
    <row r="170" spans="1:6" x14ac:dyDescent="0.25">
      <c r="A170" s="96">
        <v>45736</v>
      </c>
      <c r="B170" s="80">
        <v>71600</v>
      </c>
      <c r="C170" s="77">
        <v>78908.98</v>
      </c>
      <c r="D170" s="43" t="s">
        <v>21</v>
      </c>
      <c r="E170" s="18">
        <f t="shared" si="1"/>
        <v>436791.02000000008</v>
      </c>
      <c r="F170" s="71"/>
    </row>
    <row r="171" spans="1:6" x14ac:dyDescent="0.25">
      <c r="A171" s="96"/>
      <c r="B171" s="80"/>
      <c r="C171" s="77">
        <v>14500.67</v>
      </c>
      <c r="D171" s="43" t="s">
        <v>21</v>
      </c>
      <c r="E171" s="18">
        <f t="shared" si="1"/>
        <v>422290.35000000009</v>
      </c>
      <c r="F171" s="71" t="s">
        <v>66</v>
      </c>
    </row>
    <row r="172" spans="1:6" x14ac:dyDescent="0.25">
      <c r="A172" s="96"/>
      <c r="B172" s="80"/>
      <c r="C172" s="77">
        <v>23594.53</v>
      </c>
      <c r="D172" s="43" t="s">
        <v>19</v>
      </c>
      <c r="E172" s="18">
        <f t="shared" si="1"/>
        <v>398695.82000000007</v>
      </c>
      <c r="F172" s="71" t="s">
        <v>66</v>
      </c>
    </row>
    <row r="173" spans="1:6" ht="16.5" thickBot="1" x14ac:dyDescent="0.3">
      <c r="A173" s="96">
        <v>45737</v>
      </c>
      <c r="B173" s="81">
        <v>94500</v>
      </c>
      <c r="C173" s="77">
        <v>293400</v>
      </c>
      <c r="D173" s="43" t="s">
        <v>19</v>
      </c>
      <c r="E173" s="18">
        <f t="shared" si="1"/>
        <v>199795.82000000007</v>
      </c>
      <c r="F173" s="71"/>
    </row>
    <row r="174" spans="1:6" x14ac:dyDescent="0.25">
      <c r="A174" s="96">
        <v>45740</v>
      </c>
      <c r="B174" s="79">
        <v>77000</v>
      </c>
      <c r="C174" s="77"/>
      <c r="D174" s="43"/>
      <c r="E174" s="18">
        <f t="shared" si="1"/>
        <v>276795.82000000007</v>
      </c>
    </row>
    <row r="175" spans="1:6" x14ac:dyDescent="0.25">
      <c r="A175" s="96">
        <v>45741</v>
      </c>
      <c r="B175" s="101">
        <v>53100</v>
      </c>
      <c r="C175" s="77"/>
      <c r="D175" s="43"/>
      <c r="E175" s="18">
        <f t="shared" si="1"/>
        <v>329895.82000000007</v>
      </c>
    </row>
    <row r="176" spans="1:6" x14ac:dyDescent="0.25">
      <c r="A176" s="96">
        <v>45742</v>
      </c>
      <c r="B176" s="101">
        <v>62800</v>
      </c>
      <c r="C176" s="77"/>
      <c r="D176" s="43"/>
      <c r="E176" s="18">
        <f t="shared" si="1"/>
        <v>392695.82000000007</v>
      </c>
    </row>
    <row r="177" spans="1:7" x14ac:dyDescent="0.25">
      <c r="A177" s="96">
        <v>45743</v>
      </c>
      <c r="B177" s="101">
        <v>58700</v>
      </c>
      <c r="C177" s="77"/>
      <c r="D177" s="43"/>
      <c r="E177" s="18">
        <f t="shared" si="1"/>
        <v>451395.82000000007</v>
      </c>
    </row>
    <row r="178" spans="1:7" x14ac:dyDescent="0.25">
      <c r="A178" s="96">
        <v>45744</v>
      </c>
      <c r="B178" s="101">
        <v>57900</v>
      </c>
      <c r="C178" s="77"/>
      <c r="D178" s="43"/>
      <c r="E178" s="18">
        <f t="shared" si="1"/>
        <v>509295.82000000007</v>
      </c>
    </row>
    <row r="179" spans="1:7" x14ac:dyDescent="0.25">
      <c r="A179" s="96">
        <v>45747</v>
      </c>
      <c r="B179" s="101">
        <v>76600</v>
      </c>
      <c r="C179" s="77">
        <v>283300</v>
      </c>
      <c r="D179" s="43" t="s">
        <v>19</v>
      </c>
      <c r="E179" s="18">
        <f t="shared" si="1"/>
        <v>302595.82000000007</v>
      </c>
    </row>
    <row r="180" spans="1:7" x14ac:dyDescent="0.25">
      <c r="A180" s="96"/>
      <c r="B180" s="101">
        <v>10000</v>
      </c>
      <c r="C180" s="77"/>
      <c r="D180" s="43"/>
      <c r="E180" s="18">
        <f t="shared" si="1"/>
        <v>312595.82000000007</v>
      </c>
      <c r="F180" s="41" t="s">
        <v>67</v>
      </c>
    </row>
    <row r="181" spans="1:7" x14ac:dyDescent="0.25">
      <c r="A181" s="96"/>
      <c r="B181" s="101">
        <v>3000</v>
      </c>
      <c r="C181" s="77"/>
      <c r="D181" s="43"/>
      <c r="E181" s="18">
        <f t="shared" si="1"/>
        <v>315595.82000000007</v>
      </c>
      <c r="F181" s="41" t="s">
        <v>68</v>
      </c>
    </row>
    <row r="182" spans="1:7" x14ac:dyDescent="0.25">
      <c r="A182" s="99" t="s">
        <v>39</v>
      </c>
      <c r="B182" s="102">
        <v>50000</v>
      </c>
      <c r="C182" s="77"/>
      <c r="D182" s="43"/>
      <c r="E182" s="18">
        <f t="shared" si="1"/>
        <v>365595.82000000007</v>
      </c>
      <c r="F182" s="71" t="s">
        <v>65</v>
      </c>
    </row>
    <row r="183" spans="1:7" ht="16.5" thickBot="1" x14ac:dyDescent="0.3">
      <c r="A183" s="100" t="s">
        <v>69</v>
      </c>
      <c r="B183" s="103">
        <v>6140.82</v>
      </c>
      <c r="C183" s="77">
        <v>6140.82</v>
      </c>
      <c r="D183" s="43" t="s">
        <v>21</v>
      </c>
      <c r="E183" s="18">
        <f t="shared" si="1"/>
        <v>365595.82000000007</v>
      </c>
    </row>
    <row r="184" spans="1:7" x14ac:dyDescent="0.25">
      <c r="A184" s="85">
        <v>45749</v>
      </c>
      <c r="B184" s="18">
        <v>12486.52</v>
      </c>
      <c r="C184" s="6">
        <v>12486.52</v>
      </c>
      <c r="D184" s="43" t="s">
        <v>21</v>
      </c>
      <c r="E184" s="18">
        <f t="shared" si="1"/>
        <v>365595.82000000007</v>
      </c>
      <c r="F184" s="41" t="s">
        <v>70</v>
      </c>
    </row>
    <row r="185" spans="1:7" x14ac:dyDescent="0.25">
      <c r="A185" s="85">
        <v>45751</v>
      </c>
      <c r="B185" s="18"/>
      <c r="C185" s="6">
        <v>84115.06</v>
      </c>
      <c r="D185" s="43" t="s">
        <v>21</v>
      </c>
      <c r="E185" s="18">
        <f t="shared" si="1"/>
        <v>281480.76000000007</v>
      </c>
      <c r="F185" s="41" t="s">
        <v>71</v>
      </c>
    </row>
    <row r="186" spans="1:7" ht="16.5" thickBot="1" x14ac:dyDescent="0.3">
      <c r="A186" s="117"/>
      <c r="B186" s="118"/>
      <c r="C186" s="119">
        <v>15949.33</v>
      </c>
      <c r="D186" s="120" t="s">
        <v>21</v>
      </c>
      <c r="E186" s="118">
        <f t="shared" si="1"/>
        <v>265531.43000000005</v>
      </c>
      <c r="F186" s="71" t="s">
        <v>66</v>
      </c>
    </row>
    <row r="187" spans="1:7" x14ac:dyDescent="0.25">
      <c r="A187" s="122">
        <v>45748</v>
      </c>
      <c r="B187" s="113"/>
      <c r="C187" s="113"/>
      <c r="D187" s="123"/>
      <c r="E187" s="124">
        <f t="shared" si="1"/>
        <v>265531.43000000005</v>
      </c>
    </row>
    <row r="188" spans="1:7" x14ac:dyDescent="0.25">
      <c r="A188" s="125">
        <v>45749</v>
      </c>
      <c r="B188" s="18"/>
      <c r="C188" s="6"/>
      <c r="D188" s="43"/>
      <c r="E188" s="126">
        <f t="shared" si="1"/>
        <v>265531.43000000005</v>
      </c>
    </row>
    <row r="189" spans="1:7" x14ac:dyDescent="0.25">
      <c r="A189" s="125">
        <v>45750</v>
      </c>
      <c r="B189" s="18"/>
      <c r="C189" s="6"/>
      <c r="D189" s="43"/>
      <c r="E189" s="126">
        <f t="shared" si="1"/>
        <v>265531.43000000005</v>
      </c>
    </row>
    <row r="190" spans="1:7" ht="16.5" thickBot="1" x14ac:dyDescent="0.3">
      <c r="A190" s="127">
        <v>45751</v>
      </c>
      <c r="B190" s="128"/>
      <c r="C190" s="22"/>
      <c r="D190" s="44"/>
      <c r="E190" s="129">
        <f t="shared" si="1"/>
        <v>265531.43000000005</v>
      </c>
    </row>
    <row r="191" spans="1:7" x14ac:dyDescent="0.25">
      <c r="A191" s="121" t="s">
        <v>39</v>
      </c>
      <c r="B191" s="45">
        <v>10000</v>
      </c>
      <c r="C191" s="18"/>
      <c r="D191" s="45"/>
      <c r="E191" s="18">
        <f t="shared" si="1"/>
        <v>275531.43000000005</v>
      </c>
      <c r="F191" s="71" t="s">
        <v>65</v>
      </c>
    </row>
    <row r="192" spans="1:7" x14ac:dyDescent="0.25">
      <c r="A192" s="85">
        <v>45754</v>
      </c>
      <c r="B192" s="18"/>
      <c r="C192" s="6">
        <v>189884</v>
      </c>
      <c r="D192" s="43" t="s">
        <v>19</v>
      </c>
      <c r="E192" s="18">
        <f t="shared" si="1"/>
        <v>85647.430000000051</v>
      </c>
      <c r="F192" s="41" t="s">
        <v>71</v>
      </c>
      <c r="G192" s="41" t="s">
        <v>72</v>
      </c>
    </row>
    <row r="193" spans="1:7" x14ac:dyDescent="0.25">
      <c r="A193" s="85"/>
      <c r="B193" s="18"/>
      <c r="C193" s="6">
        <v>26000</v>
      </c>
      <c r="D193" s="43" t="s">
        <v>19</v>
      </c>
      <c r="E193" s="18">
        <f t="shared" si="1"/>
        <v>59647.430000000051</v>
      </c>
      <c r="F193" s="71" t="s">
        <v>66</v>
      </c>
    </row>
    <row r="194" spans="1:7" x14ac:dyDescent="0.25">
      <c r="A194" s="85">
        <v>45756</v>
      </c>
      <c r="B194" s="18"/>
      <c r="C194" s="6">
        <v>55826</v>
      </c>
      <c r="D194" s="43" t="s">
        <v>19</v>
      </c>
      <c r="E194" s="18">
        <f t="shared" si="1"/>
        <v>3821.4300000000512</v>
      </c>
    </row>
    <row r="195" spans="1:7" x14ac:dyDescent="0.25">
      <c r="A195" s="85">
        <v>45761</v>
      </c>
      <c r="B195" s="18"/>
      <c r="C195" s="6">
        <v>30000</v>
      </c>
      <c r="D195" s="43" t="s">
        <v>19</v>
      </c>
      <c r="E195" s="18">
        <f t="shared" si="1"/>
        <v>-26178.569999999949</v>
      </c>
      <c r="F195" s="104" t="s">
        <v>39</v>
      </c>
    </row>
    <row r="196" spans="1:7" x14ac:dyDescent="0.25">
      <c r="A196" s="85">
        <v>45762</v>
      </c>
      <c r="B196" s="18"/>
      <c r="C196" s="6">
        <v>17842</v>
      </c>
      <c r="D196" s="43" t="s">
        <v>19</v>
      </c>
      <c r="E196" s="18">
        <f t="shared" si="1"/>
        <v>-44020.569999999949</v>
      </c>
      <c r="F196" s="41" t="s">
        <v>73</v>
      </c>
    </row>
    <row r="197" spans="1:7" x14ac:dyDescent="0.25">
      <c r="A197" s="85"/>
      <c r="B197" s="18"/>
      <c r="C197" s="6">
        <v>18897.53</v>
      </c>
      <c r="D197" s="43" t="s">
        <v>21</v>
      </c>
      <c r="E197" s="18">
        <f t="shared" si="1"/>
        <v>-62918.099999999948</v>
      </c>
      <c r="F197" s="41" t="s">
        <v>74</v>
      </c>
    </row>
    <row r="198" spans="1:7" x14ac:dyDescent="0.25">
      <c r="A198" s="85">
        <v>45765</v>
      </c>
      <c r="B198" s="18"/>
      <c r="C198" s="6">
        <v>69046.63</v>
      </c>
      <c r="D198" s="43" t="s">
        <v>21</v>
      </c>
      <c r="E198" s="18">
        <f t="shared" si="1"/>
        <v>-131964.72999999995</v>
      </c>
    </row>
    <row r="199" spans="1:7" x14ac:dyDescent="0.25">
      <c r="A199" s="97" t="s">
        <v>56</v>
      </c>
      <c r="B199" s="31">
        <v>80000</v>
      </c>
      <c r="C199" s="6">
        <v>15225</v>
      </c>
      <c r="D199" s="43" t="s">
        <v>21</v>
      </c>
      <c r="E199" s="18">
        <f t="shared" si="1"/>
        <v>-67189.729999999952</v>
      </c>
      <c r="F199" s="71" t="s">
        <v>66</v>
      </c>
    </row>
    <row r="200" spans="1:7" ht="16.5" thickBot="1" x14ac:dyDescent="0.3">
      <c r="A200" s="147"/>
      <c r="B200" s="148"/>
      <c r="C200" s="6">
        <v>24775</v>
      </c>
      <c r="D200" s="43" t="s">
        <v>19</v>
      </c>
      <c r="E200" s="18">
        <f t="shared" si="1"/>
        <v>-91964.729999999952</v>
      </c>
      <c r="F200" s="71" t="s">
        <v>66</v>
      </c>
    </row>
    <row r="201" spans="1:7" ht="16.5" thickBot="1" x14ac:dyDescent="0.3">
      <c r="A201" s="151" t="s">
        <v>75</v>
      </c>
      <c r="B201" s="152">
        <v>773600</v>
      </c>
      <c r="C201" s="146">
        <v>538678</v>
      </c>
      <c r="D201" s="43" t="s">
        <v>19</v>
      </c>
      <c r="E201" s="18">
        <f t="shared" si="1"/>
        <v>142957.27000000002</v>
      </c>
      <c r="F201" s="41" t="s">
        <v>71</v>
      </c>
    </row>
    <row r="202" spans="1:7" x14ac:dyDescent="0.25">
      <c r="A202" s="149">
        <v>45768</v>
      </c>
      <c r="B202" s="150"/>
      <c r="C202" s="6">
        <v>10000</v>
      </c>
      <c r="D202" s="43" t="s">
        <v>19</v>
      </c>
      <c r="E202" s="18">
        <f t="shared" si="1"/>
        <v>132957.27000000002</v>
      </c>
      <c r="F202" s="121" t="s">
        <v>39</v>
      </c>
      <c r="G202" s="71" t="s">
        <v>65</v>
      </c>
    </row>
    <row r="203" spans="1:7" x14ac:dyDescent="0.25">
      <c r="A203" s="97"/>
      <c r="B203" s="31"/>
      <c r="C203" s="6">
        <v>73500</v>
      </c>
      <c r="D203" s="43" t="s">
        <v>19</v>
      </c>
      <c r="E203" s="18">
        <f t="shared" si="1"/>
        <v>59457.270000000019</v>
      </c>
      <c r="F203" s="71"/>
    </row>
    <row r="204" spans="1:7" ht="16.5" thickBot="1" x14ac:dyDescent="0.3">
      <c r="A204" s="147">
        <v>45772</v>
      </c>
      <c r="B204" s="148"/>
      <c r="C204" s="6">
        <v>8250</v>
      </c>
      <c r="D204" s="43" t="s">
        <v>19</v>
      </c>
      <c r="E204" s="18">
        <f t="shared" si="1"/>
        <v>51207.270000000019</v>
      </c>
      <c r="F204" s="71" t="s">
        <v>77</v>
      </c>
    </row>
    <row r="205" spans="1:7" x14ac:dyDescent="0.25">
      <c r="A205" s="153" t="s">
        <v>39</v>
      </c>
      <c r="B205" s="154">
        <v>20000</v>
      </c>
      <c r="C205" s="77"/>
      <c r="D205" s="43"/>
      <c r="E205" s="18">
        <f t="shared" si="1"/>
        <v>71207.270000000019</v>
      </c>
      <c r="F205" s="71" t="s">
        <v>79</v>
      </c>
    </row>
    <row r="206" spans="1:7" ht="16.5" thickBot="1" x14ac:dyDescent="0.3">
      <c r="A206" s="155" t="s">
        <v>80</v>
      </c>
      <c r="B206" s="156">
        <v>737451.72</v>
      </c>
      <c r="C206" s="146"/>
      <c r="D206" s="43"/>
      <c r="E206" s="18">
        <f t="shared" si="1"/>
        <v>808658.99</v>
      </c>
      <c r="F206" s="71"/>
    </row>
    <row r="207" spans="1:7" x14ac:dyDescent="0.25">
      <c r="A207" s="147" t="s">
        <v>86</v>
      </c>
      <c r="B207" s="148"/>
      <c r="C207" s="6">
        <v>5338.36</v>
      </c>
      <c r="D207" s="43" t="s">
        <v>21</v>
      </c>
      <c r="E207" s="18">
        <f t="shared" si="1"/>
        <v>803320.63</v>
      </c>
      <c r="F207" s="71" t="s">
        <v>81</v>
      </c>
    </row>
    <row r="208" spans="1:7" x14ac:dyDescent="0.25">
      <c r="A208" s="147"/>
      <c r="B208" s="148"/>
      <c r="C208" s="6">
        <v>11745</v>
      </c>
      <c r="D208" s="43" t="s">
        <v>21</v>
      </c>
      <c r="E208" s="18">
        <f t="shared" si="1"/>
        <v>791575.63</v>
      </c>
      <c r="F208" s="71" t="s">
        <v>82</v>
      </c>
    </row>
    <row r="209" spans="1:6" x14ac:dyDescent="0.25">
      <c r="A209" s="147"/>
      <c r="B209" s="148"/>
      <c r="C209" s="6">
        <v>13050</v>
      </c>
      <c r="D209" s="43" t="s">
        <v>21</v>
      </c>
      <c r="E209" s="18">
        <f t="shared" si="1"/>
        <v>778525.63</v>
      </c>
      <c r="F209" s="71" t="s">
        <v>83</v>
      </c>
    </row>
    <row r="210" spans="1:6" x14ac:dyDescent="0.25">
      <c r="A210" s="147"/>
      <c r="B210" s="148"/>
      <c r="C210" s="6">
        <v>13841</v>
      </c>
      <c r="D210" s="43" t="s">
        <v>21</v>
      </c>
      <c r="E210" s="18">
        <f t="shared" si="1"/>
        <v>764684.63</v>
      </c>
      <c r="F210" s="71" t="s">
        <v>84</v>
      </c>
    </row>
    <row r="211" spans="1:6" x14ac:dyDescent="0.25">
      <c r="A211" s="147"/>
      <c r="B211" s="148"/>
      <c r="C211" s="6">
        <v>92241.68</v>
      </c>
      <c r="D211" s="43" t="s">
        <v>21</v>
      </c>
      <c r="E211" s="18">
        <f t="shared" si="1"/>
        <v>672442.95</v>
      </c>
      <c r="F211" s="71" t="s">
        <v>85</v>
      </c>
    </row>
    <row r="212" spans="1:6" x14ac:dyDescent="0.25">
      <c r="A212" s="97"/>
      <c r="B212" s="31"/>
      <c r="C212" s="6">
        <v>94463</v>
      </c>
      <c r="D212" s="43" t="s">
        <v>19</v>
      </c>
      <c r="E212" s="18">
        <f t="shared" si="1"/>
        <v>577979.94999999995</v>
      </c>
      <c r="F212" s="71" t="s">
        <v>87</v>
      </c>
    </row>
    <row r="213" spans="1:6" x14ac:dyDescent="0.25">
      <c r="A213" s="97"/>
      <c r="B213" s="31"/>
      <c r="C213" s="6">
        <v>25700</v>
      </c>
      <c r="D213" s="43" t="s">
        <v>19</v>
      </c>
      <c r="E213" s="18">
        <f t="shared" si="1"/>
        <v>552279.94999999995</v>
      </c>
      <c r="F213" s="71" t="s">
        <v>88</v>
      </c>
    </row>
    <row r="214" spans="1:6" x14ac:dyDescent="0.25">
      <c r="A214" s="97" t="s">
        <v>89</v>
      </c>
      <c r="B214" s="31"/>
      <c r="C214" s="6">
        <v>225482.02</v>
      </c>
      <c r="D214" s="43" t="s">
        <v>19</v>
      </c>
      <c r="E214" s="18">
        <f t="shared" si="1"/>
        <v>326797.92999999993</v>
      </c>
      <c r="F214" s="71" t="s">
        <v>87</v>
      </c>
    </row>
    <row r="215" spans="1:6" x14ac:dyDescent="0.25">
      <c r="A215" s="97" t="s">
        <v>90</v>
      </c>
      <c r="B215" s="31"/>
      <c r="C215" s="6">
        <v>131095</v>
      </c>
      <c r="D215" s="43" t="s">
        <v>19</v>
      </c>
      <c r="E215" s="18">
        <f t="shared" si="1"/>
        <v>195702.92999999993</v>
      </c>
      <c r="F215" s="71" t="s">
        <v>87</v>
      </c>
    </row>
    <row r="216" spans="1:6" x14ac:dyDescent="0.25">
      <c r="A216" s="97" t="s">
        <v>91</v>
      </c>
      <c r="B216" s="31"/>
      <c r="C216" s="6">
        <v>173900</v>
      </c>
      <c r="D216" s="43" t="s">
        <v>19</v>
      </c>
      <c r="E216" s="18">
        <f t="shared" si="1"/>
        <v>21802.929999999935</v>
      </c>
      <c r="F216" s="71"/>
    </row>
    <row r="217" spans="1:6" x14ac:dyDescent="0.25">
      <c r="A217" s="97" t="s">
        <v>92</v>
      </c>
      <c r="B217" s="31"/>
      <c r="C217" s="157">
        <v>10000</v>
      </c>
      <c r="D217" s="43" t="s">
        <v>19</v>
      </c>
      <c r="E217" s="159">
        <f t="shared" si="1"/>
        <v>11802.929999999935</v>
      </c>
      <c r="F217" s="160" t="s">
        <v>93</v>
      </c>
    </row>
    <row r="218" spans="1:6" x14ac:dyDescent="0.25">
      <c r="A218" s="97"/>
      <c r="B218" s="31">
        <v>1031344.52</v>
      </c>
      <c r="C218" s="158">
        <v>10000</v>
      </c>
      <c r="D218" s="43" t="s">
        <v>19</v>
      </c>
      <c r="E218" s="159">
        <f t="shared" si="1"/>
        <v>1033147.45</v>
      </c>
      <c r="F218" s="160" t="s">
        <v>94</v>
      </c>
    </row>
    <row r="219" spans="1:6" x14ac:dyDescent="0.25">
      <c r="A219" s="97"/>
      <c r="B219" s="31"/>
      <c r="C219" s="157">
        <v>121000</v>
      </c>
      <c r="D219" s="43" t="s">
        <v>19</v>
      </c>
      <c r="E219" s="159">
        <f t="shared" si="1"/>
        <v>912147.45</v>
      </c>
      <c r="F219" s="161" t="s">
        <v>95</v>
      </c>
    </row>
    <row r="220" spans="1:6" x14ac:dyDescent="0.25">
      <c r="A220" s="97" t="s">
        <v>96</v>
      </c>
      <c r="B220" s="31"/>
      <c r="C220" s="157">
        <v>90000</v>
      </c>
      <c r="D220" s="43" t="s">
        <v>19</v>
      </c>
      <c r="E220" s="159">
        <f t="shared" si="1"/>
        <v>822147.45</v>
      </c>
      <c r="F220" s="160" t="s">
        <v>94</v>
      </c>
    </row>
    <row r="221" spans="1:6" x14ac:dyDescent="0.25">
      <c r="A221" s="97"/>
      <c r="B221" s="31"/>
      <c r="C221" s="157">
        <v>90000</v>
      </c>
      <c r="D221" s="43" t="s">
        <v>19</v>
      </c>
      <c r="E221" s="159">
        <f t="shared" si="1"/>
        <v>732147.45</v>
      </c>
      <c r="F221" s="161" t="s">
        <v>93</v>
      </c>
    </row>
    <row r="222" spans="1:6" x14ac:dyDescent="0.25">
      <c r="A222" s="97"/>
      <c r="B222" s="31"/>
      <c r="C222" s="158">
        <v>20000</v>
      </c>
      <c r="D222" s="43" t="s">
        <v>19</v>
      </c>
      <c r="E222" s="159">
        <f t="shared" si="1"/>
        <v>712147.45</v>
      </c>
      <c r="F222" s="160" t="s">
        <v>97</v>
      </c>
    </row>
    <row r="223" spans="1:6" x14ac:dyDescent="0.25">
      <c r="A223" s="97" t="s">
        <v>101</v>
      </c>
      <c r="B223" s="31"/>
      <c r="C223" s="167">
        <v>2900.33</v>
      </c>
      <c r="D223" s="43" t="s">
        <v>22</v>
      </c>
      <c r="E223" s="159">
        <f t="shared" si="1"/>
        <v>709247.12</v>
      </c>
      <c r="F223" s="71" t="s">
        <v>99</v>
      </c>
    </row>
    <row r="224" spans="1:6" x14ac:dyDescent="0.25">
      <c r="A224" s="97"/>
      <c r="B224" s="31"/>
      <c r="C224" s="167">
        <v>2900.33</v>
      </c>
      <c r="D224" s="43" t="s">
        <v>22</v>
      </c>
      <c r="E224" s="159">
        <f t="shared" si="1"/>
        <v>706346.79</v>
      </c>
      <c r="F224" s="71" t="s">
        <v>100</v>
      </c>
    </row>
    <row r="225" spans="1:6" x14ac:dyDescent="0.25">
      <c r="A225" s="97"/>
      <c r="B225" s="31"/>
      <c r="C225" s="167">
        <v>9135</v>
      </c>
      <c r="D225" s="43" t="s">
        <v>22</v>
      </c>
      <c r="E225" s="159">
        <f t="shared" si="1"/>
        <v>697211.79</v>
      </c>
      <c r="F225" s="71" t="s">
        <v>102</v>
      </c>
    </row>
    <row r="226" spans="1:6" x14ac:dyDescent="0.25">
      <c r="A226" s="97"/>
      <c r="B226" s="31"/>
      <c r="C226" s="167">
        <v>9135</v>
      </c>
      <c r="D226" s="43" t="s">
        <v>22</v>
      </c>
      <c r="E226" s="159">
        <f t="shared" si="1"/>
        <v>688076.79</v>
      </c>
      <c r="F226" s="71" t="s">
        <v>103</v>
      </c>
    </row>
    <row r="227" spans="1:6" x14ac:dyDescent="0.25">
      <c r="A227" s="97"/>
      <c r="B227" s="31"/>
      <c r="C227" s="167">
        <v>10149.67</v>
      </c>
      <c r="D227" s="43" t="s">
        <v>22</v>
      </c>
      <c r="E227" s="159">
        <f t="shared" si="1"/>
        <v>677927.12</v>
      </c>
      <c r="F227" s="71" t="s">
        <v>104</v>
      </c>
    </row>
    <row r="228" spans="1:6" x14ac:dyDescent="0.25">
      <c r="A228" s="97"/>
      <c r="B228" s="31"/>
      <c r="C228" s="168">
        <v>11842.11</v>
      </c>
      <c r="D228" s="43" t="s">
        <v>22</v>
      </c>
      <c r="E228" s="159">
        <f t="shared" si="1"/>
        <v>666085.01</v>
      </c>
      <c r="F228" s="71" t="s">
        <v>105</v>
      </c>
    </row>
    <row r="229" spans="1:6" x14ac:dyDescent="0.25">
      <c r="A229" s="97"/>
      <c r="B229" s="31"/>
      <c r="C229" s="168">
        <v>63945.01</v>
      </c>
      <c r="D229" s="43" t="s">
        <v>22</v>
      </c>
      <c r="E229" s="159">
        <f t="shared" si="1"/>
        <v>602140</v>
      </c>
      <c r="F229" s="71" t="s">
        <v>106</v>
      </c>
    </row>
    <row r="230" spans="1:6" x14ac:dyDescent="0.25">
      <c r="A230" s="97"/>
      <c r="B230" s="31"/>
      <c r="C230" s="170">
        <v>420600</v>
      </c>
      <c r="D230" s="43" t="s">
        <v>19</v>
      </c>
      <c r="E230" s="159">
        <f t="shared" si="1"/>
        <v>181540</v>
      </c>
      <c r="F230" s="169" t="s">
        <v>95</v>
      </c>
    </row>
    <row r="231" spans="1:6" x14ac:dyDescent="0.25">
      <c r="A231" s="97"/>
      <c r="B231" s="31"/>
      <c r="C231" s="6">
        <v>30000</v>
      </c>
      <c r="D231" s="43" t="s">
        <v>19</v>
      </c>
      <c r="E231" s="159">
        <f t="shared" si="1"/>
        <v>151540</v>
      </c>
      <c r="F231" s="71" t="s">
        <v>107</v>
      </c>
    </row>
    <row r="232" spans="1:6" x14ac:dyDescent="0.25">
      <c r="A232" s="85" t="s">
        <v>109</v>
      </c>
      <c r="B232" s="6"/>
      <c r="C232" s="6">
        <v>10300</v>
      </c>
      <c r="D232" s="43" t="s">
        <v>19</v>
      </c>
      <c r="E232" s="159">
        <f t="shared" si="1"/>
        <v>141240</v>
      </c>
      <c r="F232" s="41" t="s">
        <v>108</v>
      </c>
    </row>
    <row r="233" spans="1:6" x14ac:dyDescent="0.25">
      <c r="A233" s="85" t="s">
        <v>112</v>
      </c>
      <c r="B233" s="6"/>
      <c r="C233" s="157">
        <v>43100</v>
      </c>
      <c r="D233" s="43" t="s">
        <v>19</v>
      </c>
      <c r="E233" s="159">
        <f t="shared" si="1"/>
        <v>98140</v>
      </c>
      <c r="F233" s="71" t="s">
        <v>110</v>
      </c>
    </row>
    <row r="234" spans="1:6" x14ac:dyDescent="0.25">
      <c r="A234" s="85"/>
      <c r="B234" s="6"/>
      <c r="C234" s="157">
        <v>28500</v>
      </c>
      <c r="D234" s="43" t="s">
        <v>19</v>
      </c>
      <c r="E234" s="159">
        <f t="shared" si="1"/>
        <v>69640</v>
      </c>
      <c r="F234" s="71" t="s">
        <v>111</v>
      </c>
    </row>
    <row r="235" spans="1:6" x14ac:dyDescent="0.25">
      <c r="A235" s="85"/>
      <c r="B235" s="6"/>
      <c r="C235" s="6">
        <v>5000</v>
      </c>
      <c r="D235" s="43" t="s">
        <v>19</v>
      </c>
      <c r="E235" s="159">
        <f t="shared" si="1"/>
        <v>64640</v>
      </c>
      <c r="F235" s="71" t="s">
        <v>113</v>
      </c>
    </row>
    <row r="236" spans="1:6" x14ac:dyDescent="0.25">
      <c r="A236" s="85" t="s">
        <v>120</v>
      </c>
      <c r="B236" s="6"/>
      <c r="C236" s="6">
        <v>5000</v>
      </c>
      <c r="D236" s="43" t="s">
        <v>19</v>
      </c>
      <c r="E236" s="159">
        <f t="shared" si="1"/>
        <v>59640</v>
      </c>
      <c r="F236" s="171" t="s">
        <v>114</v>
      </c>
    </row>
    <row r="237" spans="1:6" x14ac:dyDescent="0.25">
      <c r="A237" s="85"/>
      <c r="B237" s="6"/>
      <c r="C237" s="6">
        <v>5000</v>
      </c>
      <c r="D237" s="43" t="s">
        <v>19</v>
      </c>
      <c r="E237" s="159">
        <f t="shared" ref="E237:E240" si="3">E236+B237-C237</f>
        <v>54640</v>
      </c>
      <c r="F237" s="171" t="s">
        <v>115</v>
      </c>
    </row>
    <row r="238" spans="1:6" x14ac:dyDescent="0.25">
      <c r="A238" s="85"/>
      <c r="B238" s="6"/>
      <c r="C238" s="6">
        <v>5000</v>
      </c>
      <c r="D238" s="43" t="s">
        <v>19</v>
      </c>
      <c r="E238" s="159">
        <f t="shared" si="3"/>
        <v>49640</v>
      </c>
      <c r="F238" s="171" t="s">
        <v>116</v>
      </c>
    </row>
    <row r="239" spans="1:6" x14ac:dyDescent="0.25">
      <c r="A239" s="85"/>
      <c r="B239" s="6"/>
      <c r="C239" s="6">
        <v>5000</v>
      </c>
      <c r="D239" s="43" t="s">
        <v>19</v>
      </c>
      <c r="E239" s="159">
        <f t="shared" si="3"/>
        <v>44640</v>
      </c>
      <c r="F239" s="171" t="s">
        <v>117</v>
      </c>
    </row>
    <row r="240" spans="1:6" x14ac:dyDescent="0.25">
      <c r="A240" s="117" t="s">
        <v>119</v>
      </c>
      <c r="B240" s="119"/>
      <c r="C240" s="172">
        <v>44640</v>
      </c>
      <c r="D240" s="120" t="s">
        <v>19</v>
      </c>
      <c r="E240" s="173">
        <f t="shared" ref="E240:E241" si="4">E239+B240-C240</f>
        <v>0</v>
      </c>
      <c r="F240" s="174" t="s">
        <v>118</v>
      </c>
    </row>
    <row r="241" spans="1:6" x14ac:dyDescent="0.25">
      <c r="A241" s="175" t="s">
        <v>121</v>
      </c>
      <c r="B241" s="176"/>
      <c r="C241" s="176">
        <v>44640</v>
      </c>
      <c r="D241" s="176"/>
      <c r="E241" s="176">
        <f t="shared" ref="E241:E242" si="5">E240+B241-C241</f>
        <v>-44640</v>
      </c>
      <c r="F241" s="177" t="s">
        <v>118</v>
      </c>
    </row>
    <row r="242" spans="1:6" x14ac:dyDescent="0.25">
      <c r="A242" s="183"/>
      <c r="B242" s="184"/>
      <c r="C242" s="184">
        <v>7000</v>
      </c>
      <c r="D242" s="185"/>
      <c r="E242" s="184">
        <f t="shared" ref="E242:E243" si="6">E241+B242-C242</f>
        <v>-51640</v>
      </c>
      <c r="F242" s="186" t="s">
        <v>122</v>
      </c>
    </row>
    <row r="243" spans="1:6" x14ac:dyDescent="0.25">
      <c r="A243" s="183"/>
      <c r="B243" s="184"/>
      <c r="C243" s="184">
        <v>5000</v>
      </c>
      <c r="D243" s="185"/>
      <c r="E243" s="184">
        <f t="shared" si="6"/>
        <v>-56640</v>
      </c>
      <c r="F243" s="186" t="s">
        <v>123</v>
      </c>
    </row>
    <row r="244" spans="1:6" x14ac:dyDescent="0.25">
      <c r="A244" s="178"/>
      <c r="B244" s="179">
        <f t="shared" ref="B243:B244" si="7">SUM(B6:B243)</f>
        <v>6102125.8599999994</v>
      </c>
      <c r="C244" s="179">
        <f t="shared" ref="C243:C244" si="8">SUM(C6:C243)</f>
        <v>6174765.8599999994</v>
      </c>
      <c r="D244" s="180"/>
      <c r="E244" s="181"/>
      <c r="F244" s="182"/>
    </row>
  </sheetData>
  <pageMargins left="0" right="0" top="0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pane ySplit="1" topLeftCell="A10" activePane="bottomLeft" state="frozen"/>
      <selection pane="bottomLeft" activeCell="B10" sqref="B10"/>
    </sheetView>
  </sheetViews>
  <sheetFormatPr defaultColWidth="8.85546875" defaultRowHeight="15.75" x14ac:dyDescent="0.25"/>
  <cols>
    <col min="1" max="1" width="10" style="98" customWidth="1"/>
    <col min="2" max="2" width="16.140625" style="1" customWidth="1"/>
    <col min="3" max="3" width="14.7109375" style="1" customWidth="1"/>
    <col min="4" max="4" width="15.85546875" style="1" customWidth="1"/>
    <col min="5" max="5" width="14.28515625" style="141" customWidth="1"/>
    <col min="6" max="16384" width="8.85546875" style="41"/>
  </cols>
  <sheetData>
    <row r="1" spans="1:5" s="130" customFormat="1" ht="37.5" x14ac:dyDescent="0.25">
      <c r="A1" s="48" t="s">
        <v>17</v>
      </c>
      <c r="B1" s="48" t="s">
        <v>18</v>
      </c>
      <c r="C1" s="49" t="s">
        <v>9</v>
      </c>
      <c r="D1" s="49" t="s">
        <v>20</v>
      </c>
      <c r="E1" s="136" t="s">
        <v>7</v>
      </c>
    </row>
    <row r="2" spans="1:5" ht="16.5" thickBot="1" x14ac:dyDescent="0.3">
      <c r="A2" s="131"/>
      <c r="B2" s="132"/>
      <c r="C2" s="133"/>
      <c r="D2" s="133"/>
      <c r="E2" s="137">
        <v>0</v>
      </c>
    </row>
    <row r="3" spans="1:5" ht="16.5" thickBot="1" x14ac:dyDescent="0.3">
      <c r="A3" s="134" t="s">
        <v>76</v>
      </c>
      <c r="B3" s="135">
        <v>151200</v>
      </c>
      <c r="C3" s="135"/>
      <c r="D3" s="135"/>
      <c r="E3" s="138">
        <f t="shared" ref="E3:E22" si="0">E2+B3-C3</f>
        <v>151200</v>
      </c>
    </row>
    <row r="4" spans="1:5" x14ac:dyDescent="0.25">
      <c r="A4" s="89">
        <v>45766</v>
      </c>
      <c r="B4" s="18">
        <v>19800</v>
      </c>
      <c r="C4" s="18"/>
      <c r="D4" s="18"/>
      <c r="E4" s="139">
        <f t="shared" si="0"/>
        <v>171000</v>
      </c>
    </row>
    <row r="5" spans="1:5" x14ac:dyDescent="0.25">
      <c r="A5" s="85">
        <v>45770</v>
      </c>
      <c r="B5" s="6"/>
      <c r="C5" s="6">
        <v>169200</v>
      </c>
      <c r="D5" s="6" t="s">
        <v>78</v>
      </c>
      <c r="E5" s="140">
        <f t="shared" si="0"/>
        <v>1800</v>
      </c>
    </row>
    <row r="6" spans="1:5" x14ac:dyDescent="0.25">
      <c r="A6" s="85"/>
      <c r="B6" s="6"/>
      <c r="C6" s="6"/>
      <c r="D6" s="6"/>
      <c r="E6" s="140">
        <f t="shared" si="0"/>
        <v>1800</v>
      </c>
    </row>
    <row r="7" spans="1:5" x14ac:dyDescent="0.25">
      <c r="A7" s="85"/>
      <c r="B7" s="6"/>
      <c r="C7" s="6"/>
      <c r="D7" s="6"/>
      <c r="E7" s="140">
        <f t="shared" si="0"/>
        <v>1800</v>
      </c>
    </row>
    <row r="8" spans="1:5" x14ac:dyDescent="0.25">
      <c r="A8" s="85"/>
      <c r="B8" s="18"/>
      <c r="C8" s="6"/>
      <c r="D8" s="6"/>
      <c r="E8" s="140">
        <f t="shared" si="0"/>
        <v>1800</v>
      </c>
    </row>
    <row r="9" spans="1:5" x14ac:dyDescent="0.25">
      <c r="A9" s="93"/>
      <c r="B9" s="6"/>
      <c r="C9" s="6"/>
      <c r="D9" s="6"/>
      <c r="E9" s="140">
        <f t="shared" si="0"/>
        <v>1800</v>
      </c>
    </row>
    <row r="10" spans="1:5" x14ac:dyDescent="0.25">
      <c r="A10" s="93"/>
      <c r="B10" s="6"/>
      <c r="C10" s="6"/>
      <c r="D10" s="6"/>
      <c r="E10" s="140">
        <f t="shared" si="0"/>
        <v>1800</v>
      </c>
    </row>
    <row r="11" spans="1:5" x14ac:dyDescent="0.25">
      <c r="A11" s="93"/>
      <c r="B11" s="6"/>
      <c r="C11" s="6"/>
      <c r="D11" s="6"/>
      <c r="E11" s="140">
        <f t="shared" si="0"/>
        <v>1800</v>
      </c>
    </row>
    <row r="12" spans="1:5" x14ac:dyDescent="0.25">
      <c r="A12" s="93"/>
      <c r="B12" s="6"/>
      <c r="C12" s="6"/>
      <c r="D12" s="6"/>
      <c r="E12" s="140">
        <f t="shared" si="0"/>
        <v>1800</v>
      </c>
    </row>
    <row r="13" spans="1:5" x14ac:dyDescent="0.25">
      <c r="A13" s="93"/>
      <c r="B13" s="6"/>
      <c r="C13" s="6"/>
      <c r="D13" s="6"/>
      <c r="E13" s="140">
        <f t="shared" si="0"/>
        <v>1800</v>
      </c>
    </row>
    <row r="14" spans="1:5" x14ac:dyDescent="0.25">
      <c r="A14" s="93"/>
      <c r="B14" s="6"/>
      <c r="C14" s="6"/>
      <c r="D14" s="6"/>
      <c r="E14" s="140">
        <f t="shared" si="0"/>
        <v>1800</v>
      </c>
    </row>
    <row r="15" spans="1:5" x14ac:dyDescent="0.25">
      <c r="A15" s="93"/>
      <c r="B15" s="6"/>
      <c r="C15" s="6"/>
      <c r="D15" s="6"/>
      <c r="E15" s="140">
        <f t="shared" si="0"/>
        <v>1800</v>
      </c>
    </row>
    <row r="16" spans="1:5" x14ac:dyDescent="0.25">
      <c r="A16" s="93"/>
      <c r="B16" s="6"/>
      <c r="C16" s="6"/>
      <c r="D16" s="6"/>
      <c r="E16" s="140">
        <f t="shared" si="0"/>
        <v>1800</v>
      </c>
    </row>
    <row r="17" spans="1:5" x14ac:dyDescent="0.25">
      <c r="A17" s="93"/>
      <c r="B17" s="6"/>
      <c r="C17" s="6"/>
      <c r="D17" s="6"/>
      <c r="E17" s="140">
        <f t="shared" si="0"/>
        <v>1800</v>
      </c>
    </row>
    <row r="18" spans="1:5" x14ac:dyDescent="0.25">
      <c r="A18" s="85"/>
      <c r="B18" s="6"/>
      <c r="C18" s="6"/>
      <c r="D18" s="6"/>
      <c r="E18" s="140">
        <f t="shared" si="0"/>
        <v>1800</v>
      </c>
    </row>
    <row r="19" spans="1:5" x14ac:dyDescent="0.25">
      <c r="A19" s="85"/>
      <c r="B19" s="6"/>
      <c r="C19" s="6"/>
      <c r="D19" s="6"/>
      <c r="E19" s="140">
        <f t="shared" si="0"/>
        <v>1800</v>
      </c>
    </row>
    <row r="20" spans="1:5" x14ac:dyDescent="0.25">
      <c r="A20" s="85"/>
      <c r="B20" s="6"/>
      <c r="C20" s="6"/>
      <c r="D20" s="6"/>
      <c r="E20" s="140">
        <f t="shared" si="0"/>
        <v>1800</v>
      </c>
    </row>
    <row r="21" spans="1:5" x14ac:dyDescent="0.25">
      <c r="A21" s="85"/>
      <c r="B21" s="6"/>
      <c r="C21" s="6"/>
      <c r="D21" s="6"/>
      <c r="E21" s="140">
        <f t="shared" si="0"/>
        <v>1800</v>
      </c>
    </row>
    <row r="22" spans="1:5" x14ac:dyDescent="0.25">
      <c r="A22" s="85"/>
      <c r="B22" s="6"/>
      <c r="C22" s="6"/>
      <c r="D22" s="6"/>
      <c r="E22" s="140">
        <f t="shared" si="0"/>
        <v>1800</v>
      </c>
    </row>
    <row r="23" spans="1:5" x14ac:dyDescent="0.25">
      <c r="A23" s="86"/>
      <c r="B23" s="6">
        <f>SUM(B3:B22)</f>
        <v>171000</v>
      </c>
      <c r="C23" s="6">
        <f>SUM(C3:C22)</f>
        <v>169200</v>
      </c>
      <c r="D23" s="6"/>
      <c r="E23" s="14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Золотой Снек</vt:lpstr>
      <vt:lpstr>Акваэлемент</vt:lpstr>
      <vt:lpstr>ОптТорг</vt:lpstr>
      <vt:lpstr>Табель начисления Зп</vt:lpstr>
      <vt:lpstr>Табель наемные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2025-09-10T10:11:01Z</dcterms:modified>
</cp:coreProperties>
</file>