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8793B14-AD9D-419D-BE68-7986F49024D9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9" l="1"/>
  <c r="I20" i="19"/>
  <c r="I21" i="19"/>
  <c r="I22" i="19"/>
  <c r="I23" i="19"/>
  <c r="I24" i="19" s="1"/>
  <c r="I25" i="19" s="1"/>
  <c r="I26" i="19"/>
  <c r="G26" i="19"/>
  <c r="E26" i="19"/>
  <c r="E20" i="19"/>
  <c r="E17" i="12"/>
  <c r="E21" i="22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8" i="12"/>
  <c r="E19" i="12"/>
  <c r="E20" i="12"/>
  <c r="E21" i="12"/>
  <c r="E15" i="19"/>
  <c r="E16" i="19"/>
  <c r="E17" i="19"/>
  <c r="E18" i="19"/>
  <c r="E19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<sst xmlns="http://schemas.openxmlformats.org/spreadsheetml/2006/main" count="274" uniqueCount="77">
  <si>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</si>
  <si>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</si>
  <si>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</si>
  <si>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</si>
  <si>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</si>
  <si>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</si>
  <si>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</si>
  <si>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</si>
  <si>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</si>
  <si>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</si>
  <si>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</si>
  <si>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</si>
  <si>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</si>
  <si>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</si>
  <si>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</si>
  <si>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</si>
  <si>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</si>
  <si>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</si>
  <si>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</si>
  <si>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</si>
  <si>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</si>
  <si>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</si>
  <si>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</si>
  <si>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</si>
  <si>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</si>
  <si>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</si>
  <si>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</si>
  <si>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</si>
  <si>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</si>
  <si>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</si>
  <si>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</si>
  <si>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</si>
  <si>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</si>
  <si>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</si>
  <si>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</si>
  <si>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</si>
  <si>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</si>
  <si>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</si>
  <si>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</si>
  <si>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</si>
  <si>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</si>
  <si>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</si>
  <si>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</si>
  <si>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</si>
  <si>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</si>
  <si>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</si>
  <si>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</si>
  <si>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</si>
  <si>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</si>
  <si>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</si>
  <si>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</si>
  <si>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</si>
  <si>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</si>
  <si>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</si>
  <si>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</si>
  <si>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</si>
  <si>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</si>
  <si>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</si>
  <si>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</si>
  <si>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</si>
  <si>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</si>
  <si>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</si>
  <si>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</si>
  <si>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</si>
  <si>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</si>
  <si>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</si>
  <si>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</si>
  <si>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</si>
  <si>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</si>
  <si>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</si>
  <si>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</si>
  <si>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</si>
  <si>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</si>
  <si>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01.09.2025</t>
  </si>
  <si>
    <t>Пленка палет</t>
  </si>
  <si>
    <t xml:space="preserve">Пленка Арахисовая тарелка Smakky Asian Mix 200г. </t>
  </si>
  <si>
    <t>Пленка Арахисовая КВАДРОМИКС "Тарелка" 240*315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</si>
</sst>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4" fontId="12" fillId="5" borderId="4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164" fontId="2" fillId="2" borderId="5" xfId="0" applyNumberFormat="1" applyFont="1" applyFill="1" applyBorder="1" applyAlignment="1">
      <alignment vertical="center" wrapText="1"/>
    </xf>
    <xf numFmtId="0" fontId="3" fillId="0" borderId="6" xfId="0" applyFont="1" applyBorder="1"/>
    <xf numFmtId="0" fontId="1" fillId="0" borderId="6" xfId="0" applyFont="1" applyBorder="1"/>
    <xf numFmtId="164" fontId="1" fillId="0" borderId="6" xfId="0" applyNumberFormat="1" applyFont="1" applyBorder="1"/>
    <xf numFmtId="2" fontId="1" fillId="0" borderId="6" xfId="0" applyNumberFormat="1" applyFont="1" applyBorder="1"/>
    <xf numFmtId="16" fontId="1" fillId="0" borderId="6" xfId="0" applyNumberFormat="1" applyFont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164" fontId="2" fillId="3" borderId="6" xfId="0" applyNumberFormat="1" applyFont="1" applyFill="1" applyBorder="1"/>
    <xf numFmtId="0" fontId="1" fillId="0" borderId="7" xfId="0" applyFont="1" applyBorder="1"/>
    <xf numFmtId="164" fontId="1" fillId="0" borderId="7" xfId="0" applyNumberFormat="1" applyFont="1" applyBorder="1"/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 t="s">
        <v>73</v>
      </c>
      <c r="G5" s="6">
        <v>4604</v>
      </c>
      <c r="H5" s="3" t="s">
        <v>10</v>
      </c>
      <c r="I5" s="6">
        <f t="shared" si="1"/>
        <v>4604.0000000000009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1412.0000000000009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1412.0000000000009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1412.0000000000009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1412.0000000000009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1412.0000000000009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1412.0000000000009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1412.0000000000009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1412.0000000000009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1412.0000000000009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1412.0000000000009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1412.0000000000009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1412.0000000000009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1412.0000000000009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1412.0000000000009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1412.0000000000009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1412.0000000000009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x14ac:dyDescent="0.25">
      <c r="A24" s="3"/>
      <c r="B24" s="28"/>
      <c r="C24" s="20"/>
      <c r="D24" s="21"/>
      <c r="E24" s="21"/>
      <c r="F24" s="3"/>
      <c r="G24" s="6"/>
      <c r="H24" s="3"/>
      <c r="I24" s="21">
        <f t="shared" si="0"/>
        <v>-36071.203999999998</v>
      </c>
    </row>
    <row r="25" spans="1:9" x14ac:dyDescent="0.25">
      <c r="A25" s="3"/>
      <c r="B25" s="28"/>
      <c r="C25" s="20"/>
      <c r="D25" s="21"/>
      <c r="E25" s="21"/>
      <c r="F25" s="3"/>
      <c r="G25" s="6"/>
      <c r="H25" s="3"/>
      <c r="I25" s="21">
        <f t="shared" si="0"/>
        <v>-36071.203999999998</v>
      </c>
    </row>
    <row r="26" spans="1:9" x14ac:dyDescent="0.25">
      <c r="A26" s="3"/>
      <c r="B26" s="28"/>
      <c r="C26" s="20"/>
      <c r="D26" s="21"/>
      <c r="E26" s="21"/>
      <c r="F26" s="3"/>
      <c r="G26" s="6"/>
      <c r="H26" s="3"/>
      <c r="I26" s="21">
        <f t="shared" si="0"/>
        <v>-36071.203999999998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-36071.203999999998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-36071.203999999998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-36071.203999999998</v>
      </c>
    </row>
    <row r="30" spans="1:9" x14ac:dyDescent="0.25">
      <c r="E30" s="37">
        <f>SUM(E3:E27)</f>
        <v>1055498.804</v>
      </c>
      <c r="G30" s="7">
        <f>SUM(G2:G28)</f>
        <v>1019427.6</v>
      </c>
      <c r="I30" s="37">
        <f>G30-E30</f>
        <v>-36071.204000000027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6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61" t="s">
        <v>70</v>
      </c>
      <c r="C19" s="62">
        <v>9.1999999999999993</v>
      </c>
      <c r="D19" s="6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 t="s">
        <v>73</v>
      </c>
      <c r="B20" s="3" t="s">
        <v>75</v>
      </c>
      <c r="C20" s="8">
        <v>15.38</v>
      </c>
      <c r="D20" s="6">
        <v>850</v>
      </c>
      <c r="E20" s="6">
        <f>C20*D20</f>
        <v>13073</v>
      </c>
      <c r="F20" s="3" t="s">
        <v>72</v>
      </c>
      <c r="G20" s="64">
        <v>6728.28</v>
      </c>
      <c r="H20" s="3"/>
      <c r="I20" s="6">
        <f t="shared" ref="I20:I25" si="3">I19-E20+G20</f>
        <v>519910.28</v>
      </c>
    </row>
    <row r="21" spans="1:9" x14ac:dyDescent="0.25">
      <c r="A21" s="3" t="s">
        <v>73</v>
      </c>
      <c r="B21" s="3" t="s">
        <v>76</v>
      </c>
      <c r="C21" s="8">
        <v>16.8</v>
      </c>
      <c r="D21" s="6">
        <v>741</v>
      </c>
      <c r="E21" s="6">
        <f>C21*D21</f>
        <v>12448.800000000001</v>
      </c>
      <c r="F21" s="3"/>
      <c r="G21" s="6"/>
      <c r="H21" s="3"/>
      <c r="I21" s="6">
        <f t="shared" si="3"/>
        <v>507461.48000000004</v>
      </c>
    </row>
    <row r="22" spans="1:9" x14ac:dyDescent="0.25">
      <c r="I22" s="7">
        <f t="shared" si="3"/>
        <v>507461.48000000004</v>
      </c>
    </row>
    <row r="23" spans="1:9" x14ac:dyDescent="0.25">
      <c r="I23" s="7">
        <f t="shared" si="3"/>
        <v>507461.48000000004</v>
      </c>
    </row>
    <row r="24" spans="1:9" x14ac:dyDescent="0.25">
      <c r="I24" s="7">
        <f t="shared" si="3"/>
        <v>507461.48000000004</v>
      </c>
    </row>
    <row r="25" spans="1:9" x14ac:dyDescent="0.25">
      <c r="I25" s="7">
        <f t="shared" si="3"/>
        <v>507461.48000000004</v>
      </c>
    </row>
    <row r="26" spans="1:9" x14ac:dyDescent="0.25">
      <c r="E26" s="7">
        <f>SUM(E2:E25)</f>
        <v>1799433.9000000001</v>
      </c>
      <c r="G26" s="7">
        <f>SUM(G2:G25)</f>
        <v>2306895.38</v>
      </c>
      <c r="I26" s="7">
        <f>G26-E26</f>
        <v>507461.47999999975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41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41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2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65" t="s">
        <v>0</v>
      </c>
      <c r="B1" s="65" t="s">
        <v>1</v>
      </c>
      <c r="C1" s="65" t="s">
        <v>2</v>
      </c>
      <c r="D1" s="66" t="s">
        <v>3</v>
      </c>
      <c r="E1" s="66" t="s">
        <v>4</v>
      </c>
      <c r="F1" s="65" t="s">
        <v>5</v>
      </c>
      <c r="G1" s="66" t="s">
        <v>6</v>
      </c>
      <c r="H1" s="65" t="s">
        <v>7</v>
      </c>
      <c r="I1" s="66" t="s">
        <v>8</v>
      </c>
    </row>
    <row r="2" spans="1:9" x14ac:dyDescent="0.25">
      <c r="A2" s="67" t="s">
        <v>9</v>
      </c>
      <c r="B2" s="68"/>
      <c r="C2" s="68"/>
      <c r="D2" s="69"/>
      <c r="E2" s="69"/>
      <c r="F2" s="68"/>
      <c r="G2" s="69"/>
      <c r="H2" s="68"/>
      <c r="I2" s="69">
        <v>0</v>
      </c>
    </row>
    <row r="3" spans="1:9" x14ac:dyDescent="0.25">
      <c r="A3" s="68"/>
      <c r="B3" s="68"/>
      <c r="C3" s="70"/>
      <c r="D3" s="69"/>
      <c r="E3" s="69"/>
      <c r="F3" s="71">
        <v>45616</v>
      </c>
      <c r="G3" s="69">
        <v>4640</v>
      </c>
      <c r="H3" s="68" t="s">
        <v>10</v>
      </c>
      <c r="I3" s="69">
        <f>I2-E3+G3</f>
        <v>4640</v>
      </c>
    </row>
    <row r="4" spans="1:9" x14ac:dyDescent="0.25">
      <c r="A4" s="71"/>
      <c r="B4" s="68"/>
      <c r="C4" s="70"/>
      <c r="D4" s="69"/>
      <c r="E4" s="69">
        <f>C4*D4</f>
        <v>0</v>
      </c>
      <c r="F4" s="68"/>
      <c r="G4" s="69"/>
      <c r="H4" s="68"/>
      <c r="I4" s="69">
        <f t="shared" ref="I4:I21" si="0">I3-E4+G4</f>
        <v>4640</v>
      </c>
    </row>
    <row r="5" spans="1:9" x14ac:dyDescent="0.25">
      <c r="A5" s="68"/>
      <c r="B5" s="68"/>
      <c r="C5" s="70">
        <v>1600</v>
      </c>
      <c r="D5" s="69">
        <v>2.9</v>
      </c>
      <c r="E5" s="69">
        <f>C5*D5</f>
        <v>4640</v>
      </c>
      <c r="F5" s="68"/>
      <c r="G5" s="69"/>
      <c r="H5" s="68"/>
      <c r="I5" s="69">
        <f t="shared" si="0"/>
        <v>0</v>
      </c>
    </row>
    <row r="6" spans="1:9" x14ac:dyDescent="0.25">
      <c r="A6" s="68"/>
      <c r="B6" s="68"/>
      <c r="C6" s="70"/>
      <c r="D6" s="69"/>
      <c r="E6" s="69">
        <f t="shared" ref="E6:E9" si="1">C6*D6</f>
        <v>0</v>
      </c>
      <c r="F6" s="71">
        <v>45636</v>
      </c>
      <c r="G6" s="69">
        <v>9283.6</v>
      </c>
      <c r="H6" s="68" t="s">
        <v>10</v>
      </c>
      <c r="I6" s="69">
        <f t="shared" si="0"/>
        <v>9283.6</v>
      </c>
    </row>
    <row r="7" spans="1:9" x14ac:dyDescent="0.25">
      <c r="A7" s="71">
        <v>45639</v>
      </c>
      <c r="B7" s="68" t="s">
        <v>40</v>
      </c>
      <c r="C7" s="70">
        <v>100</v>
      </c>
      <c r="D7" s="69">
        <v>18</v>
      </c>
      <c r="E7" s="69">
        <f t="shared" si="1"/>
        <v>1800</v>
      </c>
      <c r="F7" s="68"/>
      <c r="G7" s="69"/>
      <c r="H7" s="68"/>
      <c r="I7" s="69">
        <f t="shared" si="0"/>
        <v>7483.6</v>
      </c>
    </row>
    <row r="8" spans="1:9" x14ac:dyDescent="0.25">
      <c r="A8" s="68"/>
      <c r="B8" s="68" t="s">
        <v>41</v>
      </c>
      <c r="C8" s="70">
        <v>1000</v>
      </c>
      <c r="D8" s="69">
        <v>3.7</v>
      </c>
      <c r="E8" s="69">
        <f t="shared" si="1"/>
        <v>3700</v>
      </c>
      <c r="F8" s="68"/>
      <c r="G8" s="69"/>
      <c r="H8" s="68"/>
      <c r="I8" s="69">
        <f t="shared" si="0"/>
        <v>3783.6000000000004</v>
      </c>
    </row>
    <row r="9" spans="1:9" x14ac:dyDescent="0.25">
      <c r="A9" s="68"/>
      <c r="B9" s="68" t="s">
        <v>42</v>
      </c>
      <c r="C9" s="70">
        <v>36</v>
      </c>
      <c r="D9" s="69">
        <v>105.1</v>
      </c>
      <c r="E9" s="69">
        <f t="shared" si="1"/>
        <v>3783.6</v>
      </c>
      <c r="F9" s="68"/>
      <c r="G9" s="69"/>
      <c r="H9" s="68"/>
      <c r="I9" s="69">
        <f t="shared" si="0"/>
        <v>4.5474735088646412E-13</v>
      </c>
    </row>
    <row r="10" spans="1:9" x14ac:dyDescent="0.25">
      <c r="A10" s="72" t="s">
        <v>12</v>
      </c>
      <c r="B10" s="72"/>
      <c r="C10" s="73"/>
      <c r="D10" s="74"/>
      <c r="E10" s="74"/>
      <c r="F10" s="72"/>
      <c r="G10" s="74"/>
      <c r="H10" s="72"/>
      <c r="I10" s="74">
        <f t="shared" si="0"/>
        <v>4.5474735088646412E-13</v>
      </c>
    </row>
    <row r="11" spans="1:9" x14ac:dyDescent="0.25">
      <c r="A11" s="68"/>
      <c r="B11" s="68"/>
      <c r="C11" s="70"/>
      <c r="D11" s="69"/>
      <c r="E11" s="69"/>
      <c r="F11" s="71">
        <v>45680</v>
      </c>
      <c r="G11" s="69">
        <v>26767.200000000001</v>
      </c>
      <c r="H11" s="68" t="s">
        <v>10</v>
      </c>
      <c r="I11" s="69">
        <f t="shared" si="0"/>
        <v>26767.200000000001</v>
      </c>
    </row>
    <row r="12" spans="1:9" x14ac:dyDescent="0.25">
      <c r="A12" s="71">
        <v>45681</v>
      </c>
      <c r="B12" s="68" t="s">
        <v>43</v>
      </c>
      <c r="C12" s="70">
        <v>60</v>
      </c>
      <c r="D12" s="69">
        <v>446.12</v>
      </c>
      <c r="E12" s="69">
        <f t="shared" ref="E12" si="2">C12*D12</f>
        <v>26767.200000000001</v>
      </c>
      <c r="F12" s="68"/>
      <c r="G12" s="69"/>
      <c r="H12" s="68"/>
      <c r="I12" s="69">
        <f t="shared" si="0"/>
        <v>0</v>
      </c>
    </row>
    <row r="13" spans="1:9" x14ac:dyDescent="0.25">
      <c r="A13" s="72"/>
      <c r="B13" s="72"/>
      <c r="C13" s="73"/>
      <c r="D13" s="74"/>
      <c r="E13" s="74"/>
      <c r="F13" s="72"/>
      <c r="G13" s="74"/>
      <c r="H13" s="72"/>
      <c r="I13" s="74">
        <f t="shared" si="0"/>
        <v>0</v>
      </c>
    </row>
    <row r="14" spans="1:9" x14ac:dyDescent="0.25">
      <c r="A14" s="68"/>
      <c r="B14" s="68"/>
      <c r="C14" s="70"/>
      <c r="D14" s="69"/>
      <c r="E14" s="69"/>
      <c r="F14" s="71">
        <v>45740</v>
      </c>
      <c r="G14" s="69">
        <v>25969.200000000001</v>
      </c>
      <c r="H14" s="68" t="s">
        <v>10</v>
      </c>
      <c r="I14" s="69">
        <f t="shared" si="0"/>
        <v>25969.200000000001</v>
      </c>
    </row>
    <row r="15" spans="1:9" x14ac:dyDescent="0.25">
      <c r="A15" s="71">
        <v>45742</v>
      </c>
      <c r="B15" s="68" t="s">
        <v>43</v>
      </c>
      <c r="C15" s="70">
        <v>60</v>
      </c>
      <c r="D15" s="69">
        <v>432.82</v>
      </c>
      <c r="E15" s="69">
        <f t="shared" ref="E15:E21" si="3">C15*D15</f>
        <v>25969.200000000001</v>
      </c>
      <c r="F15" s="68"/>
      <c r="G15" s="69"/>
      <c r="H15" s="68"/>
      <c r="I15" s="69">
        <f t="shared" si="0"/>
        <v>0</v>
      </c>
    </row>
    <row r="16" spans="1:9" x14ac:dyDescent="0.25">
      <c r="A16" s="68" t="s">
        <v>64</v>
      </c>
      <c r="B16" s="68" t="s">
        <v>61</v>
      </c>
      <c r="C16" s="70">
        <v>5</v>
      </c>
      <c r="D16" s="69">
        <v>432.82</v>
      </c>
      <c r="E16" s="69">
        <f t="shared" si="3"/>
        <v>2164.1</v>
      </c>
      <c r="F16" s="68"/>
      <c r="G16" s="69"/>
      <c r="H16" s="68"/>
      <c r="I16" s="69">
        <f t="shared" si="0"/>
        <v>-2164.1</v>
      </c>
    </row>
    <row r="17" spans="1:9" x14ac:dyDescent="0.25">
      <c r="A17" s="68" t="s">
        <v>73</v>
      </c>
      <c r="B17" s="68" t="s">
        <v>74</v>
      </c>
      <c r="C17" s="70">
        <v>16</v>
      </c>
      <c r="D17" s="69">
        <v>432.82</v>
      </c>
      <c r="E17" s="69">
        <f>C17*D17</f>
        <v>6925.12</v>
      </c>
      <c r="F17" s="68"/>
      <c r="G17" s="69"/>
      <c r="H17" s="68"/>
      <c r="I17" s="69">
        <f t="shared" si="0"/>
        <v>-9089.2199999999993</v>
      </c>
    </row>
    <row r="18" spans="1:9" x14ac:dyDescent="0.25">
      <c r="A18" s="68"/>
      <c r="B18" s="68"/>
      <c r="C18" s="70"/>
      <c r="D18" s="69"/>
      <c r="E18" s="69">
        <f t="shared" si="3"/>
        <v>0</v>
      </c>
      <c r="F18" s="68"/>
      <c r="G18" s="69"/>
      <c r="H18" s="68"/>
      <c r="I18" s="69">
        <f t="shared" si="0"/>
        <v>-9089.2199999999993</v>
      </c>
    </row>
    <row r="19" spans="1:9" x14ac:dyDescent="0.25">
      <c r="A19" s="68"/>
      <c r="B19" s="68"/>
      <c r="C19" s="70"/>
      <c r="D19" s="69"/>
      <c r="E19" s="69">
        <f t="shared" si="3"/>
        <v>0</v>
      </c>
      <c r="F19" s="68"/>
      <c r="G19" s="69"/>
      <c r="H19" s="68"/>
      <c r="I19" s="69">
        <f t="shared" si="0"/>
        <v>-9089.2199999999993</v>
      </c>
    </row>
    <row r="20" spans="1:9" x14ac:dyDescent="0.25">
      <c r="A20" s="68"/>
      <c r="B20" s="68"/>
      <c r="C20" s="70"/>
      <c r="D20" s="69"/>
      <c r="E20" s="69">
        <f t="shared" si="3"/>
        <v>0</v>
      </c>
      <c r="F20" s="68"/>
      <c r="G20" s="69"/>
      <c r="H20" s="68"/>
      <c r="I20" s="69">
        <f t="shared" si="0"/>
        <v>-9089.2199999999993</v>
      </c>
    </row>
    <row r="21" spans="1:9" x14ac:dyDescent="0.25">
      <c r="A21" s="68"/>
      <c r="B21" s="68"/>
      <c r="C21" s="70"/>
      <c r="D21" s="69"/>
      <c r="E21" s="69">
        <f t="shared" si="3"/>
        <v>0</v>
      </c>
      <c r="F21" s="68"/>
      <c r="G21" s="69"/>
      <c r="H21" s="68"/>
      <c r="I21" s="69">
        <f t="shared" si="0"/>
        <v>-9089.2199999999993</v>
      </c>
    </row>
    <row r="22" spans="1:9" x14ac:dyDescent="0.25">
      <c r="A22" s="75"/>
      <c r="B22" s="75"/>
      <c r="C22" s="75"/>
      <c r="D22" s="76"/>
      <c r="E22" s="76"/>
      <c r="F22" s="75"/>
      <c r="G22" s="76"/>
      <c r="H22" s="75"/>
      <c r="I22" s="7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tabSelected="1"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2025-09-24T12:49:26Z</dcterms:modified>
  <cp:category/>
  <cp:contentStatus/>
</cp:coreProperties>
</file>