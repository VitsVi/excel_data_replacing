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files\"/>
    </mc:Choice>
  </mc:AlternateContent>
  <xr:revisionPtr revIDLastSave="0" documentId="13_ncr:1_{D4BD3079-DA2A-4A36-9CE7-660466B11023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10.09.2025" sheetId="1" r:id="rId1"/>
    <sheet name="09.09.2025" sheetId="2" r:id="rId2"/>
    <sheet name="08.09.2025" sheetId="3" r:id="rId3"/>
    <sheet name="07.09.2025" sheetId="4" r:id="rId4"/>
    <sheet name="06.09.2025" sheetId="5" r:id="rId5"/>
    <sheet name="05.09.2025" sheetId="6" r:id="rId6"/>
    <sheet name="04.09.2025" sheetId="7" r:id="rId7"/>
    <sheet name="03.09.2025 " sheetId="8" r:id="rId8"/>
    <sheet name="02.09.2025" sheetId="9" r:id="rId9"/>
    <sheet name="01.09.202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0" l="1"/>
  <c r="G121" i="10"/>
  <c r="E121" i="10"/>
  <c r="I104" i="10"/>
  <c r="G104" i="10"/>
  <c r="F104" i="10"/>
  <c r="E104" i="10"/>
  <c r="H73" i="10"/>
  <c r="F73" i="10"/>
  <c r="F74" i="10" s="1"/>
  <c r="D73" i="10"/>
  <c r="B73" i="10"/>
  <c r="H47" i="10"/>
  <c r="D47" i="10"/>
  <c r="H45" i="10"/>
  <c r="H44" i="10"/>
  <c r="H43" i="10"/>
  <c r="H42" i="10"/>
  <c r="H41" i="10"/>
  <c r="H40" i="10"/>
  <c r="H39" i="10"/>
  <c r="H38" i="10"/>
  <c r="H36" i="10"/>
  <c r="H35" i="10"/>
  <c r="H34" i="10"/>
  <c r="H33" i="10"/>
  <c r="F23" i="10"/>
  <c r="E23" i="10"/>
  <c r="B107" i="10" s="1"/>
  <c r="I9" i="10"/>
  <c r="G9" i="10"/>
  <c r="I8" i="10"/>
  <c r="G8" i="10"/>
  <c r="I7" i="10"/>
  <c r="G7" i="10"/>
  <c r="I6" i="10"/>
  <c r="G6" i="10"/>
  <c r="I5" i="10"/>
  <c r="G5" i="10"/>
  <c r="I4" i="10"/>
  <c r="G4" i="10"/>
  <c r="H121" i="9"/>
  <c r="E121" i="9"/>
  <c r="G111" i="9"/>
  <c r="G110" i="9"/>
  <c r="G121" i="9" s="1"/>
  <c r="F104" i="9"/>
  <c r="E104" i="9"/>
  <c r="I81" i="9"/>
  <c r="G81" i="9"/>
  <c r="I80" i="9"/>
  <c r="G80" i="9"/>
  <c r="I79" i="9"/>
  <c r="I104" i="9" s="1"/>
  <c r="G79" i="9"/>
  <c r="H73" i="9"/>
  <c r="F73" i="9"/>
  <c r="F74" i="9" s="1"/>
  <c r="D73" i="9"/>
  <c r="B73" i="9"/>
  <c r="B74" i="9" s="1"/>
  <c r="D47" i="9"/>
  <c r="H45" i="9"/>
  <c r="H44" i="9"/>
  <c r="H43" i="9"/>
  <c r="H42" i="9"/>
  <c r="H41" i="9"/>
  <c r="H40" i="9"/>
  <c r="H39" i="9"/>
  <c r="H38" i="9"/>
  <c r="H36" i="9"/>
  <c r="H47" i="9" s="1"/>
  <c r="H35" i="9"/>
  <c r="H34" i="9"/>
  <c r="H33" i="9"/>
  <c r="F23" i="9"/>
  <c r="E23" i="9"/>
  <c r="I19" i="9"/>
  <c r="G19" i="9"/>
  <c r="I18" i="9"/>
  <c r="G18" i="9"/>
  <c r="I17" i="9"/>
  <c r="G17" i="9"/>
  <c r="I16" i="9"/>
  <c r="G16" i="9"/>
  <c r="I15" i="9"/>
  <c r="G15" i="9"/>
  <c r="I14" i="9"/>
  <c r="G14" i="9"/>
  <c r="I13" i="9"/>
  <c r="G13" i="9"/>
  <c r="I12" i="9"/>
  <c r="G12" i="9"/>
  <c r="I11" i="9"/>
  <c r="G11" i="9"/>
  <c r="I10" i="9"/>
  <c r="G10" i="9"/>
  <c r="I9" i="9"/>
  <c r="G9" i="9"/>
  <c r="I8" i="9"/>
  <c r="G8" i="9"/>
  <c r="I7" i="9"/>
  <c r="G7" i="9"/>
  <c r="I6" i="9"/>
  <c r="G6" i="9"/>
  <c r="I5" i="9"/>
  <c r="G5" i="9"/>
  <c r="I4" i="9"/>
  <c r="I23" i="9" s="1"/>
  <c r="C107" i="9" s="1"/>
  <c r="G4" i="9"/>
  <c r="H121" i="8"/>
  <c r="G121" i="8"/>
  <c r="E121" i="8"/>
  <c r="I104" i="8"/>
  <c r="G104" i="8"/>
  <c r="F104" i="8"/>
  <c r="E104" i="8"/>
  <c r="H73" i="8"/>
  <c r="F73" i="8"/>
  <c r="D73" i="8"/>
  <c r="B73" i="8"/>
  <c r="B74" i="8" s="1"/>
  <c r="D47" i="8"/>
  <c r="H45" i="8"/>
  <c r="H44" i="8"/>
  <c r="H43" i="8"/>
  <c r="H42" i="8"/>
  <c r="H41" i="8"/>
  <c r="H40" i="8"/>
  <c r="H39" i="8"/>
  <c r="H38" i="8"/>
  <c r="H36" i="8"/>
  <c r="H47" i="8" s="1"/>
  <c r="H35" i="8"/>
  <c r="H34" i="8"/>
  <c r="H33" i="8"/>
  <c r="F23" i="8"/>
  <c r="E23" i="8"/>
  <c r="G16" i="8"/>
  <c r="G15" i="8"/>
  <c r="G14" i="8"/>
  <c r="G13" i="8"/>
  <c r="G12" i="8"/>
  <c r="G11" i="8"/>
  <c r="I10" i="8"/>
  <c r="G10" i="8"/>
  <c r="I9" i="8"/>
  <c r="G9" i="8"/>
  <c r="I8" i="8"/>
  <c r="G8" i="8"/>
  <c r="I7" i="8"/>
  <c r="G7" i="8"/>
  <c r="I6" i="8"/>
  <c r="G6" i="8"/>
  <c r="I5" i="8"/>
  <c r="G5" i="8"/>
  <c r="I4" i="8"/>
  <c r="G4" i="8"/>
  <c r="H121" i="7"/>
  <c r="G121" i="7"/>
  <c r="E121" i="7"/>
  <c r="I104" i="7"/>
  <c r="G104" i="7"/>
  <c r="F104" i="7"/>
  <c r="E104" i="7"/>
  <c r="H73" i="7"/>
  <c r="F73" i="7"/>
  <c r="F74" i="7" s="1"/>
  <c r="D73" i="7"/>
  <c r="B73" i="7"/>
  <c r="D47" i="7"/>
  <c r="H45" i="7"/>
  <c r="H44" i="7"/>
  <c r="H43" i="7"/>
  <c r="H42" i="7"/>
  <c r="H41" i="7"/>
  <c r="H40" i="7"/>
  <c r="H39" i="7"/>
  <c r="H38" i="7"/>
  <c r="H36" i="7"/>
  <c r="H35" i="7"/>
  <c r="H34" i="7"/>
  <c r="H33" i="7"/>
  <c r="I23" i="7"/>
  <c r="C107" i="7" s="1"/>
  <c r="G23" i="7"/>
  <c r="F23" i="7"/>
  <c r="E23" i="7"/>
  <c r="B107" i="7" s="1"/>
  <c r="H121" i="6"/>
  <c r="G114" i="6"/>
  <c r="E114" i="6"/>
  <c r="G113" i="6"/>
  <c r="E113" i="6"/>
  <c r="G112" i="6"/>
  <c r="E112" i="6"/>
  <c r="G111" i="6"/>
  <c r="E111" i="6"/>
  <c r="G110" i="6"/>
  <c r="E110" i="6"/>
  <c r="F104" i="6"/>
  <c r="E104" i="6"/>
  <c r="I89" i="6"/>
  <c r="G89" i="6"/>
  <c r="I88" i="6"/>
  <c r="G88" i="6"/>
  <c r="I87" i="6"/>
  <c r="G87" i="6"/>
  <c r="I86" i="6"/>
  <c r="G86" i="6"/>
  <c r="I85" i="6"/>
  <c r="G85" i="6"/>
  <c r="I84" i="6"/>
  <c r="G84" i="6"/>
  <c r="I83" i="6"/>
  <c r="G83" i="6"/>
  <c r="I82" i="6"/>
  <c r="G82" i="6"/>
  <c r="I81" i="6"/>
  <c r="G81" i="6"/>
  <c r="I80" i="6"/>
  <c r="G80" i="6"/>
  <c r="I79" i="6"/>
  <c r="G79" i="6"/>
  <c r="H73" i="6"/>
  <c r="F73" i="6"/>
  <c r="D73" i="6"/>
  <c r="B73" i="6"/>
  <c r="B74" i="6" s="1"/>
  <c r="H45" i="6"/>
  <c r="D45" i="6"/>
  <c r="H44" i="6"/>
  <c r="D44" i="6"/>
  <c r="H43" i="6"/>
  <c r="D43" i="6"/>
  <c r="H42" i="6"/>
  <c r="H41" i="6"/>
  <c r="H40" i="6"/>
  <c r="H39" i="6"/>
  <c r="H38" i="6"/>
  <c r="H36" i="6"/>
  <c r="H47" i="6" s="1"/>
  <c r="H35" i="6"/>
  <c r="H34" i="6"/>
  <c r="H33" i="6"/>
  <c r="F23" i="6"/>
  <c r="E23" i="6"/>
  <c r="I4" i="6"/>
  <c r="I23" i="6" s="1"/>
  <c r="G4" i="6"/>
  <c r="G23" i="6" s="1"/>
  <c r="H121" i="5"/>
  <c r="G121" i="5"/>
  <c r="E121" i="5"/>
  <c r="B107" i="5"/>
  <c r="I104" i="5"/>
  <c r="C107" i="5" s="1"/>
  <c r="G104" i="5"/>
  <c r="F104" i="5"/>
  <c r="E104" i="5"/>
  <c r="H73" i="5"/>
  <c r="F73" i="5"/>
  <c r="F74" i="5" s="1"/>
  <c r="D73" i="5"/>
  <c r="B73" i="5"/>
  <c r="B74" i="5" s="1"/>
  <c r="D47" i="5"/>
  <c r="H45" i="5"/>
  <c r="H44" i="5"/>
  <c r="H43" i="5"/>
  <c r="H42" i="5"/>
  <c r="H41" i="5"/>
  <c r="H40" i="5"/>
  <c r="H39" i="5"/>
  <c r="H38" i="5"/>
  <c r="H36" i="5"/>
  <c r="H47" i="5" s="1"/>
  <c r="H35" i="5"/>
  <c r="H34" i="5"/>
  <c r="H33" i="5"/>
  <c r="I23" i="5"/>
  <c r="G23" i="5"/>
  <c r="F23" i="5"/>
  <c r="E23" i="5"/>
  <c r="H121" i="4"/>
  <c r="G121" i="4"/>
  <c r="E121" i="4"/>
  <c r="I104" i="4"/>
  <c r="G104" i="4"/>
  <c r="F104" i="4"/>
  <c r="E104" i="4"/>
  <c r="H73" i="4"/>
  <c r="F73" i="4"/>
  <c r="F74" i="4" s="1"/>
  <c r="D73" i="4"/>
  <c r="B73" i="4"/>
  <c r="B74" i="4" s="1"/>
  <c r="D47" i="4"/>
  <c r="H45" i="4"/>
  <c r="H44" i="4"/>
  <c r="H43" i="4"/>
  <c r="H42" i="4"/>
  <c r="H41" i="4"/>
  <c r="H40" i="4"/>
  <c r="H39" i="4"/>
  <c r="H38" i="4"/>
  <c r="H36" i="4"/>
  <c r="H47" i="4" s="1"/>
  <c r="H35" i="4"/>
  <c r="H34" i="4"/>
  <c r="H33" i="4"/>
  <c r="I23" i="4"/>
  <c r="G23" i="4"/>
  <c r="F23" i="4"/>
  <c r="E23" i="4"/>
  <c r="B107" i="4" s="1"/>
  <c r="H121" i="3"/>
  <c r="G121" i="3"/>
  <c r="E121" i="3"/>
  <c r="I104" i="3"/>
  <c r="G104" i="3"/>
  <c r="F104" i="3"/>
  <c r="E104" i="3"/>
  <c r="H73" i="3"/>
  <c r="F73" i="3"/>
  <c r="D73" i="3"/>
  <c r="B73" i="3"/>
  <c r="D47" i="3"/>
  <c r="H45" i="3"/>
  <c r="H44" i="3"/>
  <c r="H43" i="3"/>
  <c r="H42" i="3"/>
  <c r="H41" i="3"/>
  <c r="H40" i="3"/>
  <c r="H39" i="3"/>
  <c r="H38" i="3"/>
  <c r="H36" i="3"/>
  <c r="H47" i="3" s="1"/>
  <c r="H35" i="3"/>
  <c r="H34" i="3"/>
  <c r="H33" i="3"/>
  <c r="I23" i="3"/>
  <c r="G23" i="3"/>
  <c r="F23" i="3"/>
  <c r="E23" i="3"/>
  <c r="B107" i="3" s="1"/>
  <c r="E121" i="2"/>
  <c r="G113" i="2"/>
  <c r="E111" i="2"/>
  <c r="F104" i="2"/>
  <c r="E104" i="2"/>
  <c r="I86" i="2"/>
  <c r="G86" i="2"/>
  <c r="B86" i="2"/>
  <c r="I85" i="2"/>
  <c r="G85" i="2"/>
  <c r="B85" i="2"/>
  <c r="G84" i="2"/>
  <c r="B84" i="2"/>
  <c r="G83" i="2"/>
  <c r="B83" i="2"/>
  <c r="I82" i="2"/>
  <c r="G82" i="2"/>
  <c r="B82" i="2"/>
  <c r="I81" i="2"/>
  <c r="G81" i="2"/>
  <c r="B81" i="2"/>
  <c r="I80" i="2"/>
  <c r="G80" i="2"/>
  <c r="B80" i="2"/>
  <c r="H111" i="2" s="1"/>
  <c r="G111" i="2" s="1"/>
  <c r="I79" i="2"/>
  <c r="G79" i="2"/>
  <c r="B79" i="2"/>
  <c r="F74" i="2"/>
  <c r="H73" i="2"/>
  <c r="F73" i="2"/>
  <c r="D73" i="2"/>
  <c r="B73" i="2"/>
  <c r="D47" i="2"/>
  <c r="H45" i="2"/>
  <c r="H44" i="2"/>
  <c r="H43" i="2"/>
  <c r="H42" i="2"/>
  <c r="H41" i="2"/>
  <c r="H40" i="2"/>
  <c r="H39" i="2"/>
  <c r="H38" i="2"/>
  <c r="H36" i="2"/>
  <c r="H35" i="2"/>
  <c r="H34" i="2"/>
  <c r="H33" i="2"/>
  <c r="F23" i="2"/>
  <c r="E23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I4" i="2"/>
  <c r="G4" i="2"/>
  <c r="H121" i="1"/>
  <c r="G121" i="1"/>
  <c r="E121" i="1"/>
  <c r="I104" i="1"/>
  <c r="G104" i="1"/>
  <c r="F104" i="1"/>
  <c r="E104" i="1"/>
  <c r="H73" i="1"/>
  <c r="F73" i="1"/>
  <c r="D73" i="1"/>
  <c r="B73" i="1"/>
  <c r="H47" i="1"/>
  <c r="D47" i="1"/>
  <c r="H45" i="1"/>
  <c r="H44" i="1"/>
  <c r="H43" i="1"/>
  <c r="H42" i="1"/>
  <c r="H41" i="1"/>
  <c r="H40" i="1"/>
  <c r="H39" i="1"/>
  <c r="H38" i="1"/>
  <c r="H36" i="1"/>
  <c r="H35" i="1"/>
  <c r="H34" i="1"/>
  <c r="H33" i="1"/>
  <c r="F23" i="1"/>
  <c r="E23" i="1"/>
  <c r="B107" i="1" s="1"/>
  <c r="I13" i="1"/>
  <c r="G13" i="1"/>
  <c r="I12" i="1"/>
  <c r="G12" i="1"/>
  <c r="G11" i="1"/>
  <c r="I11" i="1" s="1"/>
  <c r="I10" i="1"/>
  <c r="G10" i="1"/>
  <c r="I9" i="1"/>
  <c r="G9" i="1"/>
  <c r="G8" i="1"/>
  <c r="I8" i="1" s="1"/>
  <c r="I7" i="1"/>
  <c r="G7" i="1"/>
  <c r="I6" i="1"/>
  <c r="G6" i="1"/>
  <c r="G5" i="1"/>
  <c r="I5" i="1" s="1"/>
  <c r="I4" i="1"/>
  <c r="G4" i="1"/>
  <c r="G121" i="2" l="1"/>
  <c r="G23" i="1"/>
  <c r="B74" i="1"/>
  <c r="C75" i="1" s="1"/>
  <c r="G23" i="2"/>
  <c r="H112" i="2"/>
  <c r="G112" i="2" s="1"/>
  <c r="F74" i="3"/>
  <c r="B74" i="10"/>
  <c r="C75" i="10" s="1"/>
  <c r="I23" i="1"/>
  <c r="C107" i="1" s="1"/>
  <c r="B74" i="2"/>
  <c r="C75" i="2" s="1"/>
  <c r="G104" i="2"/>
  <c r="B107" i="2" s="1"/>
  <c r="C107" i="3"/>
  <c r="C107" i="4"/>
  <c r="B74" i="7"/>
  <c r="C75" i="7" s="1"/>
  <c r="I23" i="8"/>
  <c r="C107" i="8" s="1"/>
  <c r="F74" i="8"/>
  <c r="C75" i="8" s="1"/>
  <c r="G104" i="9"/>
  <c r="I104" i="2"/>
  <c r="C107" i="2" s="1"/>
  <c r="F74" i="6"/>
  <c r="G23" i="8"/>
  <c r="B107" i="8"/>
  <c r="F74" i="1"/>
  <c r="I23" i="2"/>
  <c r="H47" i="2"/>
  <c r="C75" i="4"/>
  <c r="C75" i="5"/>
  <c r="G104" i="6"/>
  <c r="B107" i="6" s="1"/>
  <c r="E121" i="6"/>
  <c r="H47" i="7"/>
  <c r="C75" i="9"/>
  <c r="I23" i="10"/>
  <c r="C107" i="10" s="1"/>
  <c r="C75" i="6"/>
  <c r="B74" i="3"/>
  <c r="C75" i="3" s="1"/>
  <c r="C107" i="6"/>
  <c r="D47" i="6"/>
  <c r="I104" i="6"/>
  <c r="G121" i="6"/>
  <c r="G23" i="9"/>
  <c r="G23" i="10"/>
  <c r="B107" i="9"/>
  <c r="H121" i="2"/>
</calcChain>
</file>

<file path=xl/sharedStrings.xml><?xml version="1.0" encoding="utf-8"?>
<sst xmlns="http://schemas.openxmlformats.org/spreadsheetml/2006/main" count="1084" uniqueCount="229">
  <si>
    <t>Контрагент</t>
  </si>
  <si>
    <t xml:space="preserve">поставщик </t>
  </si>
  <si>
    <t>наименование</t>
  </si>
  <si>
    <t>вес упаковки, тарелки</t>
  </si>
  <si>
    <t>кол.-во пакетов, коробок</t>
  </si>
  <si>
    <t>кол-во мест в коробке/упаковке</t>
  </si>
  <si>
    <t>общий вес, кг.</t>
  </si>
  <si>
    <t>цена пакет, тарелка</t>
  </si>
  <si>
    <t>сумма</t>
  </si>
  <si>
    <t>себестоимость</t>
  </si>
  <si>
    <t>Опт Торг</t>
  </si>
  <si>
    <t>Снекпром</t>
  </si>
  <si>
    <t>арахис ж/с 1 кг</t>
  </si>
  <si>
    <t>оплатят 14.09.2025</t>
  </si>
  <si>
    <t>арахис ж/с вкус бекон 1 кг</t>
  </si>
  <si>
    <t>арахис ж/с вкус васаби 1 кг</t>
  </si>
  <si>
    <t>арахис ж/с вкус краб 1 кг</t>
  </si>
  <si>
    <t>арахис ж/с вкус с копченостями 1 кг</t>
  </si>
  <si>
    <t>арахис ж/с вкус красная икра 1 кг</t>
  </si>
  <si>
    <t>арахис ж/с вкус сыр 1 кг</t>
  </si>
  <si>
    <t>арахис ж/с вкус холодец 1 кг</t>
  </si>
  <si>
    <t>арахис ж/с вкус креветка 1 кг</t>
  </si>
  <si>
    <t>арахис ж/с вкус шашлык 1 кг</t>
  </si>
  <si>
    <t xml:space="preserve">Поступление от </t>
  </si>
  <si>
    <t>примечание</t>
  </si>
  <si>
    <t>Касса</t>
  </si>
  <si>
    <t>Производство</t>
  </si>
  <si>
    <t xml:space="preserve">Бухгалтерия </t>
  </si>
  <si>
    <t>Остаток на начало дня:</t>
  </si>
  <si>
    <t>Итого приход:</t>
  </si>
  <si>
    <t>Расход за день:</t>
  </si>
  <si>
    <t>презент для первой земельной компании</t>
  </si>
  <si>
    <t>Итого расход:</t>
  </si>
  <si>
    <t>Остаток на конец дня:</t>
  </si>
  <si>
    <t>Расчётный счёт</t>
  </si>
  <si>
    <t>Уралсиб</t>
  </si>
  <si>
    <t>Остаток на начало дня :</t>
  </si>
  <si>
    <t>Поступление</t>
  </si>
  <si>
    <t>Расход</t>
  </si>
  <si>
    <t xml:space="preserve">Поступление </t>
  </si>
  <si>
    <t>от кого</t>
  </si>
  <si>
    <t>кому</t>
  </si>
  <si>
    <t xml:space="preserve">кому </t>
  </si>
  <si>
    <t xml:space="preserve">от кого </t>
  </si>
  <si>
    <t xml:space="preserve">сумма </t>
  </si>
  <si>
    <t>ФИЛИАЛ "ЦЕНТРАЛЬНЫЙ" БАНКА ВТБ (ПАО)</t>
  </si>
  <si>
    <t>ООО "ВКУСНЫЙ ОРЕХ" за фисташки</t>
  </si>
  <si>
    <t>ООО "КОМПАНИЯ "ОПТТОРГ"</t>
  </si>
  <si>
    <t>БАНК ВТБ (ПАО) г. Москва комиссия</t>
  </si>
  <si>
    <t>ООО "СНЕКПРОМ" возврат депозита 1456000</t>
  </si>
  <si>
    <t>ООО "ВСЕИНСТРУМЕНТЫ.РУ" за пленку</t>
  </si>
  <si>
    <t>ООО"ДЕЛОВЫЕ ЛИНИИ" транспортные услуги</t>
  </si>
  <si>
    <t>Третьякова Екатерина Александровна работы с печкой</t>
  </si>
  <si>
    <t>ООО "ПРОМСТЕКЛОСНАБ" транспортные услуги</t>
  </si>
  <si>
    <t>ООО "СНЕКПРОМ" депозит 1779000</t>
  </si>
  <si>
    <t xml:space="preserve">Остаток на конец дня </t>
  </si>
  <si>
    <t>ИТОГО:</t>
  </si>
  <si>
    <t>Реализация по безналичному расчёту</t>
  </si>
  <si>
    <t>кол-во паллет</t>
  </si>
  <si>
    <t>КОМПАНИЯ ОПТТОРГ ООО</t>
  </si>
  <si>
    <t xml:space="preserve">Арахис жарено несолёный </t>
  </si>
  <si>
    <t>самовывоз</t>
  </si>
  <si>
    <t>реализация Всего касса+безнал:</t>
  </si>
  <si>
    <t>кг</t>
  </si>
  <si>
    <t>на сумму</t>
  </si>
  <si>
    <t>Услуги оказывают нам (доставка сырья и комплектующих на склад, Товара покупателям)</t>
  </si>
  <si>
    <t>вид услуги</t>
  </si>
  <si>
    <t>Кому / От кого</t>
  </si>
  <si>
    <t xml:space="preserve">город доставки </t>
  </si>
  <si>
    <t>цена</t>
  </si>
  <si>
    <t>Кол-во паллет</t>
  </si>
  <si>
    <t>Услуги оказываем мы</t>
  </si>
  <si>
    <t>вес, кг, шт</t>
  </si>
  <si>
    <t>№УПД</t>
  </si>
  <si>
    <t>ИП1</t>
  </si>
  <si>
    <t>барбекю 110 гр</t>
  </si>
  <si>
    <t>васаби 110 гр</t>
  </si>
  <si>
    <t>сыр лук 110 гр</t>
  </si>
  <si>
    <t>сметана зелень 110 гр</t>
  </si>
  <si>
    <t>арахис ассорти 200 гр</t>
  </si>
  <si>
    <t>квадромикс 200 гр</t>
  </si>
  <si>
    <t>фисташки ж/с 110 гр</t>
  </si>
  <si>
    <t>образцы</t>
  </si>
  <si>
    <t xml:space="preserve">поступление ИП1 </t>
  </si>
  <si>
    <t>квартира Андреев А.</t>
  </si>
  <si>
    <t>билеты (командировка Беларусь)</t>
  </si>
  <si>
    <t>ФИЛИАЛ "ЦЕНТРАЛЬНЫЙ" БАНКА ВТБ (ПАО) % по депозиту</t>
  </si>
  <si>
    <t>АО "АЛЬФА-БАНК" комиссия за аудз</t>
  </si>
  <si>
    <t>ООО "ЛЕНТА" за арахис</t>
  </si>
  <si>
    <t>ООО "СНЕКПРОМ" возврат депозита 1273000</t>
  </si>
  <si>
    <t>ООО "ЭКОЛАБ" дератизация</t>
  </si>
  <si>
    <t>ООО "ГАЗПРОМ МЕЖРЕГИОНГАЗ РЯЗАНЬ" за газ</t>
  </si>
  <si>
    <t>ООО "ЭКОЛАБ" за дезинсекцию</t>
  </si>
  <si>
    <t>ООО "РУССКИЕ МЕЛЬНИЦЫ" за муку</t>
  </si>
  <si>
    <t>АО "АЛЬФА-БАНК" комиссия за факторинг</t>
  </si>
  <si>
    <t>ООО "СНЕКПРОМ" депозит 1456000</t>
  </si>
  <si>
    <t>ЭЛЕМЕНТ-ТРЕЙД ООО</t>
  </si>
  <si>
    <t>Арахис в хрустящей корочке "Квадромикс", тарелка 200 г</t>
  </si>
  <si>
    <t>уфа</t>
  </si>
  <si>
    <t>Ассорти арахиса жареного со специями, тарелка 200 г</t>
  </si>
  <si>
    <t>ЯНДЕКС.ЛАВКА ООО</t>
  </si>
  <si>
    <t>Арахис в хрустящей корочке Васаби 0,1 кг.</t>
  </si>
  <si>
    <t>мск</t>
  </si>
  <si>
    <t>Арахис в хрустящей корочке Чили 0,1 кг.</t>
  </si>
  <si>
    <t>ЛЕНТА ООО</t>
  </si>
  <si>
    <t xml:space="preserve">SMAKKY Арахис Classic mix,тарелка </t>
  </si>
  <si>
    <t xml:space="preserve">SMAKKY Арахис Asian mix, тарелка </t>
  </si>
  <si>
    <t>спб</t>
  </si>
  <si>
    <t>Арахис в хрустящей корочке Сыр 0,1 кг.</t>
  </si>
  <si>
    <t>Промстеклоснаб</t>
  </si>
  <si>
    <t>доставка</t>
  </si>
  <si>
    <t>ФМ, Яндекс Лавка/Снекпром</t>
  </si>
  <si>
    <t>арахис</t>
  </si>
  <si>
    <t>Большое Толбино, МСК</t>
  </si>
  <si>
    <t>ФМ</t>
  </si>
  <si>
    <t>Элемент трейд</t>
  </si>
  <si>
    <t>Лента</t>
  </si>
  <si>
    <t>Лешино</t>
  </si>
  <si>
    <t>мешки</t>
  </si>
  <si>
    <t>Филиал в Тульской и Рязанской областях ПАО "Ростелеком" оплата тарифа 360</t>
  </si>
  <si>
    <t>ООО "СНГ" за арахис</t>
  </si>
  <si>
    <t>ООО "ЮГ-ЛОГИСТИКА" транспортные услуги</t>
  </si>
  <si>
    <t>ООО "СНЕКПРОМ" возврат депозита 490000</t>
  </si>
  <si>
    <t>ООО "ЭКО-ПРОНСК" вывоз мусора</t>
  </si>
  <si>
    <t>ОБЩЕСТВО С ОГРАНИЧЕННОЙ ОТВЕТСТВЕННОСТЬЮ "ЯНДЕКС.ЛАВКА" за арахис</t>
  </si>
  <si>
    <t>ООО "ПЛАСТИК" за тарелки</t>
  </si>
  <si>
    <t>ИП КИМ ИРИНА ИГОРЕВНА  за масло</t>
  </si>
  <si>
    <t>АО "ФМ ЛОЖИСТИК ВОСТОК" транспортные услуги</t>
  </si>
  <si>
    <t>ООО "СНЕКПРОМ" депозит 1273000</t>
  </si>
  <si>
    <t>ч/л</t>
  </si>
  <si>
    <t>поступление ч/л</t>
  </si>
  <si>
    <t>з/п сотрудники август</t>
  </si>
  <si>
    <t>з/п Матвиенко август</t>
  </si>
  <si>
    <t>з/п Саманков август</t>
  </si>
  <si>
    <t>лекарства для аптеке</t>
  </si>
  <si>
    <t>з/п Савин август</t>
  </si>
  <si>
    <t>работы Третьяков Евгений</t>
  </si>
  <si>
    <t>доставка металла</t>
  </si>
  <si>
    <t>солярка погрузчик</t>
  </si>
  <si>
    <t>Гаращенко Наталья Георгиевна зарплата за август</t>
  </si>
  <si>
    <t>ООО "СНЕКПРОМ" перевод средств</t>
  </si>
  <si>
    <t>АО "АЛЬФА-БАНК" зарплата за август</t>
  </si>
  <si>
    <t>ООО "ЗОЛОТОЙ СНЕК" за арахис</t>
  </si>
  <si>
    <t>Алехин Анатолий Викторович зарплата за август</t>
  </si>
  <si>
    <t>ООО "СНЕКПРОМ" возврат депозита 619000</t>
  </si>
  <si>
    <t>Чижиков Александр Викторович зарплата за август</t>
  </si>
  <si>
    <t>Моторина Надежда Александровна зарплата за август</t>
  </si>
  <si>
    <t>Филиал № 3652 Банк ВТБ (ПАО) в г. Воронеже зарплата за август</t>
  </si>
  <si>
    <t>ООО "СНЕКПРОМ" депозит 490000</t>
  </si>
  <si>
    <t>Элемент-трейд</t>
  </si>
  <si>
    <t>Пермь</t>
  </si>
  <si>
    <t>Екб</t>
  </si>
  <si>
    <t>Нефтеюганск</t>
  </si>
  <si>
    <t>Арахис в хрустящей корочке Васаби 0,11 кг</t>
  </si>
  <si>
    <t>Арахис в хрустящей корочке Сметана зелень 0,11 кг</t>
  </si>
  <si>
    <t>SMAKKY Арахис Classic mix,тарелка 200 г</t>
  </si>
  <si>
    <t>СПБ</t>
  </si>
  <si>
    <t>SMAKKY Арахис Asian mix, тарелка 200 г</t>
  </si>
  <si>
    <t>ФМ Лоджистик</t>
  </si>
  <si>
    <t>Смайли</t>
  </si>
  <si>
    <t xml:space="preserve">ИП Савин </t>
  </si>
  <si>
    <t>ФМ логистик</t>
  </si>
  <si>
    <t>снеки</t>
  </si>
  <si>
    <t>подольск</t>
  </si>
  <si>
    <t>краска, кисточки, круг отрезной</t>
  </si>
  <si>
    <t>ООО "СНАБЖЕНИЕ"  за материалы</t>
  </si>
  <si>
    <t>АО "АЛЬФА-БАНК"  факторинг</t>
  </si>
  <si>
    <t>Алехин Анатолий Викторович отпускные</t>
  </si>
  <si>
    <t>ООО "СНЕКПРОМ" возврат депозита 133000</t>
  </si>
  <si>
    <t>Хомутская Нина Михайловна отпускные</t>
  </si>
  <si>
    <t>ЗАО ТФД "БРОК-ИНВЕСТ-СЕРВИС И К"  за трубы</t>
  </si>
  <si>
    <t>ОБЩЕСТВО С ОГРАНИЧЕННОЙ ОТВЕТСТВЕННОСТЬЮ "СНЕКПРОМ" перевод средств</t>
  </si>
  <si>
    <t>ИП Харламова Александра Михайловна за услуги персоналу</t>
  </si>
  <si>
    <t>ООО "СНЕКПРОМ" 619000</t>
  </si>
  <si>
    <t>образцы за 02.09</t>
  </si>
  <si>
    <t xml:space="preserve">поступление </t>
  </si>
  <si>
    <t>ФИЛИАЛ "ЦЕНТРАЛЬНЫЙ" БАНКА ВТБ (ПАО) комиссия</t>
  </si>
  <si>
    <t>ООО "СНЕКПРОМ" возврат депозита 139000</t>
  </si>
  <si>
    <t>Казначейство России (ФНС России) налоги</t>
  </si>
  <si>
    <t>ООО "СНЕКПРОМ" депозит 133000</t>
  </si>
  <si>
    <t>ИП Супрунов</t>
  </si>
  <si>
    <t>оплатит 10.09.</t>
  </si>
  <si>
    <t>ахо микс 0,5 кг</t>
  </si>
  <si>
    <t>ахо бекон 0,5 кг</t>
  </si>
  <si>
    <t>ахо васаби 0,5 кг</t>
  </si>
  <si>
    <t>ахо барбекю 0,5 кг</t>
  </si>
  <si>
    <t>ахо шашлык 0,5 кг</t>
  </si>
  <si>
    <t>арахис ж/с васаби 0,5 кг</t>
  </si>
  <si>
    <t>арахис ж/с холодец 0,5 кг</t>
  </si>
  <si>
    <t>арахис ж/c cметана зелень 0,5 кг</t>
  </si>
  <si>
    <t>арахис ж/с сыр 0,5 кг</t>
  </si>
  <si>
    <t>фисташки ж/c 0,5 кг</t>
  </si>
  <si>
    <t>поступление ИП 1</t>
  </si>
  <si>
    <t>поступление Третьякова</t>
  </si>
  <si>
    <t>поступление Мастеркова</t>
  </si>
  <si>
    <t>комиссия Третьякова</t>
  </si>
  <si>
    <t>работа/монтаж лестница на загрузочный бункер (проект Третьяков)</t>
  </si>
  <si>
    <t>комиссия ИП1</t>
  </si>
  <si>
    <t>комиссия Мастеркова</t>
  </si>
  <si>
    <t>почта</t>
  </si>
  <si>
    <t>чай/кофе</t>
  </si>
  <si>
    <t>АО "АЛЬФА-БАНК" факторинг</t>
  </si>
  <si>
    <t>ООО "КОМПАНИЯ СМАЙЛИ" за арахис</t>
  </si>
  <si>
    <t>Королева Маргарита Вадимовна разработка ХАССП</t>
  </si>
  <si>
    <t>ООО "СНЕКПРОМ" возврат депозита 244000</t>
  </si>
  <si>
    <t>ООО "СНЕКПРОМ" депозит 139000</t>
  </si>
  <si>
    <t>Третьякова Екатерина Александровна ремонт фасовочной машины</t>
  </si>
  <si>
    <t>ИП Головлин Александр Алексеевич оплата аренды</t>
  </si>
  <si>
    <t>ИП Мастеркова Оксана Валерьевна маркетинговые мероприятия</t>
  </si>
  <si>
    <t>Челябинск</t>
  </si>
  <si>
    <t>Москва</t>
  </si>
  <si>
    <t>челябинск</t>
  </si>
  <si>
    <t>Новоселки</t>
  </si>
  <si>
    <t>образец</t>
  </si>
  <si>
    <t>аранда квартиры Матвиенко/Саманков</t>
  </si>
  <si>
    <t>АО "Альфа-Банк" комиссия</t>
  </si>
  <si>
    <t>ООО "ЮГ-ЛОГИСТИКА"/ транспортные услуги</t>
  </si>
  <si>
    <t>ООО "КИП ТЕХНО"/ за детали</t>
  </si>
  <si>
    <t>ООО"ДЕЛОВЫЕ ЛИНИИ"/ транспортные услуги</t>
  </si>
  <si>
    <t>ООО "ИНТЕРНЕТ РЕШЕНИЯ"/ хозтовары</t>
  </si>
  <si>
    <t>ООО "СТЭК"/ обслуживание 1с</t>
  </si>
  <si>
    <t>ООО "СНЕКПРОМ"/ депозит 244000</t>
  </si>
  <si>
    <t>ООО "РЕСУРС ГРУПП"/ за крахмал</t>
  </si>
  <si>
    <t>ООО "ЛЕНТА"/ за арахис</t>
  </si>
  <si>
    <t>ОБЩЕСТВО С ОГРАНИЧЕННОЙ ОТВЕТСТВЕННОСТЬЮ "СНЕКПРОМ"/ перевод средств</t>
  </si>
  <si>
    <t>ООО "Интернет-Решения"/  хозтовары</t>
  </si>
  <si>
    <t>ИТОГО</t>
  </si>
  <si>
    <t>Расчетный счет</t>
  </si>
  <si>
    <t>Остаток на конец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</si>
</sst>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₽&quot;;[Red]\-#,##0.00\ &quot;₽&quot;"/>
    <numFmt numFmtId="164" formatCode="0.000"/>
    <numFmt numFmtId="165" formatCode="#,##0.000\ &quot;₽&quot;"/>
    <numFmt numFmtId="166" formatCode="#,##0.00\ &quot;₽&quot;"/>
    <numFmt numFmtId="167" formatCode="0.0"/>
    <numFmt numFmtId="168" formatCode="#,##0.00\ _₽"/>
    <numFmt numFmtId="169" formatCode="#,##0.00[$ ₽]"/>
  </numFmts>
  <fonts count="14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Times New Roman"/>
    </font>
    <font>
      <sz val="10"/>
      <color theme="1"/>
      <name val="Arial"/>
      <scheme val="minor"/>
    </font>
    <font>
      <b/>
      <sz val="18"/>
      <color theme="1"/>
      <name val="Calibri"/>
    </font>
    <font>
      <sz val="10"/>
      <color theme="1"/>
      <name val="Arial"/>
    </font>
    <font>
      <sz val="10"/>
      <name val="Arial"/>
    </font>
    <font>
      <sz val="11"/>
      <color rgb="FF000000"/>
      <name val="Calibri"/>
    </font>
    <font>
      <b/>
      <i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0F9ED5"/>
        <bgColor rgb="FF0F9ED5"/>
      </patternFill>
    </fill>
    <fill>
      <patternFill patternType="solid">
        <fgColor rgb="FFFDC7EB"/>
        <bgColor rgb="FFFDC7EB"/>
      </patternFill>
    </fill>
    <fill>
      <patternFill patternType="solid">
        <fgColor rgb="FFD8D8D8"/>
        <bgColor rgb="FFD8D8D8"/>
      </patternFill>
    </fill>
    <fill>
      <patternFill patternType="solid">
        <fgColor rgb="FF4EA72E"/>
        <bgColor rgb="FF4EA72E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164" fontId="3" fillId="3" borderId="2" xfId="0" applyNumberFormat="1" applyFont="1" applyFill="1" applyBorder="1" applyAlignment="1">
      <alignment wrapText="1"/>
    </xf>
    <xf numFmtId="164" fontId="4" fillId="3" borderId="2" xfId="0" applyNumberFormat="1" applyFont="1" applyFill="1" applyBorder="1" applyAlignment="1">
      <alignment wrapText="1"/>
    </xf>
    <xf numFmtId="164" fontId="4" fillId="4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5" fillId="0" borderId="0" xfId="0" applyFont="1"/>
    <xf numFmtId="2" fontId="3" fillId="4" borderId="2" xfId="0" applyNumberFormat="1" applyFont="1" applyFill="1" applyBorder="1" applyAlignment="1">
      <alignment horizontal="center"/>
    </xf>
    <xf numFmtId="0" fontId="1" fillId="4" borderId="3" xfId="0" applyFont="1" applyFill="1" applyBorder="1"/>
    <xf numFmtId="0" fontId="1" fillId="4" borderId="2" xfId="0" applyFont="1" applyFill="1" applyBorder="1"/>
    <xf numFmtId="165" fontId="1" fillId="4" borderId="3" xfId="0" applyNumberFormat="1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2" fontId="2" fillId="2" borderId="2" xfId="0" applyNumberFormat="1" applyFont="1" applyFill="1" applyBorder="1" applyAlignment="1">
      <alignment horizontal="right"/>
    </xf>
    <xf numFmtId="166" fontId="1" fillId="2" borderId="2" xfId="0" applyNumberFormat="1" applyFont="1" applyFill="1" applyBorder="1"/>
    <xf numFmtId="0" fontId="1" fillId="0" borderId="5" xfId="0" applyFont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0" borderId="7" xfId="0" applyFont="1" applyBorder="1"/>
    <xf numFmtId="0" fontId="1" fillId="6" borderId="3" xfId="0" applyFont="1" applyFill="1" applyBorder="1"/>
    <xf numFmtId="2" fontId="1" fillId="0" borderId="2" xfId="0" applyNumberFormat="1" applyFont="1" applyBorder="1"/>
    <xf numFmtId="0" fontId="1" fillId="0" borderId="8" xfId="0" applyFont="1" applyBorder="1"/>
    <xf numFmtId="2" fontId="1" fillId="4" borderId="2" xfId="0" applyNumberFormat="1" applyFont="1" applyFill="1" applyBorder="1"/>
    <xf numFmtId="0" fontId="1" fillId="4" borderId="6" xfId="0" applyFont="1" applyFill="1" applyBorder="1"/>
    <xf numFmtId="0" fontId="6" fillId="0" borderId="9" xfId="0" applyFont="1" applyBorder="1" applyAlignment="1">
      <alignment horizontal="center"/>
    </xf>
    <xf numFmtId="0" fontId="1" fillId="0" borderId="9" xfId="0" applyFont="1" applyBorder="1"/>
    <xf numFmtId="0" fontId="2" fillId="7" borderId="6" xfId="0" applyFont="1" applyFill="1" applyBorder="1" applyAlignment="1">
      <alignment horizontal="center"/>
    </xf>
    <xf numFmtId="0" fontId="1" fillId="7" borderId="10" xfId="0" applyFont="1" applyFill="1" applyBorder="1"/>
    <xf numFmtId="0" fontId="1" fillId="7" borderId="7" xfId="0" applyFont="1" applyFill="1" applyBorder="1"/>
    <xf numFmtId="0" fontId="2" fillId="8" borderId="2" xfId="0" applyFont="1" applyFill="1" applyBorder="1"/>
    <xf numFmtId="0" fontId="1" fillId="8" borderId="2" xfId="0" applyFont="1" applyFill="1" applyBorder="1"/>
    <xf numFmtId="166" fontId="1" fillId="8" borderId="2" xfId="0" applyNumberFormat="1" applyFont="1" applyFill="1" applyBorder="1"/>
    <xf numFmtId="166" fontId="2" fillId="8" borderId="2" xfId="0" applyNumberFormat="1" applyFont="1" applyFill="1" applyBorder="1" applyAlignment="1">
      <alignment horizontal="right"/>
    </xf>
    <xf numFmtId="0" fontId="1" fillId="6" borderId="11" xfId="0" applyFont="1" applyFill="1" applyBorder="1"/>
    <xf numFmtId="0" fontId="1" fillId="6" borderId="12" xfId="0" applyFont="1" applyFill="1" applyBorder="1"/>
    <xf numFmtId="164" fontId="3" fillId="8" borderId="2" xfId="0" applyNumberFormat="1" applyFont="1" applyFill="1" applyBorder="1" applyAlignment="1">
      <alignment wrapText="1"/>
    </xf>
    <xf numFmtId="166" fontId="3" fillId="8" borderId="2" xfId="0" applyNumberFormat="1" applyFont="1" applyFill="1" applyBorder="1" applyAlignment="1">
      <alignment horizontal="center" wrapText="1"/>
    </xf>
    <xf numFmtId="2" fontId="1" fillId="8" borderId="2" xfId="0" applyNumberFormat="1" applyFont="1" applyFill="1" applyBorder="1"/>
    <xf numFmtId="164" fontId="3" fillId="8" borderId="2" xfId="0" applyNumberFormat="1" applyFont="1" applyFill="1" applyBorder="1" applyAlignment="1">
      <alignment horizontal="center" wrapText="1"/>
    </xf>
    <xf numFmtId="0" fontId="2" fillId="8" borderId="2" xfId="0" applyFont="1" applyFill="1" applyBorder="1" applyAlignment="1">
      <alignment wrapText="1"/>
    </xf>
    <xf numFmtId="164" fontId="7" fillId="8" borderId="7" xfId="0" applyNumberFormat="1" applyFont="1" applyFill="1" applyBorder="1"/>
    <xf numFmtId="166" fontId="3" fillId="8" borderId="7" xfId="0" applyNumberFormat="1" applyFont="1" applyFill="1" applyBorder="1" applyAlignment="1">
      <alignment horizontal="center" vertical="center" wrapText="1"/>
    </xf>
    <xf numFmtId="164" fontId="3" fillId="8" borderId="5" xfId="0" applyNumberFormat="1" applyFont="1" applyFill="1" applyBorder="1" applyAlignment="1">
      <alignment wrapText="1"/>
    </xf>
    <xf numFmtId="164" fontId="7" fillId="8" borderId="13" xfId="0" applyNumberFormat="1" applyFont="1" applyFill="1" applyBorder="1"/>
    <xf numFmtId="166" fontId="3" fillId="8" borderId="13" xfId="0" applyNumberFormat="1" applyFont="1" applyFill="1" applyBorder="1" applyAlignment="1">
      <alignment horizontal="center" wrapText="1"/>
    </xf>
    <xf numFmtId="166" fontId="3" fillId="8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center"/>
    </xf>
    <xf numFmtId="166" fontId="1" fillId="8" borderId="2" xfId="0" applyNumberFormat="1" applyFont="1" applyFill="1" applyBorder="1" applyAlignment="1">
      <alignment vertical="center"/>
    </xf>
    <xf numFmtId="166" fontId="2" fillId="8" borderId="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7" borderId="2" xfId="0" applyFont="1" applyFill="1" applyBorder="1"/>
    <xf numFmtId="2" fontId="1" fillId="7" borderId="2" xfId="0" applyNumberFormat="1" applyFont="1" applyFill="1" applyBorder="1"/>
    <xf numFmtId="166" fontId="1" fillId="7" borderId="2" xfId="0" applyNumberFormat="1" applyFont="1" applyFill="1" applyBorder="1"/>
    <xf numFmtId="166" fontId="2" fillId="7" borderId="2" xfId="0" applyNumberFormat="1" applyFont="1" applyFill="1" applyBorder="1" applyAlignment="1">
      <alignment horizontal="right"/>
    </xf>
    <xf numFmtId="0" fontId="2" fillId="9" borderId="2" xfId="0" applyFont="1" applyFill="1" applyBorder="1"/>
    <xf numFmtId="0" fontId="2" fillId="10" borderId="6" xfId="0" applyFont="1" applyFill="1" applyBorder="1" applyAlignment="1">
      <alignment horizontal="center" wrapText="1"/>
    </xf>
    <xf numFmtId="0" fontId="1" fillId="10" borderId="14" xfId="0" applyFont="1" applyFill="1" applyBorder="1"/>
    <xf numFmtId="166" fontId="2" fillId="10" borderId="6" xfId="0" applyNumberFormat="1" applyFont="1" applyFill="1" applyBorder="1" applyAlignment="1">
      <alignment horizontal="center"/>
    </xf>
    <xf numFmtId="0" fontId="1" fillId="11" borderId="4" xfId="0" applyFont="1" applyFill="1" applyBorder="1"/>
    <xf numFmtId="0" fontId="2" fillId="12" borderId="6" xfId="0" applyFont="1" applyFill="1" applyBorder="1" applyAlignment="1">
      <alignment horizontal="center" wrapText="1"/>
    </xf>
    <xf numFmtId="0" fontId="1" fillId="12" borderId="14" xfId="0" applyFont="1" applyFill="1" applyBorder="1"/>
    <xf numFmtId="166" fontId="2" fillId="12" borderId="6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 wrapText="1"/>
    </xf>
    <xf numFmtId="166" fontId="2" fillId="6" borderId="2" xfId="0" applyNumberFormat="1" applyFont="1" applyFill="1" applyBorder="1" applyAlignment="1">
      <alignment horizontal="center" wrapText="1"/>
    </xf>
    <xf numFmtId="0" fontId="2" fillId="0" borderId="2" xfId="0" applyFont="1" applyBorder="1"/>
    <xf numFmtId="4" fontId="9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66" fontId="9" fillId="0" borderId="2" xfId="0" applyNumberFormat="1" applyFont="1" applyBorder="1" applyAlignment="1">
      <alignment horizontal="left" vertical="top"/>
    </xf>
    <xf numFmtId="166" fontId="9" fillId="0" borderId="2" xfId="0" applyNumberFormat="1" applyFont="1" applyBorder="1" applyAlignment="1">
      <alignment horizontal="right" vertical="top"/>
    </xf>
    <xf numFmtId="0" fontId="1" fillId="0" borderId="2" xfId="0" applyFont="1" applyBorder="1"/>
    <xf numFmtId="4" fontId="1" fillId="0" borderId="2" xfId="0" applyNumberFormat="1" applyFont="1" applyBorder="1"/>
    <xf numFmtId="166" fontId="1" fillId="0" borderId="2" xfId="0" applyNumberFormat="1" applyFont="1" applyBorder="1" applyAlignment="1">
      <alignment vertical="top"/>
    </xf>
    <xf numFmtId="166" fontId="1" fillId="0" borderId="2" xfId="0" applyNumberFormat="1" applyFont="1" applyBorder="1"/>
    <xf numFmtId="166" fontId="1" fillId="6" borderId="2" xfId="0" applyNumberFormat="1" applyFont="1" applyFill="1" applyBorder="1"/>
    <xf numFmtId="0" fontId="1" fillId="6" borderId="2" xfId="0" applyFont="1" applyFill="1" applyBorder="1"/>
    <xf numFmtId="4" fontId="1" fillId="6" borderId="2" xfId="0" applyNumberFormat="1" applyFont="1" applyFill="1" applyBorder="1"/>
    <xf numFmtId="8" fontId="1" fillId="6" borderId="2" xfId="0" applyNumberFormat="1" applyFont="1" applyFill="1" applyBorder="1"/>
    <xf numFmtId="166" fontId="1" fillId="10" borderId="2" xfId="0" applyNumberFormat="1" applyFont="1" applyFill="1" applyBorder="1"/>
    <xf numFmtId="166" fontId="2" fillId="10" borderId="14" xfId="0" applyNumberFormat="1" applyFont="1" applyFill="1" applyBorder="1" applyAlignment="1">
      <alignment horizontal="center"/>
    </xf>
    <xf numFmtId="166" fontId="1" fillId="12" borderId="2" xfId="0" applyNumberFormat="1" applyFont="1" applyFill="1" applyBorder="1"/>
    <xf numFmtId="166" fontId="2" fillId="12" borderId="2" xfId="0" applyNumberFormat="1" applyFont="1" applyFill="1" applyBorder="1" applyAlignment="1">
      <alignment horizontal="center"/>
    </xf>
    <xf numFmtId="0" fontId="1" fillId="9" borderId="2" xfId="0" applyFont="1" applyFill="1" applyBorder="1"/>
    <xf numFmtId="4" fontId="1" fillId="9" borderId="2" xfId="0" applyNumberFormat="1" applyFont="1" applyFill="1" applyBorder="1"/>
    <xf numFmtId="0" fontId="2" fillId="10" borderId="2" xfId="0" applyFont="1" applyFill="1" applyBorder="1"/>
    <xf numFmtId="0" fontId="1" fillId="0" borderId="10" xfId="0" applyFont="1" applyBorder="1"/>
    <xf numFmtId="0" fontId="2" fillId="13" borderId="6" xfId="0" applyFont="1" applyFill="1" applyBorder="1" applyAlignment="1">
      <alignment horizontal="center"/>
    </xf>
    <xf numFmtId="166" fontId="2" fillId="13" borderId="6" xfId="0" applyNumberFormat="1" applyFont="1" applyFill="1" applyBorder="1" applyAlignment="1">
      <alignment horizontal="center"/>
    </xf>
    <xf numFmtId="0" fontId="2" fillId="0" borderId="0" xfId="0" applyFont="1"/>
    <xf numFmtId="0" fontId="2" fillId="2" borderId="15" xfId="0" applyFont="1" applyFill="1" applyBorder="1" applyAlignment="1">
      <alignment wrapText="1"/>
    </xf>
    <xf numFmtId="0" fontId="2" fillId="2" borderId="15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wrapText="1"/>
    </xf>
    <xf numFmtId="49" fontId="1" fillId="0" borderId="15" xfId="0" applyNumberFormat="1" applyFont="1" applyBorder="1"/>
    <xf numFmtId="164" fontId="3" fillId="4" borderId="2" xfId="0" applyNumberFormat="1" applyFont="1" applyFill="1" applyBorder="1"/>
    <xf numFmtId="164" fontId="3" fillId="4" borderId="2" xfId="0" applyNumberFormat="1" applyFont="1" applyFill="1" applyBorder="1" applyAlignment="1">
      <alignment horizontal="right"/>
    </xf>
    <xf numFmtId="2" fontId="3" fillId="4" borderId="2" xfId="0" applyNumberFormat="1" applyFont="1" applyFill="1" applyBorder="1" applyAlignment="1">
      <alignment horizontal="right"/>
    </xf>
    <xf numFmtId="167" fontId="3" fillId="4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right"/>
    </xf>
    <xf numFmtId="164" fontId="7" fillId="4" borderId="2" xfId="0" applyNumberFormat="1" applyFont="1" applyFill="1" applyBorder="1"/>
    <xf numFmtId="0" fontId="3" fillId="4" borderId="2" xfId="0" applyFont="1" applyFill="1" applyBorder="1"/>
    <xf numFmtId="2" fontId="3" fillId="4" borderId="2" xfId="0" applyNumberFormat="1" applyFont="1" applyFill="1" applyBorder="1"/>
    <xf numFmtId="49" fontId="1" fillId="0" borderId="2" xfId="0" applyNumberFormat="1" applyFont="1" applyBorder="1"/>
    <xf numFmtId="0" fontId="7" fillId="4" borderId="2" xfId="0" applyFont="1" applyFill="1" applyBorder="1"/>
    <xf numFmtId="167" fontId="3" fillId="4" borderId="2" xfId="0" applyNumberFormat="1" applyFont="1" applyFill="1" applyBorder="1"/>
    <xf numFmtId="166" fontId="3" fillId="4" borderId="2" xfId="0" applyNumberFormat="1" applyFont="1" applyFill="1" applyBorder="1"/>
    <xf numFmtId="0" fontId="1" fillId="0" borderId="5" xfId="0" applyFont="1" applyBorder="1" applyAlignment="1">
      <alignment horizontal="center" vertical="center"/>
    </xf>
    <xf numFmtId="164" fontId="1" fillId="4" borderId="2" xfId="0" applyNumberFormat="1" applyFont="1" applyFill="1" applyBorder="1"/>
    <xf numFmtId="167" fontId="1" fillId="4" borderId="2" xfId="0" applyNumberFormat="1" applyFont="1" applyFill="1" applyBorder="1"/>
    <xf numFmtId="166" fontId="1" fillId="4" borderId="2" xfId="0" applyNumberFormat="1" applyFont="1" applyFill="1" applyBorder="1"/>
    <xf numFmtId="0" fontId="1" fillId="3" borderId="2" xfId="0" applyFont="1" applyFill="1" applyBorder="1"/>
    <xf numFmtId="0" fontId="1" fillId="0" borderId="2" xfId="0" applyFont="1" applyBorder="1" applyAlignment="1">
      <alignment horizontal="center" vertical="center"/>
    </xf>
    <xf numFmtId="2" fontId="1" fillId="3" borderId="2" xfId="0" applyNumberFormat="1" applyFont="1" applyFill="1" applyBorder="1"/>
    <xf numFmtId="167" fontId="1" fillId="3" borderId="2" xfId="0" applyNumberFormat="1" applyFont="1" applyFill="1" applyBorder="1"/>
    <xf numFmtId="166" fontId="1" fillId="3" borderId="2" xfId="0" applyNumberFormat="1" applyFont="1" applyFill="1" applyBorder="1"/>
    <xf numFmtId="0" fontId="1" fillId="3" borderId="16" xfId="0" applyFont="1" applyFill="1" applyBorder="1"/>
    <xf numFmtId="0" fontId="1" fillId="3" borderId="3" xfId="0" applyFont="1" applyFill="1" applyBorder="1"/>
    <xf numFmtId="2" fontId="1" fillId="3" borderId="3" xfId="0" applyNumberFormat="1" applyFont="1" applyFill="1" applyBorder="1"/>
    <xf numFmtId="167" fontId="1" fillId="3" borderId="3" xfId="0" applyNumberFormat="1" applyFont="1" applyFill="1" applyBorder="1"/>
    <xf numFmtId="167" fontId="1" fillId="4" borderId="3" xfId="0" applyNumberFormat="1" applyFont="1" applyFill="1" applyBorder="1"/>
    <xf numFmtId="166" fontId="1" fillId="3" borderId="3" xfId="0" applyNumberFormat="1" applyFont="1" applyFill="1" applyBorder="1"/>
    <xf numFmtId="166" fontId="1" fillId="4" borderId="3" xfId="0" applyNumberFormat="1" applyFont="1" applyFill="1" applyBorder="1"/>
    <xf numFmtId="0" fontId="1" fillId="3" borderId="17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2" fontId="1" fillId="3" borderId="20" xfId="0" applyNumberFormat="1" applyFont="1" applyFill="1" applyBorder="1"/>
    <xf numFmtId="167" fontId="1" fillId="3" borderId="20" xfId="0" applyNumberFormat="1" applyFont="1" applyFill="1" applyBorder="1"/>
    <xf numFmtId="167" fontId="1" fillId="4" borderId="20" xfId="0" applyNumberFormat="1" applyFont="1" applyFill="1" applyBorder="1"/>
    <xf numFmtId="166" fontId="1" fillId="3" borderId="20" xfId="0" applyNumberFormat="1" applyFont="1" applyFill="1" applyBorder="1"/>
    <xf numFmtId="166" fontId="1" fillId="4" borderId="20" xfId="0" applyNumberFormat="1" applyFont="1" applyFill="1" applyBorder="1"/>
    <xf numFmtId="0" fontId="2" fillId="14" borderId="3" xfId="0" applyFont="1" applyFill="1" applyBorder="1" applyAlignment="1">
      <alignment horizontal="center"/>
    </xf>
    <xf numFmtId="0" fontId="1" fillId="14" borderId="21" xfId="0" applyFont="1" applyFill="1" applyBorder="1"/>
    <xf numFmtId="0" fontId="1" fillId="14" borderId="22" xfId="0" applyFont="1" applyFill="1" applyBorder="1"/>
    <xf numFmtId="0" fontId="1" fillId="15" borderId="3" xfId="0" applyFont="1" applyFill="1" applyBorder="1"/>
    <xf numFmtId="2" fontId="2" fillId="16" borderId="22" xfId="0" applyNumberFormat="1" applyFont="1" applyFill="1" applyBorder="1" applyAlignment="1">
      <alignment horizontal="center"/>
    </xf>
    <xf numFmtId="2" fontId="2" fillId="14" borderId="3" xfId="0" applyNumberFormat="1" applyFont="1" applyFill="1" applyBorder="1" applyAlignment="1">
      <alignment horizontal="center"/>
    </xf>
    <xf numFmtId="168" fontId="2" fillId="14" borderId="21" xfId="0" applyNumberFormat="1" applyFont="1" applyFill="1" applyBorder="1" applyAlignment="1">
      <alignment horizontal="center"/>
    </xf>
    <xf numFmtId="166" fontId="1" fillId="14" borderId="22" xfId="0" applyNumberFormat="1" applyFont="1" applyFill="1" applyBorder="1"/>
    <xf numFmtId="166" fontId="2" fillId="14" borderId="22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2" fillId="17" borderId="23" xfId="0" applyFont="1" applyFill="1" applyBorder="1" applyAlignment="1">
      <alignment horizontal="center" wrapText="1"/>
    </xf>
    <xf numFmtId="0" fontId="2" fillId="18" borderId="2" xfId="0" applyFont="1" applyFill="1" applyBorder="1" applyAlignment="1">
      <alignment horizontal="center"/>
    </xf>
    <xf numFmtId="2" fontId="2" fillId="17" borderId="2" xfId="0" applyNumberFormat="1" applyFont="1" applyFill="1" applyBorder="1" applyAlignment="1">
      <alignment horizontal="center"/>
    </xf>
    <xf numFmtId="166" fontId="2" fillId="17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0" fontId="2" fillId="3" borderId="2" xfId="0" applyFont="1" applyFill="1" applyBorder="1"/>
    <xf numFmtId="0" fontId="2" fillId="3" borderId="15" xfId="0" applyFont="1" applyFill="1" applyBorder="1" applyAlignment="1">
      <alignment horizontal="center"/>
    </xf>
    <xf numFmtId="0" fontId="2" fillId="3" borderId="15" xfId="0" applyFont="1" applyFill="1" applyBorder="1"/>
    <xf numFmtId="0" fontId="2" fillId="3" borderId="2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2" borderId="24" xfId="0" applyFont="1" applyFill="1" applyBorder="1"/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/>
    </xf>
    <xf numFmtId="2" fontId="11" fillId="3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166" fontId="12" fillId="4" borderId="2" xfId="0" applyNumberFormat="1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49" fontId="1" fillId="0" borderId="26" xfId="0" applyNumberFormat="1" applyFont="1" applyBorder="1"/>
    <xf numFmtId="0" fontId="3" fillId="3" borderId="2" xfId="0" applyFont="1" applyFill="1" applyBorder="1"/>
    <xf numFmtId="0" fontId="3" fillId="4" borderId="2" xfId="0" applyFont="1" applyFill="1" applyBorder="1" applyAlignment="1">
      <alignment horizontal="center" wrapText="1"/>
    </xf>
    <xf numFmtId="166" fontId="3" fillId="4" borderId="2" xfId="0" applyNumberFormat="1" applyFont="1" applyFill="1" applyBorder="1" applyAlignment="1">
      <alignment horizontal="center"/>
    </xf>
    <xf numFmtId="166" fontId="7" fillId="4" borderId="2" xfId="0" applyNumberFormat="1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166" fontId="11" fillId="4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/>
    <xf numFmtId="3" fontId="3" fillId="19" borderId="2" xfId="0" applyNumberFormat="1" applyFont="1" applyFill="1" applyBorder="1"/>
    <xf numFmtId="2" fontId="3" fillId="3" borderId="2" xfId="0" applyNumberFormat="1" applyFont="1" applyFill="1" applyBorder="1"/>
    <xf numFmtId="0" fontId="3" fillId="3" borderId="0" xfId="0" applyFont="1" applyFill="1"/>
    <xf numFmtId="0" fontId="3" fillId="4" borderId="0" xfId="0" applyFont="1" applyFill="1"/>
    <xf numFmtId="169" fontId="3" fillId="3" borderId="0" xfId="0" applyNumberFormat="1" applyFont="1" applyFill="1"/>
    <xf numFmtId="166" fontId="3" fillId="3" borderId="0" xfId="0" applyNumberFormat="1" applyFont="1" applyFill="1"/>
    <xf numFmtId="166" fontId="3" fillId="19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2" fontId="2" fillId="2" borderId="28" xfId="0" applyNumberFormat="1" applyFont="1" applyFill="1" applyBorder="1" applyAlignment="1">
      <alignment horizontal="center"/>
    </xf>
    <xf numFmtId="166" fontId="2" fillId="2" borderId="28" xfId="0" applyNumberFormat="1" applyFont="1" applyFill="1" applyBorder="1" applyAlignment="1">
      <alignment horizontal="center"/>
    </xf>
    <xf numFmtId="4" fontId="2" fillId="2" borderId="28" xfId="0" applyNumberFormat="1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1" fillId="4" borderId="31" xfId="0" applyFont="1" applyFill="1" applyBorder="1"/>
    <xf numFmtId="0" fontId="1" fillId="4" borderId="32" xfId="0" applyFont="1" applyFill="1" applyBorder="1"/>
    <xf numFmtId="0" fontId="2" fillId="2" borderId="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23" xfId="0" applyFont="1" applyFill="1" applyBorder="1"/>
    <xf numFmtId="0" fontId="1" fillId="4" borderId="23" xfId="0" applyFont="1" applyFill="1" applyBorder="1"/>
    <xf numFmtId="4" fontId="1" fillId="4" borderId="23" xfId="0" applyNumberFormat="1" applyFont="1" applyFill="1" applyBorder="1"/>
    <xf numFmtId="0" fontId="1" fillId="4" borderId="34" xfId="0" applyFont="1" applyFill="1" applyBorder="1"/>
    <xf numFmtId="8" fontId="1" fillId="3" borderId="2" xfId="0" applyNumberFormat="1" applyFont="1" applyFill="1" applyBorder="1"/>
    <xf numFmtId="2" fontId="1" fillId="4" borderId="35" xfId="0" applyNumberFormat="1" applyFont="1" applyFill="1" applyBorder="1"/>
    <xf numFmtId="2" fontId="1" fillId="6" borderId="2" xfId="0" applyNumberFormat="1" applyFont="1" applyFill="1" applyBorder="1"/>
    <xf numFmtId="8" fontId="1" fillId="0" borderId="2" xfId="0" applyNumberFormat="1" applyFont="1" applyBorder="1"/>
    <xf numFmtId="166" fontId="1" fillId="0" borderId="0" xfId="0" applyNumberFormat="1" applyFont="1"/>
    <xf numFmtId="49" fontId="1" fillId="6" borderId="12" xfId="0" applyNumberFormat="1" applyFont="1" applyFill="1" applyBorder="1"/>
    <xf numFmtId="166" fontId="3" fillId="8" borderId="7" xfId="0" applyNumberFormat="1" applyFont="1" applyFill="1" applyBorder="1" applyAlignment="1">
      <alignment horizontal="center" wrapText="1"/>
    </xf>
    <xf numFmtId="49" fontId="3" fillId="4" borderId="2" xfId="0" applyNumberFormat="1" applyFont="1" applyFill="1" applyBorder="1" applyAlignment="1">
      <alignment horizontal="center"/>
    </xf>
    <xf numFmtId="164" fontId="3" fillId="18" borderId="2" xfId="0" applyNumberFormat="1" applyFont="1" applyFill="1" applyBorder="1" applyAlignment="1">
      <alignment horizontal="center"/>
    </xf>
    <xf numFmtId="2" fontId="2" fillId="2" borderId="14" xfId="0" applyNumberFormat="1" applyFont="1" applyFill="1" applyBorder="1" applyAlignment="1">
      <alignment horizontal="right"/>
    </xf>
    <xf numFmtId="0" fontId="1" fillId="2" borderId="14" xfId="0" applyFont="1" applyFill="1" applyBorder="1"/>
    <xf numFmtId="166" fontId="2" fillId="2" borderId="2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wrapText="1"/>
    </xf>
    <xf numFmtId="166" fontId="11" fillId="4" borderId="2" xfId="0" applyNumberFormat="1" applyFont="1" applyFill="1" applyBorder="1" applyAlignment="1">
      <alignment horizontal="center"/>
    </xf>
    <xf numFmtId="4" fontId="13" fillId="0" borderId="2" xfId="0" applyNumberFormat="1" applyFont="1" applyBorder="1" applyAlignment="1">
      <alignment horizontal="right"/>
    </xf>
    <xf numFmtId="166" fontId="3" fillId="8" borderId="13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Border="1"/>
    <xf numFmtId="0" fontId="8" fillId="0" borderId="5" xfId="0" applyFont="1" applyBorder="1"/>
    <xf numFmtId="2" fontId="1" fillId="0" borderId="15" xfId="0" applyNumberFormat="1" applyFont="1" applyBorder="1"/>
    <xf numFmtId="0" fontId="8" fillId="0" borderId="18" xfId="0" applyFont="1" applyBorder="1"/>
    <xf numFmtId="0" fontId="6" fillId="0" borderId="9" xfId="0" applyFont="1" applyBorder="1" applyAlignment="1">
      <alignment horizontal="center"/>
    </xf>
    <xf numFmtId="0" fontId="8" fillId="0" borderId="9" xfId="0" applyFont="1" applyBorder="1"/>
    <xf numFmtId="0" fontId="2" fillId="9" borderId="8" xfId="0" applyFont="1" applyFill="1" applyBorder="1"/>
    <xf numFmtId="0" fontId="8" fillId="0" borderId="7" xfId="0" applyFont="1" applyBorder="1"/>
    <xf numFmtId="0" fontId="2" fillId="0" borderId="8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4" borderId="15" xfId="0" applyNumberFormat="1" applyFont="1" applyFill="1" applyBorder="1"/>
    <xf numFmtId="0" fontId="3" fillId="4" borderId="15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1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1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1" ht="15.75" customHeight="1" x14ac:dyDescent="0.25">
      <c r="A4" s="4" t="s">
        <v>10</v>
      </c>
      <c r="B4" s="4" t="s">
        <v>11</v>
      </c>
      <c r="C4" s="5" t="s">
        <v>12</v>
      </c>
      <c r="D4" s="6">
        <v>1</v>
      </c>
      <c r="E4" s="7">
        <v>1001</v>
      </c>
      <c r="F4" s="7">
        <v>7</v>
      </c>
      <c r="G4" s="7">
        <f t="shared" ref="G4:G13" si="0">D4*E4</f>
        <v>1001</v>
      </c>
      <c r="H4" s="7">
        <v>175</v>
      </c>
      <c r="I4" s="7">
        <f t="shared" ref="I4:I13" si="1">H4*G4</f>
        <v>175175</v>
      </c>
      <c r="J4" s="8"/>
      <c r="K4" s="9" t="s">
        <v>13</v>
      </c>
    </row>
    <row r="5" spans="1:11" ht="15.75" customHeight="1" x14ac:dyDescent="0.25">
      <c r="A5" s="4"/>
      <c r="B5" s="4"/>
      <c r="C5" s="5" t="s">
        <v>14</v>
      </c>
      <c r="D5" s="6">
        <v>1</v>
      </c>
      <c r="E5" s="7">
        <v>406</v>
      </c>
      <c r="F5" s="7">
        <v>7</v>
      </c>
      <c r="G5" s="7">
        <f t="shared" si="0"/>
        <v>406</v>
      </c>
      <c r="H5" s="7">
        <v>190</v>
      </c>
      <c r="I5" s="7">
        <f t="shared" si="1"/>
        <v>77140</v>
      </c>
      <c r="J5" s="8"/>
    </row>
    <row r="6" spans="1:11" ht="15.75" customHeight="1" x14ac:dyDescent="0.25">
      <c r="A6" s="4"/>
      <c r="B6" s="4"/>
      <c r="C6" s="5" t="s">
        <v>15</v>
      </c>
      <c r="D6" s="6">
        <v>1</v>
      </c>
      <c r="E6" s="7">
        <v>7</v>
      </c>
      <c r="F6" s="7">
        <v>7</v>
      </c>
      <c r="G6" s="7">
        <f t="shared" si="0"/>
        <v>7</v>
      </c>
      <c r="H6" s="7">
        <v>190</v>
      </c>
      <c r="I6" s="7">
        <f t="shared" si="1"/>
        <v>1330</v>
      </c>
      <c r="J6" s="8"/>
    </row>
    <row r="7" spans="1:11" ht="15.75" customHeight="1" x14ac:dyDescent="0.25">
      <c r="A7" s="4"/>
      <c r="B7" s="4"/>
      <c r="C7" s="5" t="s">
        <v>16</v>
      </c>
      <c r="D7" s="6">
        <v>1</v>
      </c>
      <c r="E7" s="7">
        <v>21</v>
      </c>
      <c r="F7" s="7">
        <v>7</v>
      </c>
      <c r="G7" s="7">
        <f t="shared" si="0"/>
        <v>21</v>
      </c>
      <c r="H7" s="7">
        <v>190</v>
      </c>
      <c r="I7" s="7">
        <f t="shared" si="1"/>
        <v>3990</v>
      </c>
      <c r="J7" s="8"/>
    </row>
    <row r="8" spans="1:11" ht="15.75" customHeight="1" x14ac:dyDescent="0.25">
      <c r="A8" s="4"/>
      <c r="B8" s="4"/>
      <c r="C8" s="5" t="s">
        <v>17</v>
      </c>
      <c r="D8" s="6">
        <v>1</v>
      </c>
      <c r="E8" s="7">
        <v>21</v>
      </c>
      <c r="F8" s="7">
        <v>7</v>
      </c>
      <c r="G8" s="7">
        <f t="shared" si="0"/>
        <v>21</v>
      </c>
      <c r="H8" s="7">
        <v>190</v>
      </c>
      <c r="I8" s="7">
        <f t="shared" si="1"/>
        <v>3990</v>
      </c>
      <c r="J8" s="8"/>
    </row>
    <row r="9" spans="1:11" ht="15.75" customHeight="1" x14ac:dyDescent="0.25">
      <c r="A9" s="4"/>
      <c r="B9" s="4"/>
      <c r="C9" s="5" t="s">
        <v>18</v>
      </c>
      <c r="D9" s="6">
        <v>1</v>
      </c>
      <c r="E9" s="7">
        <v>21</v>
      </c>
      <c r="F9" s="7">
        <v>7</v>
      </c>
      <c r="G9" s="7">
        <f t="shared" si="0"/>
        <v>21</v>
      </c>
      <c r="H9" s="7">
        <v>190</v>
      </c>
      <c r="I9" s="7">
        <f t="shared" si="1"/>
        <v>3990</v>
      </c>
      <c r="J9" s="8"/>
    </row>
    <row r="10" spans="1:11" ht="15.75" customHeight="1" x14ac:dyDescent="0.25">
      <c r="A10" s="4"/>
      <c r="B10" s="4"/>
      <c r="C10" s="5" t="s">
        <v>19</v>
      </c>
      <c r="D10" s="6">
        <v>1</v>
      </c>
      <c r="E10" s="7">
        <v>154</v>
      </c>
      <c r="F10" s="7">
        <v>7</v>
      </c>
      <c r="G10" s="7">
        <f t="shared" si="0"/>
        <v>154</v>
      </c>
      <c r="H10" s="7">
        <v>190</v>
      </c>
      <c r="I10" s="7">
        <f t="shared" si="1"/>
        <v>29260</v>
      </c>
      <c r="J10" s="8"/>
    </row>
    <row r="11" spans="1:11" ht="15.75" customHeight="1" x14ac:dyDescent="0.25">
      <c r="A11" s="4"/>
      <c r="B11" s="4"/>
      <c r="C11" s="5" t="s">
        <v>20</v>
      </c>
      <c r="D11" s="6">
        <v>1</v>
      </c>
      <c r="E11" s="7">
        <v>154</v>
      </c>
      <c r="F11" s="7">
        <v>7</v>
      </c>
      <c r="G11" s="7">
        <f t="shared" si="0"/>
        <v>154</v>
      </c>
      <c r="H11" s="7">
        <v>190</v>
      </c>
      <c r="I11" s="7">
        <f t="shared" si="1"/>
        <v>29260</v>
      </c>
      <c r="J11" s="8"/>
    </row>
    <row r="12" spans="1:11" ht="15.75" customHeight="1" x14ac:dyDescent="0.25">
      <c r="A12" s="4"/>
      <c r="B12" s="4"/>
      <c r="C12" s="5" t="s">
        <v>21</v>
      </c>
      <c r="D12" s="6">
        <v>1</v>
      </c>
      <c r="E12" s="7">
        <v>49</v>
      </c>
      <c r="F12" s="7">
        <v>7</v>
      </c>
      <c r="G12" s="7">
        <f t="shared" si="0"/>
        <v>49</v>
      </c>
      <c r="H12" s="7">
        <v>190</v>
      </c>
      <c r="I12" s="7">
        <f t="shared" si="1"/>
        <v>9310</v>
      </c>
      <c r="J12" s="8"/>
    </row>
    <row r="13" spans="1:11" ht="15.75" customHeight="1" x14ac:dyDescent="0.25">
      <c r="A13" s="4"/>
      <c r="B13" s="4"/>
      <c r="C13" s="5" t="s">
        <v>22</v>
      </c>
      <c r="D13" s="6">
        <v>1</v>
      </c>
      <c r="E13" s="7">
        <v>154</v>
      </c>
      <c r="F13" s="7">
        <v>7</v>
      </c>
      <c r="G13" s="7">
        <f t="shared" si="0"/>
        <v>154</v>
      </c>
      <c r="H13" s="7">
        <v>190</v>
      </c>
      <c r="I13" s="7">
        <f t="shared" si="1"/>
        <v>29260</v>
      </c>
      <c r="J13" s="8"/>
    </row>
    <row r="14" spans="1:11" ht="15.75" customHeight="1" x14ac:dyDescent="0.25">
      <c r="A14" s="4"/>
      <c r="B14" s="4"/>
      <c r="C14" s="5"/>
      <c r="D14" s="6"/>
      <c r="E14" s="7"/>
      <c r="F14" s="7"/>
      <c r="G14" s="7"/>
      <c r="H14" s="7"/>
      <c r="I14" s="7"/>
      <c r="J14" s="8"/>
    </row>
    <row r="15" spans="1:11" ht="15.75" customHeight="1" x14ac:dyDescent="0.25">
      <c r="A15" s="4"/>
      <c r="B15" s="4"/>
      <c r="C15" s="5"/>
      <c r="D15" s="6"/>
      <c r="E15" s="7"/>
      <c r="F15" s="7"/>
      <c r="G15" s="7"/>
      <c r="H15" s="7"/>
      <c r="I15" s="7"/>
      <c r="J15" s="8"/>
    </row>
    <row r="16" spans="1:11" ht="15.75" customHeight="1" x14ac:dyDescent="0.25">
      <c r="A16" s="4"/>
      <c r="B16" s="4"/>
      <c r="C16" s="5"/>
      <c r="D16" s="6"/>
      <c r="E16" s="7"/>
      <c r="F16" s="7"/>
      <c r="G16" s="7"/>
      <c r="H16" s="7"/>
      <c r="I16" s="7"/>
      <c r="J16" s="8"/>
    </row>
    <row r="17" spans="1:10" ht="15.75" customHeight="1" x14ac:dyDescent="0.25">
      <c r="A17" s="4"/>
      <c r="B17" s="4"/>
      <c r="C17" s="5"/>
      <c r="D17" s="6"/>
      <c r="E17" s="7"/>
      <c r="F17" s="7"/>
      <c r="G17" s="7"/>
      <c r="H17" s="7"/>
      <c r="I17" s="7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SUM(E4:E22)</f>
        <v>1988</v>
      </c>
      <c r="F23" s="16">
        <f t="shared" si="2"/>
        <v>70</v>
      </c>
      <c r="G23" s="16">
        <f t="shared" si="2"/>
        <v>1988</v>
      </c>
      <c r="H23" s="16"/>
      <c r="I23" s="16">
        <f>SUM(I4:I22)</f>
        <v>362705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144631.20999999996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30" x14ac:dyDescent="0.25">
      <c r="A38" s="39" t="s">
        <v>31</v>
      </c>
      <c r="B38" s="44"/>
      <c r="C38" s="45">
        <v>669</v>
      </c>
      <c r="D38" s="45">
        <v>669</v>
      </c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143962.20999999996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1456791.79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45</v>
      </c>
      <c r="B54" s="70">
        <v>628.27</v>
      </c>
      <c r="C54" s="70" t="s">
        <v>46</v>
      </c>
      <c r="D54" s="71">
        <v>28.33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47</v>
      </c>
      <c r="B55" s="71">
        <v>370000</v>
      </c>
      <c r="C55" s="70" t="s">
        <v>48</v>
      </c>
      <c r="D55" s="71">
        <v>124.95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49</v>
      </c>
      <c r="B56" s="70"/>
      <c r="C56" s="70" t="s">
        <v>46</v>
      </c>
      <c r="D56" s="71">
        <v>3072.04</v>
      </c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 t="s">
        <v>50</v>
      </c>
      <c r="D57" s="71">
        <v>3450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51</v>
      </c>
      <c r="D58" s="70">
        <v>5399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52</v>
      </c>
      <c r="D59" s="70">
        <v>7350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53</v>
      </c>
      <c r="D60" s="70">
        <v>28000</v>
      </c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 t="s">
        <v>54</v>
      </c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1827420.06</v>
      </c>
      <c r="C73" s="82"/>
      <c r="D73" s="83">
        <f>SUM(D54:D72)</f>
        <v>47424.32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1779995.74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1782003.4200000002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96"/>
    </row>
    <row r="79" spans="1:10" ht="15" x14ac:dyDescent="0.25">
      <c r="A79" s="97" t="s">
        <v>59</v>
      </c>
      <c r="B79" s="97">
        <v>4</v>
      </c>
      <c r="C79" s="97" t="s">
        <v>60</v>
      </c>
      <c r="D79" s="98">
        <v>1</v>
      </c>
      <c r="E79" s="98">
        <v>2000</v>
      </c>
      <c r="F79" s="99">
        <v>1</v>
      </c>
      <c r="G79" s="100">
        <v>2000</v>
      </c>
      <c r="H79" s="99">
        <v>185</v>
      </c>
      <c r="I79" s="101">
        <v>370000</v>
      </c>
      <c r="J79" s="216" t="s">
        <v>61</v>
      </c>
    </row>
    <row r="80" spans="1:10" ht="15" x14ac:dyDescent="0.25">
      <c r="A80" s="102"/>
      <c r="B80" s="97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16"/>
    </row>
    <row r="82" spans="1:10" ht="15" x14ac:dyDescent="0.25">
      <c r="A82" s="102"/>
      <c r="B82" s="97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16"/>
    </row>
    <row r="84" spans="1:10" ht="15" x14ac:dyDescent="0.25">
      <c r="A84" s="103"/>
      <c r="B84" s="97"/>
      <c r="C84" s="103"/>
      <c r="D84" s="97"/>
      <c r="E84" s="97"/>
      <c r="F84" s="104"/>
      <c r="G84" s="100"/>
      <c r="H84" s="104"/>
      <c r="I84" s="101"/>
      <c r="J84" s="217"/>
    </row>
    <row r="85" spans="1:10" ht="15" x14ac:dyDescent="0.25">
      <c r="A85" s="103"/>
      <c r="B85" s="97"/>
      <c r="C85" s="103"/>
      <c r="D85" s="97"/>
      <c r="E85" s="98"/>
      <c r="F85" s="104"/>
      <c r="G85" s="100"/>
      <c r="H85" s="104"/>
      <c r="I85" s="101"/>
      <c r="J85" s="216"/>
    </row>
    <row r="86" spans="1:10" ht="15" x14ac:dyDescent="0.25">
      <c r="A86" s="103"/>
      <c r="B86" s="97"/>
      <c r="C86" s="103"/>
      <c r="D86" s="97"/>
      <c r="E86" s="98"/>
      <c r="F86" s="104"/>
      <c r="G86" s="100"/>
      <c r="H86" s="104"/>
      <c r="I86" s="101"/>
      <c r="J86" s="217"/>
    </row>
    <row r="87" spans="1:10" ht="15" x14ac:dyDescent="0.25">
      <c r="A87" s="103"/>
      <c r="B87" s="97"/>
      <c r="C87" s="97"/>
      <c r="D87" s="97"/>
      <c r="E87" s="97"/>
      <c r="F87" s="104"/>
      <c r="G87" s="100"/>
      <c r="H87" s="104"/>
      <c r="I87" s="101"/>
      <c r="J87" s="105"/>
    </row>
    <row r="88" spans="1:10" ht="15" x14ac:dyDescent="0.25">
      <c r="A88" s="103"/>
      <c r="B88" s="97"/>
      <c r="C88" s="103"/>
      <c r="D88" s="98"/>
      <c r="E88" s="99"/>
      <c r="F88" s="99"/>
      <c r="G88" s="100"/>
      <c r="H88" s="99"/>
      <c r="I88" s="101"/>
      <c r="J88" s="10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105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5">SUM(E79:E103)</f>
        <v>2000</v>
      </c>
      <c r="F104" s="138">
        <f t="shared" si="5"/>
        <v>1</v>
      </c>
      <c r="G104" s="139">
        <f t="shared" si="5"/>
        <v>2000</v>
      </c>
      <c r="H104" s="140"/>
      <c r="I104" s="141">
        <f>SUM(I79:I103)</f>
        <v>370000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3988</v>
      </c>
      <c r="C107" s="146">
        <f>I23+H104+I104+F124</f>
        <v>732705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59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57"/>
      <c r="E111" s="162"/>
      <c r="F111" s="163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57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57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5:J86"/>
    <mergeCell ref="J95:J103"/>
    <mergeCell ref="A108:G108"/>
    <mergeCell ref="I51:J51"/>
    <mergeCell ref="I52:J52"/>
    <mergeCell ref="J79:J80"/>
    <mergeCell ref="J81:J82"/>
    <mergeCell ref="J83:J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74</v>
      </c>
      <c r="B4" s="4" t="s">
        <v>11</v>
      </c>
      <c r="C4" s="5" t="s">
        <v>75</v>
      </c>
      <c r="D4" s="6">
        <v>0.11</v>
      </c>
      <c r="E4" s="7">
        <v>5</v>
      </c>
      <c r="F4" s="7">
        <v>10</v>
      </c>
      <c r="G4" s="7">
        <f t="shared" ref="G4:G17" si="0">E4*D4</f>
        <v>0.55000000000000004</v>
      </c>
      <c r="H4" s="7">
        <v>35</v>
      </c>
      <c r="I4" s="7">
        <f t="shared" ref="I4:I17" si="1">H4*E4</f>
        <v>175</v>
      </c>
      <c r="J4" s="8"/>
    </row>
    <row r="5" spans="1:10" ht="15.75" customHeight="1" x14ac:dyDescent="0.25">
      <c r="A5" s="4"/>
      <c r="B5" s="4"/>
      <c r="C5" s="5" t="s">
        <v>76</v>
      </c>
      <c r="D5" s="6">
        <v>0.11</v>
      </c>
      <c r="E5" s="7">
        <v>5</v>
      </c>
      <c r="F5" s="7">
        <v>10</v>
      </c>
      <c r="G5" s="7">
        <f t="shared" si="0"/>
        <v>0.55000000000000004</v>
      </c>
      <c r="H5" s="7">
        <v>35</v>
      </c>
      <c r="I5" s="7">
        <f t="shared" si="1"/>
        <v>175</v>
      </c>
      <c r="J5" s="8"/>
    </row>
    <row r="6" spans="1:10" ht="15.75" customHeight="1" x14ac:dyDescent="0.25">
      <c r="A6" s="4"/>
      <c r="B6" s="4"/>
      <c r="C6" s="5" t="s">
        <v>77</v>
      </c>
      <c r="D6" s="6">
        <v>0.11</v>
      </c>
      <c r="E6" s="7">
        <v>5</v>
      </c>
      <c r="F6" s="7">
        <v>10</v>
      </c>
      <c r="G6" s="7">
        <f t="shared" si="0"/>
        <v>0.55000000000000004</v>
      </c>
      <c r="H6" s="7">
        <v>35</v>
      </c>
      <c r="I6" s="7">
        <f t="shared" si="1"/>
        <v>175</v>
      </c>
      <c r="J6" s="8"/>
    </row>
    <row r="7" spans="1:10" ht="15.75" customHeight="1" x14ac:dyDescent="0.25">
      <c r="A7" s="4"/>
      <c r="B7" s="4"/>
      <c r="C7" s="5" t="s">
        <v>78</v>
      </c>
      <c r="D7" s="6">
        <v>0.11</v>
      </c>
      <c r="E7" s="7">
        <v>5</v>
      </c>
      <c r="F7" s="7">
        <v>10</v>
      </c>
      <c r="G7" s="7">
        <f t="shared" si="0"/>
        <v>0.55000000000000004</v>
      </c>
      <c r="H7" s="7">
        <v>35</v>
      </c>
      <c r="I7" s="7">
        <f t="shared" si="1"/>
        <v>175</v>
      </c>
      <c r="J7" s="8"/>
    </row>
    <row r="8" spans="1:10" ht="15.75" customHeight="1" x14ac:dyDescent="0.25">
      <c r="A8" s="4"/>
      <c r="B8" s="4"/>
      <c r="C8" s="5" t="s">
        <v>79</v>
      </c>
      <c r="D8" s="6">
        <v>0.2</v>
      </c>
      <c r="E8" s="7">
        <v>5</v>
      </c>
      <c r="F8" s="7">
        <v>18</v>
      </c>
      <c r="G8" s="7">
        <f t="shared" si="0"/>
        <v>1</v>
      </c>
      <c r="H8" s="7">
        <v>85</v>
      </c>
      <c r="I8" s="7">
        <f t="shared" si="1"/>
        <v>425</v>
      </c>
      <c r="J8" s="8"/>
    </row>
    <row r="9" spans="1:10" ht="15.75" customHeight="1" x14ac:dyDescent="0.25">
      <c r="A9" s="4"/>
      <c r="B9" s="4"/>
      <c r="C9" s="5" t="s">
        <v>80</v>
      </c>
      <c r="D9" s="6">
        <v>0.2</v>
      </c>
      <c r="E9" s="7">
        <v>5</v>
      </c>
      <c r="F9" s="7">
        <v>18</v>
      </c>
      <c r="G9" s="7">
        <f t="shared" si="0"/>
        <v>1</v>
      </c>
      <c r="H9" s="7">
        <v>75</v>
      </c>
      <c r="I9" s="7">
        <f t="shared" si="1"/>
        <v>375</v>
      </c>
      <c r="J9" s="8"/>
    </row>
    <row r="10" spans="1:10" ht="15.75" customHeight="1" x14ac:dyDescent="0.25">
      <c r="A10" s="4"/>
      <c r="B10" s="4"/>
      <c r="C10" s="5" t="s">
        <v>81</v>
      </c>
      <c r="D10" s="6">
        <v>0.11</v>
      </c>
      <c r="E10" s="7">
        <v>5</v>
      </c>
      <c r="F10" s="7">
        <v>10</v>
      </c>
      <c r="G10" s="7">
        <f t="shared" si="0"/>
        <v>0.55000000000000004</v>
      </c>
      <c r="H10" s="7">
        <v>139</v>
      </c>
      <c r="I10" s="7">
        <f t="shared" si="1"/>
        <v>695</v>
      </c>
      <c r="J10" s="8"/>
    </row>
    <row r="11" spans="1:10" ht="15.75" customHeight="1" x14ac:dyDescent="0.25">
      <c r="A11" s="4" t="s">
        <v>82</v>
      </c>
      <c r="B11" s="4" t="s">
        <v>11</v>
      </c>
      <c r="C11" s="5" t="s">
        <v>75</v>
      </c>
      <c r="D11" s="6">
        <v>0.11</v>
      </c>
      <c r="E11" s="7">
        <v>10</v>
      </c>
      <c r="F11" s="7">
        <v>10</v>
      </c>
      <c r="G11" s="7">
        <f t="shared" si="0"/>
        <v>1.1000000000000001</v>
      </c>
      <c r="H11" s="7">
        <v>0</v>
      </c>
      <c r="I11" s="7">
        <f t="shared" si="1"/>
        <v>0</v>
      </c>
      <c r="J11" s="8"/>
    </row>
    <row r="12" spans="1:10" ht="15.75" customHeight="1" x14ac:dyDescent="0.25">
      <c r="A12" s="4"/>
      <c r="B12" s="4"/>
      <c r="C12" s="5" t="s">
        <v>76</v>
      </c>
      <c r="D12" s="6">
        <v>0.11</v>
      </c>
      <c r="E12" s="7">
        <v>10</v>
      </c>
      <c r="F12" s="7">
        <v>10</v>
      </c>
      <c r="G12" s="7">
        <f t="shared" si="0"/>
        <v>1.1000000000000001</v>
      </c>
      <c r="H12" s="7">
        <v>0</v>
      </c>
      <c r="I12" s="7">
        <f t="shared" si="1"/>
        <v>0</v>
      </c>
      <c r="J12" s="8"/>
    </row>
    <row r="13" spans="1:10" ht="15.75" customHeight="1" x14ac:dyDescent="0.25">
      <c r="A13" s="4"/>
      <c r="B13" s="4"/>
      <c r="C13" s="5" t="s">
        <v>77</v>
      </c>
      <c r="D13" s="6">
        <v>0.11</v>
      </c>
      <c r="E13" s="7">
        <v>10</v>
      </c>
      <c r="F13" s="7">
        <v>10</v>
      </c>
      <c r="G13" s="7">
        <f t="shared" si="0"/>
        <v>1.1000000000000001</v>
      </c>
      <c r="H13" s="7">
        <v>0</v>
      </c>
      <c r="I13" s="7">
        <f t="shared" si="1"/>
        <v>0</v>
      </c>
      <c r="J13" s="8"/>
    </row>
    <row r="14" spans="1:10" ht="15.75" customHeight="1" x14ac:dyDescent="0.25">
      <c r="A14" s="4"/>
      <c r="B14" s="4"/>
      <c r="C14" s="5" t="s">
        <v>78</v>
      </c>
      <c r="D14" s="6">
        <v>0.11</v>
      </c>
      <c r="E14" s="7">
        <v>10</v>
      </c>
      <c r="F14" s="7">
        <v>10</v>
      </c>
      <c r="G14" s="7">
        <f t="shared" si="0"/>
        <v>1.1000000000000001</v>
      </c>
      <c r="H14" s="7">
        <v>0</v>
      </c>
      <c r="I14" s="7">
        <f t="shared" si="1"/>
        <v>0</v>
      </c>
      <c r="J14" s="8"/>
    </row>
    <row r="15" spans="1:10" ht="15.75" customHeight="1" x14ac:dyDescent="0.25">
      <c r="A15" s="4"/>
      <c r="B15" s="4"/>
      <c r="C15" s="5" t="s">
        <v>79</v>
      </c>
      <c r="D15" s="6">
        <v>0.2</v>
      </c>
      <c r="E15" s="7">
        <v>10</v>
      </c>
      <c r="F15" s="7">
        <v>18</v>
      </c>
      <c r="G15" s="7">
        <f t="shared" si="0"/>
        <v>2</v>
      </c>
      <c r="H15" s="7">
        <v>0</v>
      </c>
      <c r="I15" s="7">
        <f t="shared" si="1"/>
        <v>0</v>
      </c>
      <c r="J15" s="8"/>
    </row>
    <row r="16" spans="1:10" ht="15.75" customHeight="1" x14ac:dyDescent="0.25">
      <c r="A16" s="4"/>
      <c r="B16" s="4"/>
      <c r="C16" s="5" t="s">
        <v>80</v>
      </c>
      <c r="D16" s="6">
        <v>0.2</v>
      </c>
      <c r="E16" s="7">
        <v>10</v>
      </c>
      <c r="F16" s="7">
        <v>18</v>
      </c>
      <c r="G16" s="7">
        <f t="shared" si="0"/>
        <v>2</v>
      </c>
      <c r="H16" s="7">
        <v>0</v>
      </c>
      <c r="I16" s="7">
        <f t="shared" si="1"/>
        <v>0</v>
      </c>
      <c r="J16" s="8"/>
    </row>
    <row r="17" spans="1:10" ht="15.75" customHeight="1" x14ac:dyDescent="0.25">
      <c r="A17" s="4"/>
      <c r="B17" s="4"/>
      <c r="C17" s="5" t="s">
        <v>81</v>
      </c>
      <c r="D17" s="6">
        <v>0.11</v>
      </c>
      <c r="E17" s="7">
        <v>10</v>
      </c>
      <c r="F17" s="7">
        <v>10</v>
      </c>
      <c r="G17" s="7">
        <f t="shared" si="0"/>
        <v>1.1000000000000001</v>
      </c>
      <c r="H17" s="7">
        <v>0</v>
      </c>
      <c r="I17" s="7">
        <f t="shared" si="1"/>
        <v>0</v>
      </c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SUM(E4:E22)</f>
        <v>105</v>
      </c>
      <c r="F23" s="16">
        <f t="shared" si="2"/>
        <v>172</v>
      </c>
      <c r="G23" s="16">
        <f t="shared" si="2"/>
        <v>14.249999999999998</v>
      </c>
      <c r="H23" s="16"/>
      <c r="I23" s="16">
        <f>SUM(I4:I22)</f>
        <v>2195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190065.20999999996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83</v>
      </c>
      <c r="B31" s="39"/>
      <c r="C31" s="40">
        <v>2195</v>
      </c>
      <c r="D31" s="40">
        <v>2195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84</v>
      </c>
      <c r="B38" s="44"/>
      <c r="C38" s="202">
        <v>20355</v>
      </c>
      <c r="D38" s="202">
        <v>20355</v>
      </c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30" x14ac:dyDescent="0.25">
      <c r="A39" s="46" t="s">
        <v>85</v>
      </c>
      <c r="B39" s="47"/>
      <c r="C39" s="48">
        <v>27274</v>
      </c>
      <c r="D39" s="48">
        <v>27274</v>
      </c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144631.20999999996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1273191.4000000001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549.30999999999995</v>
      </c>
      <c r="C54" s="70" t="s">
        <v>87</v>
      </c>
      <c r="D54" s="71">
        <v>192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88</v>
      </c>
      <c r="B55" s="71">
        <v>631457.6</v>
      </c>
      <c r="C55" s="70" t="s">
        <v>51</v>
      </c>
      <c r="D55" s="71">
        <v>5636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89</v>
      </c>
      <c r="B56" s="70"/>
      <c r="C56" s="70" t="s">
        <v>90</v>
      </c>
      <c r="D56" s="70">
        <v>7000</v>
      </c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 t="s">
        <v>90</v>
      </c>
      <c r="D57" s="71">
        <v>7000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91</v>
      </c>
      <c r="D58" s="70">
        <v>8199.65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92</v>
      </c>
      <c r="D59" s="70">
        <v>14400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46</v>
      </c>
      <c r="D60" s="70">
        <v>67861.73</v>
      </c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 t="s">
        <v>93</v>
      </c>
      <c r="D61" s="70">
        <v>81000</v>
      </c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 t="s">
        <v>94</v>
      </c>
      <c r="D62" s="70">
        <v>257117.14</v>
      </c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 t="s">
        <v>95</v>
      </c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1905198.31</v>
      </c>
      <c r="C73" s="82"/>
      <c r="D73" s="83">
        <f>SUM(D54:D72)</f>
        <v>448406.52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1456791.79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1458799.4700000002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96"/>
    </row>
    <row r="79" spans="1:10" ht="15" x14ac:dyDescent="0.25">
      <c r="A79" s="97" t="s">
        <v>96</v>
      </c>
      <c r="B79" s="97">
        <f t="shared" ref="B79:B80" si="5">E79/F79/80</f>
        <v>1</v>
      </c>
      <c r="C79" s="97" t="s">
        <v>97</v>
      </c>
      <c r="D79" s="98">
        <v>0.2</v>
      </c>
      <c r="E79" s="98">
        <v>1440</v>
      </c>
      <c r="F79" s="99">
        <v>18</v>
      </c>
      <c r="G79" s="100">
        <f t="shared" ref="G79:G86" si="6">D79*E79</f>
        <v>288</v>
      </c>
      <c r="H79" s="99">
        <v>68</v>
      </c>
      <c r="I79" s="101">
        <f t="shared" ref="I79:I82" si="7">H79*E79</f>
        <v>97920</v>
      </c>
      <c r="J79" s="216" t="s">
        <v>98</v>
      </c>
    </row>
    <row r="80" spans="1:10" ht="15" x14ac:dyDescent="0.25">
      <c r="A80" s="102"/>
      <c r="B80" s="97">
        <f t="shared" si="5"/>
        <v>1</v>
      </c>
      <c r="C80" s="97" t="s">
        <v>99</v>
      </c>
      <c r="D80" s="98">
        <v>0.2</v>
      </c>
      <c r="E80" s="98">
        <v>1440</v>
      </c>
      <c r="F80" s="99">
        <v>18</v>
      </c>
      <c r="G80" s="100">
        <f t="shared" si="6"/>
        <v>288</v>
      </c>
      <c r="H80" s="99">
        <v>94.1</v>
      </c>
      <c r="I80" s="101">
        <f t="shared" si="7"/>
        <v>135504</v>
      </c>
      <c r="J80" s="217"/>
    </row>
    <row r="81" spans="1:10" ht="15" x14ac:dyDescent="0.25">
      <c r="A81" s="97" t="s">
        <v>100</v>
      </c>
      <c r="B81" s="97">
        <f t="shared" ref="B81:B82" si="8">E81/F81/288</f>
        <v>0.5</v>
      </c>
      <c r="C81" s="97" t="s">
        <v>101</v>
      </c>
      <c r="D81" s="98">
        <v>0.1</v>
      </c>
      <c r="E81" s="98">
        <v>1728</v>
      </c>
      <c r="F81" s="99">
        <v>12</v>
      </c>
      <c r="G81" s="100">
        <f t="shared" si="6"/>
        <v>172.8</v>
      </c>
      <c r="H81" s="99">
        <v>32.5</v>
      </c>
      <c r="I81" s="101">
        <f t="shared" si="7"/>
        <v>56160</v>
      </c>
      <c r="J81" s="216" t="s">
        <v>102</v>
      </c>
    </row>
    <row r="82" spans="1:10" ht="15" x14ac:dyDescent="0.25">
      <c r="A82" s="102"/>
      <c r="B82" s="97">
        <f t="shared" si="8"/>
        <v>0.5</v>
      </c>
      <c r="C82" s="97" t="s">
        <v>103</v>
      </c>
      <c r="D82" s="98">
        <v>0.1</v>
      </c>
      <c r="E82" s="98">
        <v>1728</v>
      </c>
      <c r="F82" s="99">
        <v>12</v>
      </c>
      <c r="G82" s="100">
        <f t="shared" si="6"/>
        <v>172.8</v>
      </c>
      <c r="H82" s="99">
        <v>32.5</v>
      </c>
      <c r="I82" s="101">
        <f t="shared" si="7"/>
        <v>56160</v>
      </c>
      <c r="J82" s="217"/>
    </row>
    <row r="83" spans="1:10" ht="15" x14ac:dyDescent="0.25">
      <c r="A83" s="97" t="s">
        <v>104</v>
      </c>
      <c r="B83" s="97">
        <f t="shared" ref="B83:B84" si="9">ROUNDUP(E83/F83/80,0)</f>
        <v>1</v>
      </c>
      <c r="C83" s="97" t="s">
        <v>105</v>
      </c>
      <c r="D83" s="98">
        <v>0.2</v>
      </c>
      <c r="E83" s="98">
        <v>1080</v>
      </c>
      <c r="F83" s="99">
        <v>18</v>
      </c>
      <c r="G83" s="100">
        <f t="shared" si="6"/>
        <v>216</v>
      </c>
      <c r="H83" s="99">
        <v>70.727800000000002</v>
      </c>
      <c r="I83" s="101">
        <v>76386</v>
      </c>
      <c r="J83" s="216" t="s">
        <v>102</v>
      </c>
    </row>
    <row r="84" spans="1:10" ht="15" x14ac:dyDescent="0.25">
      <c r="A84" s="103"/>
      <c r="B84" s="97">
        <f t="shared" si="9"/>
        <v>1</v>
      </c>
      <c r="C84" s="103" t="s">
        <v>106</v>
      </c>
      <c r="D84" s="97">
        <v>0.2</v>
      </c>
      <c r="E84" s="97">
        <v>576</v>
      </c>
      <c r="F84" s="104">
        <v>18</v>
      </c>
      <c r="G84" s="100">
        <f t="shared" si="6"/>
        <v>115.2</v>
      </c>
      <c r="H84" s="104">
        <v>70.727800000000002</v>
      </c>
      <c r="I84" s="101">
        <v>40739.199999999997</v>
      </c>
      <c r="J84" s="217"/>
    </row>
    <row r="85" spans="1:10" ht="15" x14ac:dyDescent="0.25">
      <c r="A85" s="103" t="s">
        <v>100</v>
      </c>
      <c r="B85" s="97">
        <f t="shared" ref="B85:B86" si="10">E85/F85/288</f>
        <v>0.5</v>
      </c>
      <c r="C85" s="103" t="s">
        <v>101</v>
      </c>
      <c r="D85" s="97">
        <v>0.1</v>
      </c>
      <c r="E85" s="98">
        <v>1728</v>
      </c>
      <c r="F85" s="104">
        <v>12</v>
      </c>
      <c r="G85" s="100">
        <f t="shared" si="6"/>
        <v>172.8</v>
      </c>
      <c r="H85" s="104">
        <v>32.5</v>
      </c>
      <c r="I85" s="101">
        <f t="shared" ref="I85:I86" si="11">H85*E85</f>
        <v>56160</v>
      </c>
      <c r="J85" s="216" t="s">
        <v>107</v>
      </c>
    </row>
    <row r="86" spans="1:10" ht="15" x14ac:dyDescent="0.25">
      <c r="A86" s="103"/>
      <c r="B86" s="97">
        <f t="shared" si="10"/>
        <v>0.5</v>
      </c>
      <c r="C86" s="103" t="s">
        <v>108</v>
      </c>
      <c r="D86" s="97">
        <v>0.1</v>
      </c>
      <c r="E86" s="98">
        <v>1728</v>
      </c>
      <c r="F86" s="104">
        <v>12</v>
      </c>
      <c r="G86" s="100">
        <f t="shared" si="6"/>
        <v>172.8</v>
      </c>
      <c r="H86" s="104">
        <v>32.5</v>
      </c>
      <c r="I86" s="101">
        <f t="shared" si="11"/>
        <v>56160</v>
      </c>
      <c r="J86" s="217"/>
    </row>
    <row r="87" spans="1:10" ht="15" x14ac:dyDescent="0.25">
      <c r="A87" s="103"/>
      <c r="B87" s="97"/>
      <c r="C87" s="97"/>
      <c r="D87" s="97"/>
      <c r="E87" s="97"/>
      <c r="F87" s="104"/>
      <c r="G87" s="100"/>
      <c r="H87" s="104"/>
      <c r="I87" s="101"/>
      <c r="J87" s="105"/>
    </row>
    <row r="88" spans="1:10" ht="15" x14ac:dyDescent="0.25">
      <c r="A88" s="103"/>
      <c r="B88" s="97"/>
      <c r="C88" s="103"/>
      <c r="D88" s="98"/>
      <c r="E88" s="99"/>
      <c r="F88" s="99"/>
      <c r="G88" s="100"/>
      <c r="H88" s="99"/>
      <c r="I88" s="101"/>
      <c r="J88" s="10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105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12">SUM(E79:E103)</f>
        <v>11448</v>
      </c>
      <c r="F104" s="138">
        <f t="shared" si="12"/>
        <v>120</v>
      </c>
      <c r="G104" s="139">
        <f t="shared" si="12"/>
        <v>1598.3999999999999</v>
      </c>
      <c r="H104" s="140"/>
      <c r="I104" s="141">
        <f>SUM(I79:I103)</f>
        <v>575189.19999999995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1703.3999999999999</v>
      </c>
      <c r="C107" s="146">
        <f>I23+H104+I104+F124</f>
        <v>577384.19999999995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30" x14ac:dyDescent="0.2">
      <c r="A110" s="155" t="s">
        <v>109</v>
      </c>
      <c r="B110" s="156" t="s">
        <v>110</v>
      </c>
      <c r="C110" s="155" t="s">
        <v>111</v>
      </c>
      <c r="D110" s="157" t="s">
        <v>112</v>
      </c>
      <c r="E110" s="158" t="s">
        <v>113</v>
      </c>
      <c r="F110" s="159">
        <v>20000</v>
      </c>
      <c r="G110" s="160">
        <v>20000</v>
      </c>
      <c r="H110" s="161"/>
      <c r="I110" s="147"/>
      <c r="J110" s="1"/>
    </row>
    <row r="111" spans="1:10" ht="15" x14ac:dyDescent="0.25">
      <c r="A111" s="103" t="s">
        <v>114</v>
      </c>
      <c r="B111" s="156" t="s">
        <v>110</v>
      </c>
      <c r="C111" s="103" t="s">
        <v>115</v>
      </c>
      <c r="D111" s="157" t="s">
        <v>112</v>
      </c>
      <c r="E111" s="203" t="str">
        <f>J79</f>
        <v>уфа</v>
      </c>
      <c r="F111" s="163">
        <v>6360</v>
      </c>
      <c r="G111" s="160">
        <f t="shared" ref="G111:G113" si="13">F111*H111</f>
        <v>12720</v>
      </c>
      <c r="H111" s="204">
        <f>SUM(B79:B80)</f>
        <v>2</v>
      </c>
      <c r="I111" s="165"/>
      <c r="J111" s="1"/>
    </row>
    <row r="112" spans="1:10" ht="15" x14ac:dyDescent="0.25">
      <c r="A112" s="103"/>
      <c r="B112" s="166"/>
      <c r="C112" s="103" t="s">
        <v>116</v>
      </c>
      <c r="D112" s="157" t="s">
        <v>112</v>
      </c>
      <c r="E112" s="167" t="s">
        <v>117</v>
      </c>
      <c r="F112" s="168">
        <v>1608</v>
      </c>
      <c r="G112" s="160">
        <f t="shared" si="13"/>
        <v>3216</v>
      </c>
      <c r="H112" s="204">
        <f>SUM(B83:B84)</f>
        <v>2</v>
      </c>
      <c r="I112" s="165"/>
      <c r="J112" s="1"/>
    </row>
    <row r="113" spans="1:10" ht="15" x14ac:dyDescent="0.25">
      <c r="A113" s="103"/>
      <c r="B113" s="166"/>
      <c r="C113" s="103" t="s">
        <v>100</v>
      </c>
      <c r="D113" s="157" t="s">
        <v>112</v>
      </c>
      <c r="E113" s="162" t="s">
        <v>107</v>
      </c>
      <c r="F113" s="169">
        <v>3744</v>
      </c>
      <c r="G113" s="160">
        <f t="shared" si="13"/>
        <v>3744</v>
      </c>
      <c r="H113" s="164">
        <v>1</v>
      </c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39680</v>
      </c>
      <c r="H121" s="186">
        <f>SUM(H110:H119)</f>
        <v>5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5:J86"/>
    <mergeCell ref="J95:J103"/>
    <mergeCell ref="A108:G108"/>
    <mergeCell ref="I51:J51"/>
    <mergeCell ref="I52:J52"/>
    <mergeCell ref="J79:J80"/>
    <mergeCell ref="J81:J82"/>
    <mergeCell ref="J83:J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/>
      <c r="B4" s="4"/>
      <c r="C4" s="5"/>
      <c r="D4" s="6"/>
      <c r="E4" s="10"/>
      <c r="F4" s="7"/>
      <c r="G4" s="7"/>
      <c r="H4" s="10"/>
      <c r="I4" s="10"/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192233.20999999996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118</v>
      </c>
      <c r="B38" s="44"/>
      <c r="C38" s="202">
        <v>2168</v>
      </c>
      <c r="D38" s="202">
        <v>2168</v>
      </c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190065.20999999996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490688.49999999994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634.32000000000005</v>
      </c>
      <c r="C54" s="70" t="s">
        <v>119</v>
      </c>
      <c r="D54" s="71">
        <v>500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120</v>
      </c>
      <c r="B55" s="71">
        <v>50000</v>
      </c>
      <c r="C55" s="70" t="s">
        <v>121</v>
      </c>
      <c r="D55" s="71">
        <v>2595.0100000000002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122</v>
      </c>
      <c r="B56" s="70"/>
      <c r="C56" s="70" t="s">
        <v>123</v>
      </c>
      <c r="D56" s="70">
        <v>21750.42</v>
      </c>
      <c r="E56" s="76"/>
      <c r="F56" s="76"/>
      <c r="G56" s="72"/>
      <c r="H56" s="73"/>
      <c r="I56" s="74"/>
      <c r="J56" s="74"/>
    </row>
    <row r="57" spans="1:10" ht="15" x14ac:dyDescent="0.25">
      <c r="A57" s="70" t="s">
        <v>124</v>
      </c>
      <c r="B57" s="70">
        <v>1460160</v>
      </c>
      <c r="C57" s="70" t="s">
        <v>125</v>
      </c>
      <c r="D57" s="71">
        <v>160272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126</v>
      </c>
      <c r="D58" s="70">
        <v>246708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127</v>
      </c>
      <c r="D59" s="70">
        <v>296465.99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128</v>
      </c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2001482.82</v>
      </c>
      <c r="C73" s="82"/>
      <c r="D73" s="83">
        <f>SUM(D54:D72)</f>
        <v>728291.41999999993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1273191.4000000001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1275199.0800000003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/>
      <c r="B79" s="97"/>
      <c r="C79" s="97"/>
      <c r="D79" s="98"/>
      <c r="E79" s="98"/>
      <c r="F79" s="99"/>
      <c r="G79" s="100"/>
      <c r="H79" s="99"/>
      <c r="I79" s="101"/>
      <c r="J79" s="226"/>
    </row>
    <row r="80" spans="1:10" ht="15" x14ac:dyDescent="0.25">
      <c r="A80" s="102"/>
      <c r="B80" s="102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25"/>
    </row>
    <row r="82" spans="1:10" ht="15" x14ac:dyDescent="0.25">
      <c r="A82" s="102"/>
      <c r="B82" s="102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08"/>
    </row>
    <row r="84" spans="1:10" ht="15" x14ac:dyDescent="0.25">
      <c r="A84" s="103"/>
      <c r="B84" s="103"/>
      <c r="C84" s="103"/>
      <c r="D84" s="97"/>
      <c r="E84" s="97"/>
      <c r="F84" s="104"/>
      <c r="G84" s="100"/>
      <c r="H84" s="104"/>
      <c r="I84" s="101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0"/>
      <c r="H85" s="104"/>
      <c r="I85" s="101"/>
      <c r="J85" s="219"/>
    </row>
    <row r="86" spans="1:10" ht="15" x14ac:dyDescent="0.25">
      <c r="A86" s="103"/>
      <c r="B86" s="103"/>
      <c r="C86" s="103"/>
      <c r="D86" s="97"/>
      <c r="E86" s="97"/>
      <c r="F86" s="104"/>
      <c r="G86" s="100"/>
      <c r="H86" s="104"/>
      <c r="I86" s="101"/>
      <c r="J86" s="219"/>
    </row>
    <row r="87" spans="1:10" ht="15" x14ac:dyDescent="0.25">
      <c r="A87" s="103"/>
      <c r="B87" s="103"/>
      <c r="C87" s="97"/>
      <c r="D87" s="97"/>
      <c r="E87" s="97"/>
      <c r="F87" s="104"/>
      <c r="G87" s="100"/>
      <c r="H87" s="104"/>
      <c r="I87" s="101"/>
      <c r="J87" s="219"/>
    </row>
    <row r="88" spans="1:10" ht="15" x14ac:dyDescent="0.25">
      <c r="A88" s="103"/>
      <c r="B88" s="103"/>
      <c r="C88" s="103"/>
      <c r="D88" s="98"/>
      <c r="E88" s="99"/>
      <c r="F88" s="99"/>
      <c r="G88" s="100"/>
      <c r="H88" s="99"/>
      <c r="I88" s="101"/>
      <c r="J88" s="22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/>
      <c r="B110" s="156"/>
      <c r="C110" s="155"/>
      <c r="D110" s="157"/>
      <c r="E110" s="158"/>
      <c r="F110" s="170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62"/>
      <c r="F111" s="209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03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03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8:J89"/>
    <mergeCell ref="J95:J103"/>
    <mergeCell ref="A108:G108"/>
    <mergeCell ref="I51:J51"/>
    <mergeCell ref="I52:J52"/>
    <mergeCell ref="J79:J80"/>
    <mergeCell ref="J81:J82"/>
    <mergeCell ref="J84:J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/>
      <c r="B4" s="4"/>
      <c r="C4" s="5"/>
      <c r="D4" s="6"/>
      <c r="E4" s="10"/>
      <c r="F4" s="7"/>
      <c r="G4" s="7"/>
      <c r="H4" s="10"/>
      <c r="I4" s="10"/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192233.20999999996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192233.20999999996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490688.49999999994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/>
      <c r="B54" s="70"/>
      <c r="C54" s="70"/>
      <c r="D54" s="71"/>
      <c r="E54" s="72"/>
      <c r="F54" s="73"/>
      <c r="G54" s="72"/>
      <c r="H54" s="73"/>
      <c r="I54" s="74"/>
      <c r="J54" s="75"/>
    </row>
    <row r="55" spans="1:10" ht="15" x14ac:dyDescent="0.25">
      <c r="A55" s="70"/>
      <c r="B55" s="71"/>
      <c r="C55" s="70"/>
      <c r="D55" s="71"/>
      <c r="E55" s="72"/>
      <c r="F55" s="73"/>
      <c r="G55" s="72"/>
      <c r="H55" s="73"/>
      <c r="I55" s="74"/>
      <c r="J55" s="74"/>
    </row>
    <row r="56" spans="1:10" ht="15" x14ac:dyDescent="0.25">
      <c r="A56" s="70"/>
      <c r="B56" s="70"/>
      <c r="C56" s="70"/>
      <c r="D56" s="70"/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/>
      <c r="D57" s="71"/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/>
      <c r="D58" s="70"/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/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490688.49999999994</v>
      </c>
      <c r="C73" s="82"/>
      <c r="D73" s="83">
        <f>SUM(D54:D72)</f>
        <v>0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490688.49999999994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492696.18000000005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/>
      <c r="B79" s="97"/>
      <c r="C79" s="97"/>
      <c r="D79" s="98"/>
      <c r="E79" s="98"/>
      <c r="F79" s="99"/>
      <c r="G79" s="100"/>
      <c r="H79" s="99"/>
      <c r="I79" s="101"/>
      <c r="J79" s="226"/>
    </row>
    <row r="80" spans="1:10" ht="15" x14ac:dyDescent="0.25">
      <c r="A80" s="102"/>
      <c r="B80" s="102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25"/>
    </row>
    <row r="82" spans="1:10" ht="15" x14ac:dyDescent="0.25">
      <c r="A82" s="102"/>
      <c r="B82" s="102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08"/>
    </row>
    <row r="84" spans="1:10" ht="15" x14ac:dyDescent="0.25">
      <c r="A84" s="103"/>
      <c r="B84" s="103"/>
      <c r="C84" s="103"/>
      <c r="D84" s="97"/>
      <c r="E84" s="97"/>
      <c r="F84" s="104"/>
      <c r="G84" s="100"/>
      <c r="H84" s="104"/>
      <c r="I84" s="101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0"/>
      <c r="H85" s="104"/>
      <c r="I85" s="101"/>
      <c r="J85" s="219"/>
    </row>
    <row r="86" spans="1:10" ht="15" x14ac:dyDescent="0.25">
      <c r="A86" s="103"/>
      <c r="B86" s="103"/>
      <c r="C86" s="103"/>
      <c r="D86" s="97"/>
      <c r="E86" s="97"/>
      <c r="F86" s="104"/>
      <c r="G86" s="100"/>
      <c r="H86" s="104"/>
      <c r="I86" s="101"/>
      <c r="J86" s="219"/>
    </row>
    <row r="87" spans="1:10" ht="15" x14ac:dyDescent="0.25">
      <c r="A87" s="103"/>
      <c r="B87" s="103"/>
      <c r="C87" s="97"/>
      <c r="D87" s="97"/>
      <c r="E87" s="97"/>
      <c r="F87" s="104"/>
      <c r="G87" s="100"/>
      <c r="H87" s="104"/>
      <c r="I87" s="101"/>
      <c r="J87" s="219"/>
    </row>
    <row r="88" spans="1:10" ht="15" x14ac:dyDescent="0.25">
      <c r="A88" s="103"/>
      <c r="B88" s="103"/>
      <c r="C88" s="103"/>
      <c r="D88" s="98"/>
      <c r="E88" s="99"/>
      <c r="F88" s="99"/>
      <c r="G88" s="100"/>
      <c r="H88" s="99"/>
      <c r="I88" s="101"/>
      <c r="J88" s="22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/>
      <c r="B110" s="156"/>
      <c r="C110" s="155"/>
      <c r="D110" s="157"/>
      <c r="E110" s="158"/>
      <c r="F110" s="170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62"/>
      <c r="F111" s="209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03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03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8:J89"/>
    <mergeCell ref="J95:J103"/>
    <mergeCell ref="A108:G108"/>
    <mergeCell ref="I51:J51"/>
    <mergeCell ref="I52:J52"/>
    <mergeCell ref="J79:J80"/>
    <mergeCell ref="J81:J82"/>
    <mergeCell ref="J84:J8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/>
      <c r="B4" s="4"/>
      <c r="C4" s="5"/>
      <c r="D4" s="6"/>
      <c r="E4" s="10"/>
      <c r="F4" s="7"/>
      <c r="G4" s="7"/>
      <c r="H4" s="10"/>
      <c r="I4" s="10"/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192233.21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192233.21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490688.49999999994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/>
      <c r="B54" s="70"/>
      <c r="C54" s="70"/>
      <c r="D54" s="71"/>
      <c r="E54" s="72"/>
      <c r="F54" s="73"/>
      <c r="G54" s="72"/>
      <c r="H54" s="73"/>
      <c r="I54" s="74"/>
      <c r="J54" s="75"/>
    </row>
    <row r="55" spans="1:10" ht="15" x14ac:dyDescent="0.25">
      <c r="A55" s="70"/>
      <c r="B55" s="71"/>
      <c r="C55" s="70"/>
      <c r="D55" s="71"/>
      <c r="E55" s="72"/>
      <c r="F55" s="73"/>
      <c r="G55" s="72"/>
      <c r="H55" s="73"/>
      <c r="I55" s="74"/>
      <c r="J55" s="74"/>
    </row>
    <row r="56" spans="1:10" ht="15" x14ac:dyDescent="0.25">
      <c r="A56" s="70"/>
      <c r="B56" s="70"/>
      <c r="C56" s="70"/>
      <c r="D56" s="70"/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/>
      <c r="D57" s="71"/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/>
      <c r="D58" s="70"/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/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490688.49999999994</v>
      </c>
      <c r="C73" s="82"/>
      <c r="D73" s="83">
        <f>SUM(D54:D72)</f>
        <v>0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490688.49999999994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492696.18000000005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/>
      <c r="B79" s="97"/>
      <c r="C79" s="97"/>
      <c r="D79" s="98"/>
      <c r="E79" s="98"/>
      <c r="F79" s="99"/>
      <c r="G79" s="100"/>
      <c r="H79" s="99"/>
      <c r="I79" s="101"/>
      <c r="J79" s="226"/>
    </row>
    <row r="80" spans="1:10" ht="15" x14ac:dyDescent="0.25">
      <c r="A80" s="102"/>
      <c r="B80" s="102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25"/>
    </row>
    <row r="82" spans="1:10" ht="15" x14ac:dyDescent="0.25">
      <c r="A82" s="102"/>
      <c r="B82" s="102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08"/>
    </row>
    <row r="84" spans="1:10" ht="15" x14ac:dyDescent="0.25">
      <c r="A84" s="103"/>
      <c r="B84" s="103"/>
      <c r="C84" s="103"/>
      <c r="D84" s="97"/>
      <c r="E84" s="97"/>
      <c r="F84" s="104"/>
      <c r="G84" s="100"/>
      <c r="H84" s="104"/>
      <c r="I84" s="101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0"/>
      <c r="H85" s="104"/>
      <c r="I85" s="101"/>
      <c r="J85" s="219"/>
    </row>
    <row r="86" spans="1:10" ht="15" x14ac:dyDescent="0.25">
      <c r="A86" s="103"/>
      <c r="B86" s="103"/>
      <c r="C86" s="103"/>
      <c r="D86" s="97"/>
      <c r="E86" s="97"/>
      <c r="F86" s="104"/>
      <c r="G86" s="100"/>
      <c r="H86" s="104"/>
      <c r="I86" s="101"/>
      <c r="J86" s="219"/>
    </row>
    <row r="87" spans="1:10" ht="15" x14ac:dyDescent="0.25">
      <c r="A87" s="103"/>
      <c r="B87" s="103"/>
      <c r="C87" s="97"/>
      <c r="D87" s="97"/>
      <c r="E87" s="97"/>
      <c r="F87" s="104"/>
      <c r="G87" s="100"/>
      <c r="H87" s="104"/>
      <c r="I87" s="101"/>
      <c r="J87" s="219"/>
    </row>
    <row r="88" spans="1:10" ht="15" x14ac:dyDescent="0.25">
      <c r="A88" s="103"/>
      <c r="B88" s="103"/>
      <c r="C88" s="103"/>
      <c r="D88" s="98"/>
      <c r="E88" s="99"/>
      <c r="F88" s="99"/>
      <c r="G88" s="100"/>
      <c r="H88" s="99"/>
      <c r="I88" s="101"/>
      <c r="J88" s="22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/>
      <c r="B110" s="156"/>
      <c r="C110" s="155"/>
      <c r="D110" s="157"/>
      <c r="E110" s="158"/>
      <c r="F110" s="170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62"/>
      <c r="F111" s="209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03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03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8:J89"/>
    <mergeCell ref="J95:J103"/>
    <mergeCell ref="A108:G108"/>
    <mergeCell ref="I51:J51"/>
    <mergeCell ref="I52:J52"/>
    <mergeCell ref="J79:J80"/>
    <mergeCell ref="J81:J82"/>
    <mergeCell ref="J84:J8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6" max="6" width="1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129</v>
      </c>
      <c r="B4" s="4" t="s">
        <v>11</v>
      </c>
      <c r="C4" s="5" t="s">
        <v>81</v>
      </c>
      <c r="D4" s="6">
        <v>0.11</v>
      </c>
      <c r="E4" s="10">
        <v>10</v>
      </c>
      <c r="F4" s="7">
        <v>10</v>
      </c>
      <c r="G4" s="7">
        <f>E4*D4</f>
        <v>1.1000000000000001</v>
      </c>
      <c r="H4" s="10">
        <v>139</v>
      </c>
      <c r="I4" s="10">
        <f>H4*E4</f>
        <v>1390</v>
      </c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10</v>
      </c>
      <c r="F23" s="16">
        <f t="shared" si="0"/>
        <v>10</v>
      </c>
      <c r="G23" s="205">
        <f t="shared" si="0"/>
        <v>1.1000000000000001</v>
      </c>
      <c r="H23" s="206"/>
      <c r="I23" s="207">
        <f>SUM(I4:I21)</f>
        <v>1390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1288616.21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130</v>
      </c>
      <c r="B31" s="39"/>
      <c r="C31" s="40">
        <v>1390</v>
      </c>
      <c r="D31" s="40">
        <v>1390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131</v>
      </c>
      <c r="B38" s="44"/>
      <c r="C38" s="202">
        <v>727272</v>
      </c>
      <c r="D38" s="202">
        <v>727272</v>
      </c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 t="s">
        <v>132</v>
      </c>
      <c r="B39" s="47"/>
      <c r="C39" s="48">
        <v>133400</v>
      </c>
      <c r="D39" s="48">
        <v>133400</v>
      </c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 t="s">
        <v>133</v>
      </c>
      <c r="B40" s="47"/>
      <c r="C40" s="48">
        <v>136600</v>
      </c>
      <c r="D40" s="48">
        <v>136600</v>
      </c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 t="s">
        <v>134</v>
      </c>
      <c r="B41" s="39"/>
      <c r="C41" s="49">
        <v>3500</v>
      </c>
      <c r="D41" s="49">
        <v>3500</v>
      </c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 t="s">
        <v>135</v>
      </c>
      <c r="B42" s="39"/>
      <c r="C42" s="40">
        <v>85000</v>
      </c>
      <c r="D42" s="40">
        <v>85000</v>
      </c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 t="s">
        <v>136</v>
      </c>
      <c r="B43" s="39"/>
      <c r="C43" s="40">
        <v>5000</v>
      </c>
      <c r="D43" s="40">
        <f t="shared" ref="D43:D45" si="3">C43</f>
        <v>5000</v>
      </c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 t="s">
        <v>137</v>
      </c>
      <c r="B44" s="39"/>
      <c r="C44" s="40">
        <v>4000</v>
      </c>
      <c r="D44" s="40">
        <f t="shared" si="3"/>
        <v>4000</v>
      </c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 t="s">
        <v>138</v>
      </c>
      <c r="B45" s="39"/>
      <c r="C45" s="40">
        <v>3001</v>
      </c>
      <c r="D45" s="40">
        <f t="shared" si="3"/>
        <v>3001</v>
      </c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192233.20999999996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619526.98</v>
      </c>
      <c r="D51" s="62"/>
      <c r="E51" s="63" t="s">
        <v>28</v>
      </c>
      <c r="F51" s="64"/>
      <c r="G51" s="65">
        <v>1325.3700000001118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267.10000000000002</v>
      </c>
      <c r="C54" s="70" t="s">
        <v>139</v>
      </c>
      <c r="D54" s="71">
        <v>1925.25</v>
      </c>
      <c r="E54" s="72" t="s">
        <v>140</v>
      </c>
      <c r="F54" s="73">
        <v>104000</v>
      </c>
      <c r="G54" s="72" t="s">
        <v>141</v>
      </c>
      <c r="H54" s="73">
        <v>103317.69</v>
      </c>
      <c r="I54" s="74"/>
      <c r="J54" s="75"/>
    </row>
    <row r="55" spans="1:10" ht="15" x14ac:dyDescent="0.25">
      <c r="A55" s="70" t="s">
        <v>142</v>
      </c>
      <c r="B55" s="71">
        <v>25190</v>
      </c>
      <c r="C55" s="70" t="s">
        <v>143</v>
      </c>
      <c r="D55" s="71">
        <v>10356.76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144</v>
      </c>
      <c r="B56" s="70"/>
      <c r="C56" s="70" t="s">
        <v>145</v>
      </c>
      <c r="D56" s="70">
        <v>12428.71</v>
      </c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 t="s">
        <v>146</v>
      </c>
      <c r="D57" s="71">
        <v>12428.72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147</v>
      </c>
      <c r="D58" s="70">
        <v>13156.14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140</v>
      </c>
      <c r="D59" s="70">
        <v>104000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148</v>
      </c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644984.07999999996</v>
      </c>
      <c r="C73" s="82"/>
      <c r="D73" s="83">
        <f>SUM(D54:D72)</f>
        <v>154295.58000000002</v>
      </c>
      <c r="E73" s="84"/>
      <c r="F73" s="85">
        <f>SUM(F54:F72)+G51</f>
        <v>105325.37000000011</v>
      </c>
      <c r="G73" s="84"/>
      <c r="H73" s="85">
        <f>SUM(H54:H72)</f>
        <v>103317.69</v>
      </c>
      <c r="I73" s="86"/>
      <c r="J73" s="87"/>
    </row>
    <row r="74" spans="1:10" ht="30" x14ac:dyDescent="0.25">
      <c r="A74" s="88" t="s">
        <v>33</v>
      </c>
      <c r="B74" s="61">
        <f>B73-D73</f>
        <v>490688.49999999994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492696.18000000005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45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 t="s">
        <v>149</v>
      </c>
      <c r="B79" s="227">
        <v>2</v>
      </c>
      <c r="C79" s="97" t="s">
        <v>99</v>
      </c>
      <c r="D79" s="98">
        <v>0.2</v>
      </c>
      <c r="E79" s="98">
        <v>1440</v>
      </c>
      <c r="F79" s="99">
        <v>18</v>
      </c>
      <c r="G79" s="100">
        <f t="shared" ref="G79:G89" si="4">E79*D79</f>
        <v>288</v>
      </c>
      <c r="H79" s="99">
        <v>94.1</v>
      </c>
      <c r="I79" s="101">
        <f t="shared" ref="I79:I89" si="5">H79*E79</f>
        <v>135504</v>
      </c>
      <c r="J79" s="226" t="s">
        <v>150</v>
      </c>
    </row>
    <row r="80" spans="1:10" ht="15" x14ac:dyDescent="0.25">
      <c r="A80" s="102"/>
      <c r="B80" s="217"/>
      <c r="C80" s="97" t="s">
        <v>97</v>
      </c>
      <c r="D80" s="98">
        <v>0.2</v>
      </c>
      <c r="E80" s="98">
        <v>1440</v>
      </c>
      <c r="F80" s="99">
        <v>18</v>
      </c>
      <c r="G80" s="100">
        <f t="shared" si="4"/>
        <v>288</v>
      </c>
      <c r="H80" s="99">
        <v>68</v>
      </c>
      <c r="I80" s="101">
        <f t="shared" si="5"/>
        <v>97920</v>
      </c>
      <c r="J80" s="217"/>
    </row>
    <row r="81" spans="1:10" ht="15" x14ac:dyDescent="0.25">
      <c r="A81" s="97" t="s">
        <v>149</v>
      </c>
      <c r="B81" s="227">
        <v>2</v>
      </c>
      <c r="C81" s="97" t="s">
        <v>99</v>
      </c>
      <c r="D81" s="98">
        <v>0.2</v>
      </c>
      <c r="E81" s="98">
        <v>1440</v>
      </c>
      <c r="F81" s="99">
        <v>18</v>
      </c>
      <c r="G81" s="100">
        <f t="shared" si="4"/>
        <v>288</v>
      </c>
      <c r="H81" s="99">
        <v>94.1</v>
      </c>
      <c r="I81" s="101">
        <f t="shared" si="5"/>
        <v>135504</v>
      </c>
      <c r="J81" s="225" t="s">
        <v>151</v>
      </c>
    </row>
    <row r="82" spans="1:10" ht="15" x14ac:dyDescent="0.25">
      <c r="A82" s="102"/>
      <c r="B82" s="217"/>
      <c r="C82" s="97" t="s">
        <v>97</v>
      </c>
      <c r="D82" s="98">
        <v>0.2</v>
      </c>
      <c r="E82" s="98">
        <v>1440</v>
      </c>
      <c r="F82" s="99">
        <v>18</v>
      </c>
      <c r="G82" s="100">
        <f t="shared" si="4"/>
        <v>288</v>
      </c>
      <c r="H82" s="99">
        <v>68</v>
      </c>
      <c r="I82" s="101">
        <f t="shared" si="5"/>
        <v>97920</v>
      </c>
      <c r="J82" s="217"/>
    </row>
    <row r="83" spans="1:10" ht="15" x14ac:dyDescent="0.25">
      <c r="A83" s="97" t="s">
        <v>149</v>
      </c>
      <c r="B83" s="97">
        <v>1</v>
      </c>
      <c r="C83" s="97" t="s">
        <v>97</v>
      </c>
      <c r="D83" s="98">
        <v>0.2</v>
      </c>
      <c r="E83" s="98">
        <v>1440</v>
      </c>
      <c r="F83" s="99">
        <v>18</v>
      </c>
      <c r="G83" s="100">
        <f t="shared" si="4"/>
        <v>288</v>
      </c>
      <c r="H83" s="99">
        <v>72</v>
      </c>
      <c r="I83" s="101">
        <f t="shared" si="5"/>
        <v>103680</v>
      </c>
      <c r="J83" s="208" t="s">
        <v>152</v>
      </c>
    </row>
    <row r="84" spans="1:10" ht="15" x14ac:dyDescent="0.25">
      <c r="A84" s="103"/>
      <c r="B84" s="228">
        <v>2</v>
      </c>
      <c r="C84" s="103" t="s">
        <v>153</v>
      </c>
      <c r="D84" s="97">
        <v>0.11</v>
      </c>
      <c r="E84" s="97">
        <v>150</v>
      </c>
      <c r="F84" s="104">
        <v>10</v>
      </c>
      <c r="G84" s="100">
        <f t="shared" si="4"/>
        <v>16.5</v>
      </c>
      <c r="H84" s="104">
        <v>39.9</v>
      </c>
      <c r="I84" s="101">
        <f t="shared" si="5"/>
        <v>5985</v>
      </c>
      <c r="J84" s="226" t="s">
        <v>151</v>
      </c>
    </row>
    <row r="85" spans="1:10" ht="15" x14ac:dyDescent="0.25">
      <c r="A85" s="103"/>
      <c r="B85" s="219"/>
      <c r="C85" s="103" t="s">
        <v>154</v>
      </c>
      <c r="D85" s="97">
        <v>0.11</v>
      </c>
      <c r="E85" s="97">
        <v>200</v>
      </c>
      <c r="F85" s="104">
        <v>10</v>
      </c>
      <c r="G85" s="100">
        <f t="shared" si="4"/>
        <v>22</v>
      </c>
      <c r="H85" s="104">
        <v>39.9</v>
      </c>
      <c r="I85" s="101">
        <f t="shared" si="5"/>
        <v>7980</v>
      </c>
      <c r="J85" s="219"/>
    </row>
    <row r="86" spans="1:10" ht="15" x14ac:dyDescent="0.25">
      <c r="A86" s="103"/>
      <c r="B86" s="219"/>
      <c r="C86" s="103" t="s">
        <v>99</v>
      </c>
      <c r="D86" s="97">
        <v>0.2</v>
      </c>
      <c r="E86" s="97">
        <v>540</v>
      </c>
      <c r="F86" s="104">
        <v>18</v>
      </c>
      <c r="G86" s="100">
        <f t="shared" si="4"/>
        <v>108</v>
      </c>
      <c r="H86" s="104">
        <v>96.43</v>
      </c>
      <c r="I86" s="101">
        <f t="shared" si="5"/>
        <v>52072.200000000004</v>
      </c>
      <c r="J86" s="219"/>
    </row>
    <row r="87" spans="1:10" ht="15" x14ac:dyDescent="0.25">
      <c r="A87" s="103"/>
      <c r="B87" s="217"/>
      <c r="C87" s="97" t="s">
        <v>97</v>
      </c>
      <c r="D87" s="97">
        <v>0.2</v>
      </c>
      <c r="E87" s="97">
        <v>540</v>
      </c>
      <c r="F87" s="104">
        <v>18</v>
      </c>
      <c r="G87" s="100">
        <f t="shared" si="4"/>
        <v>108</v>
      </c>
      <c r="H87" s="104">
        <v>90.25</v>
      </c>
      <c r="I87" s="101">
        <f t="shared" si="5"/>
        <v>48735</v>
      </c>
      <c r="J87" s="219"/>
    </row>
    <row r="88" spans="1:10" ht="15" x14ac:dyDescent="0.25">
      <c r="A88" s="103" t="s">
        <v>104</v>
      </c>
      <c r="B88" s="228">
        <v>1</v>
      </c>
      <c r="C88" s="103" t="s">
        <v>155</v>
      </c>
      <c r="D88" s="98">
        <v>0.2</v>
      </c>
      <c r="E88" s="99">
        <v>918</v>
      </c>
      <c r="F88" s="99">
        <v>18</v>
      </c>
      <c r="G88" s="100">
        <f t="shared" si="4"/>
        <v>183.60000000000002</v>
      </c>
      <c r="H88" s="99">
        <v>70.727777777777703</v>
      </c>
      <c r="I88" s="101">
        <f t="shared" si="5"/>
        <v>64928.099999999933</v>
      </c>
      <c r="J88" s="225" t="s">
        <v>156</v>
      </c>
    </row>
    <row r="89" spans="1:10" ht="15" x14ac:dyDescent="0.25">
      <c r="A89" s="106"/>
      <c r="B89" s="217"/>
      <c r="C89" s="103" t="s">
        <v>157</v>
      </c>
      <c r="D89" s="98">
        <v>0.2</v>
      </c>
      <c r="E89" s="98">
        <v>522</v>
      </c>
      <c r="F89" s="99">
        <v>18</v>
      </c>
      <c r="G89" s="100">
        <f t="shared" si="4"/>
        <v>104.4</v>
      </c>
      <c r="H89" s="99">
        <v>70.727777777777703</v>
      </c>
      <c r="I89" s="101">
        <f t="shared" si="5"/>
        <v>36919.899999999958</v>
      </c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6">SUM(E79:E103)</f>
        <v>10070</v>
      </c>
      <c r="F104" s="138">
        <f t="shared" si="6"/>
        <v>182</v>
      </c>
      <c r="G104" s="139">
        <f t="shared" si="6"/>
        <v>1982.5</v>
      </c>
      <c r="H104" s="140"/>
      <c r="I104" s="141">
        <f>SUM(I79:I103)</f>
        <v>787148.19999999984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1992.5</v>
      </c>
      <c r="C107" s="146">
        <f>I23+H104+I104+F124</f>
        <v>788538.19999999984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 t="s">
        <v>158</v>
      </c>
      <c r="B110" s="156" t="s">
        <v>110</v>
      </c>
      <c r="C110" s="155" t="s">
        <v>115</v>
      </c>
      <c r="D110" s="157"/>
      <c r="E110" s="158" t="str">
        <f>J79</f>
        <v>Пермь</v>
      </c>
      <c r="F110" s="170">
        <v>6360</v>
      </c>
      <c r="G110" s="160">
        <f t="shared" ref="G110:G114" si="7">F110*H110</f>
        <v>12720</v>
      </c>
      <c r="H110" s="161">
        <v>2</v>
      </c>
      <c r="I110" s="147"/>
      <c r="J110" s="1"/>
    </row>
    <row r="111" spans="1:10" ht="15" x14ac:dyDescent="0.25">
      <c r="A111" s="103"/>
      <c r="B111" s="156"/>
      <c r="C111" s="103"/>
      <c r="D111" s="103"/>
      <c r="E111" s="162" t="str">
        <f>J81</f>
        <v>Екб</v>
      </c>
      <c r="F111" s="209">
        <v>7260</v>
      </c>
      <c r="G111" s="160">
        <f t="shared" si="7"/>
        <v>14520</v>
      </c>
      <c r="H111" s="164">
        <v>2</v>
      </c>
      <c r="I111" s="165"/>
      <c r="J111" s="1"/>
    </row>
    <row r="112" spans="1:10" ht="15" x14ac:dyDescent="0.25">
      <c r="A112" s="103"/>
      <c r="B112" s="166"/>
      <c r="C112" s="103"/>
      <c r="D112" s="103"/>
      <c r="E112" s="167" t="str">
        <f t="shared" ref="E112:E113" si="8">J83</f>
        <v>Нефтеюганск</v>
      </c>
      <c r="F112" s="168">
        <v>13320</v>
      </c>
      <c r="G112" s="160">
        <f t="shared" si="7"/>
        <v>13320</v>
      </c>
      <c r="H112" s="164">
        <v>1</v>
      </c>
      <c r="I112" s="165"/>
      <c r="J112" s="1"/>
    </row>
    <row r="113" spans="1:10" ht="15" x14ac:dyDescent="0.25">
      <c r="A113" s="103"/>
      <c r="B113" s="166"/>
      <c r="C113" s="103" t="s">
        <v>159</v>
      </c>
      <c r="D113" s="103"/>
      <c r="E113" s="162" t="str">
        <f t="shared" si="8"/>
        <v>Екб</v>
      </c>
      <c r="F113" s="169">
        <v>10884</v>
      </c>
      <c r="G113" s="160">
        <f t="shared" si="7"/>
        <v>10884</v>
      </c>
      <c r="H113" s="164">
        <v>1</v>
      </c>
      <c r="I113" s="1"/>
      <c r="J113" s="1"/>
    </row>
    <row r="114" spans="1:10" ht="15" x14ac:dyDescent="0.25">
      <c r="A114" s="103"/>
      <c r="B114" s="166"/>
      <c r="C114" s="103" t="s">
        <v>116</v>
      </c>
      <c r="D114" s="103"/>
      <c r="E114" s="162" t="str">
        <f>J88</f>
        <v>СПБ</v>
      </c>
      <c r="F114" s="170">
        <v>3744</v>
      </c>
      <c r="G114" s="160">
        <f t="shared" si="7"/>
        <v>3744</v>
      </c>
      <c r="H114" s="164">
        <v>1</v>
      </c>
      <c r="I114" s="1"/>
      <c r="J114" s="1"/>
    </row>
    <row r="115" spans="1:10" ht="15" x14ac:dyDescent="0.25">
      <c r="A115" s="166" t="s">
        <v>160</v>
      </c>
      <c r="B115" s="103" t="s">
        <v>110</v>
      </c>
      <c r="C115" s="103" t="s">
        <v>161</v>
      </c>
      <c r="D115" s="103" t="s">
        <v>162</v>
      </c>
      <c r="E115" s="103" t="s">
        <v>163</v>
      </c>
      <c r="F115" s="171">
        <v>15000</v>
      </c>
      <c r="G115" s="171">
        <v>15000</v>
      </c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70188</v>
      </c>
      <c r="H121" s="186">
        <f>SUM(H110:H119)</f>
        <v>7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12">
    <mergeCell ref="B84:B87"/>
    <mergeCell ref="B88:B89"/>
    <mergeCell ref="A108:G108"/>
    <mergeCell ref="J88:J89"/>
    <mergeCell ref="J95:J103"/>
    <mergeCell ref="J84:J87"/>
    <mergeCell ref="I51:J51"/>
    <mergeCell ref="I52:J52"/>
    <mergeCell ref="B79:B80"/>
    <mergeCell ref="J79:J80"/>
    <mergeCell ref="B81:B82"/>
    <mergeCell ref="J81:J8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210"/>
      <c r="B4" s="210"/>
      <c r="C4" s="210"/>
      <c r="D4" s="210"/>
      <c r="E4" s="210"/>
      <c r="F4" s="210"/>
      <c r="G4" s="210"/>
      <c r="H4" s="210"/>
      <c r="I4" s="210"/>
      <c r="J4" s="8"/>
    </row>
    <row r="5" spans="1:10" ht="15.75" customHeight="1" x14ac:dyDescent="0.25">
      <c r="A5" s="210"/>
      <c r="B5" s="210"/>
      <c r="C5" s="210"/>
      <c r="D5" s="210"/>
      <c r="E5" s="210"/>
      <c r="F5" s="210"/>
      <c r="G5" s="210"/>
      <c r="H5" s="210"/>
      <c r="I5" s="210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1293696.3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164</v>
      </c>
      <c r="B38" s="44"/>
      <c r="C38" s="202">
        <v>5080.09</v>
      </c>
      <c r="D38" s="202">
        <v>5080.09</v>
      </c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1288616.21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133526.23000000001</v>
      </c>
      <c r="D51" s="62"/>
      <c r="E51" s="63" t="s">
        <v>28</v>
      </c>
      <c r="F51" s="64"/>
      <c r="G51" s="65">
        <v>1325.3700000001118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57.39</v>
      </c>
      <c r="C54" s="70" t="s">
        <v>165</v>
      </c>
      <c r="D54" s="71">
        <v>4789.6000000000004</v>
      </c>
      <c r="E54" s="72" t="s">
        <v>166</v>
      </c>
      <c r="F54" s="73">
        <v>564768</v>
      </c>
      <c r="G54" s="72" t="s">
        <v>140</v>
      </c>
      <c r="H54" s="73">
        <v>565000</v>
      </c>
      <c r="I54" s="74"/>
      <c r="J54" s="75"/>
    </row>
    <row r="55" spans="1:10" ht="15" x14ac:dyDescent="0.25">
      <c r="A55" s="70" t="s">
        <v>120</v>
      </c>
      <c r="B55" s="71">
        <v>72270</v>
      </c>
      <c r="C55" s="70" t="s">
        <v>167</v>
      </c>
      <c r="D55" s="71">
        <v>10806.8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168</v>
      </c>
      <c r="B56" s="70"/>
      <c r="C56" s="70" t="s">
        <v>169</v>
      </c>
      <c r="D56" s="70">
        <v>11814.14</v>
      </c>
      <c r="E56" s="76"/>
      <c r="F56" s="76"/>
      <c r="G56" s="72"/>
      <c r="H56" s="73"/>
      <c r="I56" s="74"/>
      <c r="J56" s="74"/>
    </row>
    <row r="57" spans="1:10" ht="15" x14ac:dyDescent="0.25">
      <c r="A57" s="70" t="s">
        <v>142</v>
      </c>
      <c r="B57" s="70">
        <v>156000</v>
      </c>
      <c r="C57" s="70" t="s">
        <v>170</v>
      </c>
      <c r="D57" s="71">
        <v>34756.1</v>
      </c>
      <c r="E57" s="77"/>
      <c r="F57" s="78"/>
      <c r="G57" s="78"/>
      <c r="H57" s="78"/>
      <c r="I57" s="74"/>
      <c r="J57" s="74"/>
    </row>
    <row r="58" spans="1:10" ht="15" x14ac:dyDescent="0.25">
      <c r="A58" s="70" t="s">
        <v>171</v>
      </c>
      <c r="B58" s="70">
        <v>565000</v>
      </c>
      <c r="C58" s="70" t="s">
        <v>172</v>
      </c>
      <c r="D58" s="70">
        <v>245160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173</v>
      </c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926853.62</v>
      </c>
      <c r="C73" s="82"/>
      <c r="D73" s="83">
        <f>SUM(D54:D72)</f>
        <v>307326.64</v>
      </c>
      <c r="E73" s="84"/>
      <c r="F73" s="85">
        <f>SUM(F54:F72)+G51</f>
        <v>566093.37000000011</v>
      </c>
      <c r="G73" s="84"/>
      <c r="H73" s="85">
        <f>SUM(H54:H72)</f>
        <v>565000</v>
      </c>
      <c r="I73" s="86"/>
      <c r="J73" s="87"/>
    </row>
    <row r="74" spans="1:10" ht="30" x14ac:dyDescent="0.25">
      <c r="A74" s="88" t="s">
        <v>33</v>
      </c>
      <c r="B74" s="61">
        <f>B73-D73</f>
        <v>619526.98</v>
      </c>
      <c r="C74" s="89"/>
      <c r="D74" s="22"/>
      <c r="E74" s="63" t="s">
        <v>33</v>
      </c>
      <c r="F74" s="65">
        <f>F73-H73</f>
        <v>1093.3700000001118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620620.35000000009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/>
      <c r="B79" s="103"/>
      <c r="C79" s="103"/>
      <c r="D79" s="97"/>
      <c r="E79" s="97"/>
      <c r="F79" s="104"/>
      <c r="G79" s="107"/>
      <c r="H79" s="104"/>
      <c r="I79" s="108"/>
      <c r="J79" s="211"/>
    </row>
    <row r="80" spans="1:10" ht="15" x14ac:dyDescent="0.25">
      <c r="A80" s="103"/>
      <c r="B80" s="103"/>
      <c r="C80" s="103"/>
      <c r="D80" s="97"/>
      <c r="E80" s="97"/>
      <c r="F80" s="104"/>
      <c r="G80" s="107"/>
      <c r="H80" s="104"/>
      <c r="I80" s="108"/>
      <c r="J80" s="226"/>
    </row>
    <row r="81" spans="1:10" ht="15" x14ac:dyDescent="0.25">
      <c r="A81" s="103"/>
      <c r="B81" s="103"/>
      <c r="C81" s="103"/>
      <c r="D81" s="97"/>
      <c r="E81" s="97"/>
      <c r="F81" s="104"/>
      <c r="G81" s="107"/>
      <c r="H81" s="104"/>
      <c r="I81" s="108"/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71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03"/>
      <c r="F111" s="159"/>
      <c r="G111" s="171"/>
      <c r="H111" s="172"/>
      <c r="I111" s="165"/>
      <c r="J111" s="1"/>
    </row>
    <row r="112" spans="1:10" ht="15" x14ac:dyDescent="0.25">
      <c r="A112" s="103"/>
      <c r="B112" s="166"/>
      <c r="C112" s="103"/>
      <c r="D112" s="103"/>
      <c r="E112" s="212"/>
      <c r="F112" s="170"/>
      <c r="G112" s="171"/>
      <c r="H112" s="172"/>
      <c r="I112" s="165"/>
      <c r="J112" s="1"/>
    </row>
    <row r="113" spans="1:10" ht="15" x14ac:dyDescent="0.25">
      <c r="A113" s="103"/>
      <c r="B113" s="166"/>
      <c r="C113" s="103"/>
      <c r="D113" s="103"/>
      <c r="E113" s="103"/>
      <c r="F113" s="170"/>
      <c r="G113" s="171"/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82</v>
      </c>
      <c r="B4" s="4" t="s">
        <v>11</v>
      </c>
      <c r="C4" s="5" t="s">
        <v>75</v>
      </c>
      <c r="D4" s="6">
        <v>0.11</v>
      </c>
      <c r="E4" s="7">
        <v>2</v>
      </c>
      <c r="F4" s="7">
        <v>10</v>
      </c>
      <c r="G4" s="7">
        <f t="shared" ref="G4:G16" si="0">E4*D4</f>
        <v>0.22</v>
      </c>
      <c r="H4" s="7">
        <v>0</v>
      </c>
      <c r="I4" s="7">
        <f t="shared" ref="I4:I10" si="1">H4*E4</f>
        <v>0</v>
      </c>
      <c r="J4" s="8"/>
    </row>
    <row r="5" spans="1:10" ht="15.75" customHeight="1" x14ac:dyDescent="0.25">
      <c r="A5" s="4"/>
      <c r="B5" s="4"/>
      <c r="C5" s="5" t="s">
        <v>76</v>
      </c>
      <c r="D5" s="6">
        <v>0.11</v>
      </c>
      <c r="E5" s="7">
        <v>2</v>
      </c>
      <c r="F5" s="7">
        <v>10</v>
      </c>
      <c r="G5" s="7">
        <f t="shared" si="0"/>
        <v>0.22</v>
      </c>
      <c r="H5" s="7">
        <v>0</v>
      </c>
      <c r="I5" s="7">
        <f t="shared" si="1"/>
        <v>0</v>
      </c>
      <c r="J5" s="8"/>
    </row>
    <row r="6" spans="1:10" ht="15.75" customHeight="1" x14ac:dyDescent="0.25">
      <c r="A6" s="4"/>
      <c r="B6" s="4"/>
      <c r="C6" s="5" t="s">
        <v>77</v>
      </c>
      <c r="D6" s="6">
        <v>0.11</v>
      </c>
      <c r="E6" s="7">
        <v>2</v>
      </c>
      <c r="F6" s="7">
        <v>10</v>
      </c>
      <c r="G6" s="7">
        <f t="shared" si="0"/>
        <v>0.22</v>
      </c>
      <c r="H6" s="7">
        <v>0</v>
      </c>
      <c r="I6" s="7">
        <f t="shared" si="1"/>
        <v>0</v>
      </c>
      <c r="J6" s="8"/>
    </row>
    <row r="7" spans="1:10" ht="15.75" customHeight="1" x14ac:dyDescent="0.25">
      <c r="A7" s="4"/>
      <c r="B7" s="4"/>
      <c r="C7" s="5" t="s">
        <v>78</v>
      </c>
      <c r="D7" s="6">
        <v>0.11</v>
      </c>
      <c r="E7" s="7">
        <v>2</v>
      </c>
      <c r="F7" s="7">
        <v>10</v>
      </c>
      <c r="G7" s="7">
        <f t="shared" si="0"/>
        <v>0.22</v>
      </c>
      <c r="H7" s="7">
        <v>0</v>
      </c>
      <c r="I7" s="7">
        <f t="shared" si="1"/>
        <v>0</v>
      </c>
      <c r="J7" s="8"/>
    </row>
    <row r="8" spans="1:10" ht="15.75" customHeight="1" x14ac:dyDescent="0.25">
      <c r="A8" s="4"/>
      <c r="B8" s="4"/>
      <c r="C8" s="5" t="s">
        <v>79</v>
      </c>
      <c r="D8" s="6">
        <v>0.2</v>
      </c>
      <c r="E8" s="7">
        <v>5</v>
      </c>
      <c r="F8" s="7">
        <v>18</v>
      </c>
      <c r="G8" s="7">
        <f t="shared" si="0"/>
        <v>1</v>
      </c>
      <c r="H8" s="7">
        <v>0</v>
      </c>
      <c r="I8" s="7">
        <f t="shared" si="1"/>
        <v>0</v>
      </c>
      <c r="J8" s="8"/>
    </row>
    <row r="9" spans="1:10" ht="15.75" customHeight="1" x14ac:dyDescent="0.25">
      <c r="A9" s="4"/>
      <c r="B9" s="4"/>
      <c r="C9" s="5" t="s">
        <v>80</v>
      </c>
      <c r="D9" s="6">
        <v>0.2</v>
      </c>
      <c r="E9" s="7">
        <v>5</v>
      </c>
      <c r="F9" s="7">
        <v>18</v>
      </c>
      <c r="G9" s="7">
        <f t="shared" si="0"/>
        <v>1</v>
      </c>
      <c r="H9" s="7">
        <v>0</v>
      </c>
      <c r="I9" s="7">
        <f t="shared" si="1"/>
        <v>0</v>
      </c>
      <c r="J9" s="8"/>
    </row>
    <row r="10" spans="1:10" ht="15.75" customHeight="1" x14ac:dyDescent="0.25">
      <c r="A10" s="4"/>
      <c r="B10" s="4"/>
      <c r="C10" s="5" t="s">
        <v>81</v>
      </c>
      <c r="D10" s="6">
        <v>0.11</v>
      </c>
      <c r="E10" s="7">
        <v>2</v>
      </c>
      <c r="F10" s="7">
        <v>10</v>
      </c>
      <c r="G10" s="7">
        <f t="shared" si="0"/>
        <v>0.22</v>
      </c>
      <c r="H10" s="7">
        <v>0</v>
      </c>
      <c r="I10" s="7">
        <f t="shared" si="1"/>
        <v>0</v>
      </c>
      <c r="J10" s="8"/>
    </row>
    <row r="11" spans="1:10" ht="15.75" customHeight="1" x14ac:dyDescent="0.25">
      <c r="A11" s="4" t="s">
        <v>174</v>
      </c>
      <c r="B11" s="4"/>
      <c r="C11" s="5" t="s">
        <v>75</v>
      </c>
      <c r="D11" s="6">
        <v>0.11</v>
      </c>
      <c r="E11" s="10">
        <v>10</v>
      </c>
      <c r="F11" s="7">
        <v>10</v>
      </c>
      <c r="G11" s="7">
        <f t="shared" si="0"/>
        <v>1.1000000000000001</v>
      </c>
      <c r="H11" s="10">
        <v>0</v>
      </c>
      <c r="I11" s="10">
        <v>0</v>
      </c>
      <c r="J11" s="8"/>
    </row>
    <row r="12" spans="1:10" ht="15.75" customHeight="1" x14ac:dyDescent="0.25">
      <c r="A12" s="4"/>
      <c r="B12" s="4"/>
      <c r="C12" s="5" t="s">
        <v>76</v>
      </c>
      <c r="D12" s="6">
        <v>0.11</v>
      </c>
      <c r="E12" s="10">
        <v>10</v>
      </c>
      <c r="F12" s="7">
        <v>10</v>
      </c>
      <c r="G12" s="7">
        <f t="shared" si="0"/>
        <v>1.1000000000000001</v>
      </c>
      <c r="H12" s="10">
        <v>0</v>
      </c>
      <c r="I12" s="10">
        <v>0</v>
      </c>
      <c r="J12" s="8"/>
    </row>
    <row r="13" spans="1:10" ht="15.75" customHeight="1" x14ac:dyDescent="0.25">
      <c r="A13" s="4"/>
      <c r="B13" s="4"/>
      <c r="C13" s="5" t="s">
        <v>77</v>
      </c>
      <c r="D13" s="6">
        <v>0.11</v>
      </c>
      <c r="E13" s="10">
        <v>10</v>
      </c>
      <c r="F13" s="7">
        <v>10</v>
      </c>
      <c r="G13" s="7">
        <f t="shared" si="0"/>
        <v>1.1000000000000001</v>
      </c>
      <c r="H13" s="10">
        <v>0</v>
      </c>
      <c r="I13" s="10">
        <v>0</v>
      </c>
      <c r="J13" s="8"/>
    </row>
    <row r="14" spans="1:10" ht="15.75" customHeight="1" x14ac:dyDescent="0.25">
      <c r="A14" s="4"/>
      <c r="B14" s="4"/>
      <c r="C14" s="5" t="s">
        <v>78</v>
      </c>
      <c r="D14" s="6">
        <v>0.11</v>
      </c>
      <c r="E14" s="10">
        <v>10</v>
      </c>
      <c r="F14" s="7">
        <v>10</v>
      </c>
      <c r="G14" s="7">
        <f t="shared" si="0"/>
        <v>1.1000000000000001</v>
      </c>
      <c r="H14" s="10">
        <v>0</v>
      </c>
      <c r="I14" s="10">
        <v>0</v>
      </c>
      <c r="J14" s="8"/>
    </row>
    <row r="15" spans="1:10" ht="15.75" customHeight="1" x14ac:dyDescent="0.25">
      <c r="A15" s="4"/>
      <c r="B15" s="4"/>
      <c r="C15" s="5" t="s">
        <v>79</v>
      </c>
      <c r="D15" s="6">
        <v>0.2</v>
      </c>
      <c r="E15" s="10">
        <v>18</v>
      </c>
      <c r="F15" s="7">
        <v>18</v>
      </c>
      <c r="G15" s="7">
        <f t="shared" si="0"/>
        <v>3.6</v>
      </c>
      <c r="H15" s="10">
        <v>0</v>
      </c>
      <c r="I15" s="10">
        <v>0</v>
      </c>
      <c r="J15" s="8"/>
    </row>
    <row r="16" spans="1:10" ht="15.75" customHeight="1" x14ac:dyDescent="0.25">
      <c r="A16" s="4"/>
      <c r="B16" s="4"/>
      <c r="C16" s="5" t="s">
        <v>81</v>
      </c>
      <c r="D16" s="6">
        <v>0.11</v>
      </c>
      <c r="E16" s="10">
        <v>10</v>
      </c>
      <c r="F16" s="7">
        <v>10</v>
      </c>
      <c r="G16" s="7">
        <f t="shared" si="0"/>
        <v>1.1000000000000001</v>
      </c>
      <c r="H16" s="10">
        <v>0</v>
      </c>
      <c r="I16" s="10">
        <v>0</v>
      </c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SUM(E4:E16)</f>
        <v>88</v>
      </c>
      <c r="F23" s="16">
        <f t="shared" si="2"/>
        <v>154</v>
      </c>
      <c r="G23" s="205">
        <f t="shared" si="2"/>
        <v>12.2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1293696.3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175</v>
      </c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1293696.3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139215.25</v>
      </c>
      <c r="D51" s="62"/>
      <c r="E51" s="63" t="s">
        <v>28</v>
      </c>
      <c r="F51" s="64"/>
      <c r="G51" s="65">
        <v>1325.3700000001118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59.98</v>
      </c>
      <c r="C54" s="70" t="s">
        <v>176</v>
      </c>
      <c r="D54" s="71">
        <v>1500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177</v>
      </c>
      <c r="B55" s="71"/>
      <c r="C55" s="70" t="s">
        <v>178</v>
      </c>
      <c r="D55" s="71">
        <v>4249</v>
      </c>
      <c r="E55" s="72"/>
      <c r="F55" s="73"/>
      <c r="G55" s="72"/>
      <c r="H55" s="73"/>
      <c r="I55" s="74"/>
      <c r="J55" s="74"/>
    </row>
    <row r="56" spans="1:10" ht="15" x14ac:dyDescent="0.25">
      <c r="A56" s="214"/>
      <c r="B56" s="214"/>
      <c r="C56" s="70" t="s">
        <v>179</v>
      </c>
      <c r="D56" s="70"/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/>
      <c r="D57" s="71"/>
      <c r="E57" s="77"/>
      <c r="F57" s="78"/>
      <c r="G57" s="78"/>
      <c r="H57" s="78"/>
      <c r="I57" s="74"/>
      <c r="J57" s="74"/>
    </row>
    <row r="58" spans="1:10" ht="15" x14ac:dyDescent="0.25">
      <c r="A58" s="75"/>
      <c r="B58" s="70"/>
      <c r="C58" s="70"/>
      <c r="D58" s="70"/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/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139275.23000000001</v>
      </c>
      <c r="C73" s="82"/>
      <c r="D73" s="83">
        <f>SUM(D54:D72)</f>
        <v>5749</v>
      </c>
      <c r="E73" s="84"/>
      <c r="F73" s="85">
        <f>SUM(F54:F72)+G51</f>
        <v>1325.3700000001118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133526.23000000001</v>
      </c>
      <c r="C74" s="89"/>
      <c r="D74" s="22"/>
      <c r="E74" s="63" t="s">
        <v>33</v>
      </c>
      <c r="F74" s="65">
        <f>F73-H73</f>
        <v>1325.3700000001118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134851.60000000012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/>
      <c r="B79" s="103"/>
      <c r="C79" s="103"/>
      <c r="D79" s="97"/>
      <c r="E79" s="97"/>
      <c r="F79" s="104"/>
      <c r="G79" s="107"/>
      <c r="H79" s="104"/>
      <c r="I79" s="108"/>
      <c r="J79" s="211"/>
    </row>
    <row r="80" spans="1:10" ht="15" x14ac:dyDescent="0.25">
      <c r="A80" s="103"/>
      <c r="B80" s="103"/>
      <c r="C80" s="103"/>
      <c r="D80" s="97"/>
      <c r="E80" s="97"/>
      <c r="F80" s="104"/>
      <c r="G80" s="107"/>
      <c r="H80" s="104"/>
      <c r="I80" s="108"/>
      <c r="J80" s="226"/>
    </row>
    <row r="81" spans="1:10" ht="15" x14ac:dyDescent="0.25">
      <c r="A81" s="103"/>
      <c r="B81" s="103"/>
      <c r="C81" s="103"/>
      <c r="D81" s="97"/>
      <c r="E81" s="97"/>
      <c r="F81" s="104"/>
      <c r="G81" s="107"/>
      <c r="H81" s="104"/>
      <c r="I81" s="108"/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5">SUM(E79:E103)</f>
        <v>0</v>
      </c>
      <c r="F104" s="138">
        <f t="shared" si="5"/>
        <v>0</v>
      </c>
      <c r="G104" s="139">
        <f t="shared" si="5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88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71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03"/>
      <c r="F111" s="159"/>
      <c r="G111" s="171"/>
      <c r="H111" s="172"/>
      <c r="I111" s="165"/>
      <c r="J111" s="1"/>
    </row>
    <row r="112" spans="1:10" ht="15" x14ac:dyDescent="0.25">
      <c r="A112" s="103"/>
      <c r="B112" s="166"/>
      <c r="C112" s="103"/>
      <c r="D112" s="103"/>
      <c r="E112" s="212"/>
      <c r="F112" s="170"/>
      <c r="G112" s="171"/>
      <c r="H112" s="172"/>
      <c r="I112" s="165"/>
      <c r="J112" s="1"/>
    </row>
    <row r="113" spans="1:10" ht="15" x14ac:dyDescent="0.25">
      <c r="A113" s="103"/>
      <c r="B113" s="166"/>
      <c r="C113" s="103"/>
      <c r="D113" s="103"/>
      <c r="E113" s="103"/>
      <c r="F113" s="170"/>
      <c r="G113" s="171"/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K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1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1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1" ht="15.75" customHeight="1" x14ac:dyDescent="0.25">
      <c r="A4" s="4" t="s">
        <v>180</v>
      </c>
      <c r="B4" s="4" t="s">
        <v>11</v>
      </c>
      <c r="C4" s="5" t="s">
        <v>75</v>
      </c>
      <c r="D4" s="6">
        <v>0.11</v>
      </c>
      <c r="E4" s="7">
        <v>30</v>
      </c>
      <c r="F4" s="7">
        <v>10</v>
      </c>
      <c r="G4" s="7">
        <f t="shared" ref="G4:G19" si="0">E4*D4</f>
        <v>3.3</v>
      </c>
      <c r="H4" s="7">
        <v>35</v>
      </c>
      <c r="I4" s="7">
        <f t="shared" ref="I4:I19" si="1">H4*E4</f>
        <v>1050</v>
      </c>
      <c r="J4" s="8"/>
      <c r="K4" s="9" t="s">
        <v>181</v>
      </c>
    </row>
    <row r="5" spans="1:11" ht="15.75" customHeight="1" x14ac:dyDescent="0.25">
      <c r="A5" s="4"/>
      <c r="B5" s="4"/>
      <c r="C5" s="5" t="s">
        <v>76</v>
      </c>
      <c r="D5" s="6">
        <v>0.11</v>
      </c>
      <c r="E5" s="7">
        <v>30</v>
      </c>
      <c r="F5" s="7">
        <v>10</v>
      </c>
      <c r="G5" s="7">
        <f t="shared" si="0"/>
        <v>3.3</v>
      </c>
      <c r="H5" s="7">
        <v>35</v>
      </c>
      <c r="I5" s="7">
        <f t="shared" si="1"/>
        <v>1050</v>
      </c>
      <c r="J5" s="8"/>
    </row>
    <row r="6" spans="1:11" ht="15.75" customHeight="1" x14ac:dyDescent="0.25">
      <c r="A6" s="4"/>
      <c r="B6" s="4"/>
      <c r="C6" s="5" t="s">
        <v>77</v>
      </c>
      <c r="D6" s="6">
        <v>0.11</v>
      </c>
      <c r="E6" s="7">
        <v>30</v>
      </c>
      <c r="F6" s="7">
        <v>10</v>
      </c>
      <c r="G6" s="7">
        <f t="shared" si="0"/>
        <v>3.3</v>
      </c>
      <c r="H6" s="7">
        <v>35</v>
      </c>
      <c r="I6" s="7">
        <f t="shared" si="1"/>
        <v>1050</v>
      </c>
      <c r="J6" s="8"/>
    </row>
    <row r="7" spans="1:11" ht="15.75" customHeight="1" x14ac:dyDescent="0.25">
      <c r="A7" s="4"/>
      <c r="B7" s="4"/>
      <c r="C7" s="5" t="s">
        <v>78</v>
      </c>
      <c r="D7" s="6">
        <v>0.11</v>
      </c>
      <c r="E7" s="7">
        <v>30</v>
      </c>
      <c r="F7" s="7">
        <v>10</v>
      </c>
      <c r="G7" s="7">
        <f t="shared" si="0"/>
        <v>3.3</v>
      </c>
      <c r="H7" s="7">
        <v>35</v>
      </c>
      <c r="I7" s="7">
        <f t="shared" si="1"/>
        <v>1050</v>
      </c>
      <c r="J7" s="8"/>
    </row>
    <row r="8" spans="1:11" ht="15.75" customHeight="1" x14ac:dyDescent="0.25">
      <c r="A8" s="4"/>
      <c r="B8" s="4"/>
      <c r="C8" s="5" t="s">
        <v>79</v>
      </c>
      <c r="D8" s="6">
        <v>0.2</v>
      </c>
      <c r="E8" s="7">
        <v>216</v>
      </c>
      <c r="F8" s="7">
        <v>18</v>
      </c>
      <c r="G8" s="7">
        <f t="shared" si="0"/>
        <v>43.2</v>
      </c>
      <c r="H8" s="7">
        <v>85</v>
      </c>
      <c r="I8" s="7">
        <f t="shared" si="1"/>
        <v>18360</v>
      </c>
      <c r="J8" s="8"/>
    </row>
    <row r="9" spans="1:11" ht="15.75" customHeight="1" x14ac:dyDescent="0.25">
      <c r="A9" s="4"/>
      <c r="B9" s="4"/>
      <c r="C9" s="5" t="s">
        <v>80</v>
      </c>
      <c r="D9" s="6">
        <v>0.2</v>
      </c>
      <c r="E9" s="7">
        <v>180</v>
      </c>
      <c r="F9" s="7">
        <v>18</v>
      </c>
      <c r="G9" s="7">
        <f t="shared" si="0"/>
        <v>36</v>
      </c>
      <c r="H9" s="7">
        <v>75</v>
      </c>
      <c r="I9" s="7">
        <f t="shared" si="1"/>
        <v>13500</v>
      </c>
      <c r="J9" s="8"/>
    </row>
    <row r="10" spans="1:11" ht="15.75" customHeight="1" x14ac:dyDescent="0.25">
      <c r="A10" s="4"/>
      <c r="B10" s="4"/>
      <c r="C10" s="5" t="s">
        <v>182</v>
      </c>
      <c r="D10" s="6">
        <v>0.5</v>
      </c>
      <c r="E10" s="7">
        <v>20</v>
      </c>
      <c r="F10" s="7">
        <v>10</v>
      </c>
      <c r="G10" s="7">
        <f t="shared" si="0"/>
        <v>10</v>
      </c>
      <c r="H10" s="7">
        <v>110</v>
      </c>
      <c r="I10" s="7">
        <f t="shared" si="1"/>
        <v>2200</v>
      </c>
      <c r="J10" s="8"/>
    </row>
    <row r="11" spans="1:11" ht="15.75" customHeight="1" x14ac:dyDescent="0.25">
      <c r="A11" s="4"/>
      <c r="B11" s="4"/>
      <c r="C11" s="5" t="s">
        <v>183</v>
      </c>
      <c r="D11" s="6">
        <v>0.5</v>
      </c>
      <c r="E11" s="7">
        <v>10</v>
      </c>
      <c r="F11" s="7">
        <v>10</v>
      </c>
      <c r="G11" s="7">
        <f t="shared" si="0"/>
        <v>5</v>
      </c>
      <c r="H11" s="7">
        <v>110</v>
      </c>
      <c r="I11" s="7">
        <f t="shared" si="1"/>
        <v>1100</v>
      </c>
      <c r="J11" s="8"/>
    </row>
    <row r="12" spans="1:11" ht="15.75" customHeight="1" x14ac:dyDescent="0.25">
      <c r="A12" s="4"/>
      <c r="B12" s="4"/>
      <c r="C12" s="5" t="s">
        <v>184</v>
      </c>
      <c r="D12" s="6">
        <v>0.5</v>
      </c>
      <c r="E12" s="7">
        <v>10</v>
      </c>
      <c r="F12" s="7">
        <v>10</v>
      </c>
      <c r="G12" s="7">
        <f t="shared" si="0"/>
        <v>5</v>
      </c>
      <c r="H12" s="7">
        <v>110</v>
      </c>
      <c r="I12" s="7">
        <f t="shared" si="1"/>
        <v>1100</v>
      </c>
      <c r="J12" s="8"/>
    </row>
    <row r="13" spans="1:11" ht="15.75" customHeight="1" x14ac:dyDescent="0.25">
      <c r="A13" s="4"/>
      <c r="B13" s="4"/>
      <c r="C13" s="5" t="s">
        <v>185</v>
      </c>
      <c r="D13" s="6">
        <v>0.5</v>
      </c>
      <c r="E13" s="7">
        <v>10</v>
      </c>
      <c r="F13" s="7">
        <v>10</v>
      </c>
      <c r="G13" s="7">
        <f t="shared" si="0"/>
        <v>5</v>
      </c>
      <c r="H13" s="7">
        <v>110</v>
      </c>
      <c r="I13" s="7">
        <f t="shared" si="1"/>
        <v>1100</v>
      </c>
      <c r="J13" s="8"/>
    </row>
    <row r="14" spans="1:11" ht="15.75" customHeight="1" x14ac:dyDescent="0.25">
      <c r="A14" s="4"/>
      <c r="B14" s="4"/>
      <c r="C14" s="5" t="s">
        <v>186</v>
      </c>
      <c r="D14" s="6">
        <v>0.5</v>
      </c>
      <c r="E14" s="7">
        <v>10</v>
      </c>
      <c r="F14" s="7">
        <v>10</v>
      </c>
      <c r="G14" s="7">
        <f t="shared" si="0"/>
        <v>5</v>
      </c>
      <c r="H14" s="7">
        <v>110</v>
      </c>
      <c r="I14" s="7">
        <f t="shared" si="1"/>
        <v>1100</v>
      </c>
      <c r="J14" s="8"/>
    </row>
    <row r="15" spans="1:11" ht="15.75" customHeight="1" x14ac:dyDescent="0.25">
      <c r="A15" s="4"/>
      <c r="B15" s="4"/>
      <c r="C15" s="5" t="s">
        <v>187</v>
      </c>
      <c r="D15" s="6">
        <v>0.5</v>
      </c>
      <c r="E15" s="7">
        <v>10</v>
      </c>
      <c r="F15" s="7">
        <v>10</v>
      </c>
      <c r="G15" s="7">
        <f t="shared" si="0"/>
        <v>5</v>
      </c>
      <c r="H15" s="7">
        <v>110</v>
      </c>
      <c r="I15" s="7">
        <f t="shared" si="1"/>
        <v>1100</v>
      </c>
      <c r="J15" s="8"/>
    </row>
    <row r="16" spans="1:11" ht="15.75" customHeight="1" x14ac:dyDescent="0.25">
      <c r="A16" s="4"/>
      <c r="B16" s="4"/>
      <c r="C16" s="5" t="s">
        <v>188</v>
      </c>
      <c r="D16" s="6">
        <v>0.5</v>
      </c>
      <c r="E16" s="7">
        <v>20</v>
      </c>
      <c r="F16" s="7">
        <v>10</v>
      </c>
      <c r="G16" s="7">
        <f t="shared" si="0"/>
        <v>10</v>
      </c>
      <c r="H16" s="7">
        <v>110</v>
      </c>
      <c r="I16" s="7">
        <f t="shared" si="1"/>
        <v>2200</v>
      </c>
      <c r="J16" s="8"/>
    </row>
    <row r="17" spans="1:10" ht="15.75" customHeight="1" x14ac:dyDescent="0.25">
      <c r="A17" s="4"/>
      <c r="B17" s="4"/>
      <c r="C17" s="5" t="s">
        <v>189</v>
      </c>
      <c r="D17" s="6">
        <v>0.5</v>
      </c>
      <c r="E17" s="7">
        <v>20</v>
      </c>
      <c r="F17" s="7">
        <v>10</v>
      </c>
      <c r="G17" s="7">
        <f t="shared" si="0"/>
        <v>10</v>
      </c>
      <c r="H17" s="7">
        <v>110</v>
      </c>
      <c r="I17" s="7">
        <f t="shared" si="1"/>
        <v>2200</v>
      </c>
      <c r="J17" s="8"/>
    </row>
    <row r="18" spans="1:10" ht="15.75" customHeight="1" x14ac:dyDescent="0.25">
      <c r="A18" s="4"/>
      <c r="B18" s="4"/>
      <c r="C18" s="5" t="s">
        <v>190</v>
      </c>
      <c r="D18" s="6">
        <v>0.5</v>
      </c>
      <c r="E18" s="7">
        <v>20</v>
      </c>
      <c r="F18" s="7">
        <v>10</v>
      </c>
      <c r="G18" s="7">
        <f t="shared" si="0"/>
        <v>10</v>
      </c>
      <c r="H18" s="7">
        <v>110</v>
      </c>
      <c r="I18" s="7">
        <f t="shared" si="1"/>
        <v>2200</v>
      </c>
      <c r="J18" s="8"/>
    </row>
    <row r="19" spans="1:10" ht="15.75" customHeight="1" x14ac:dyDescent="0.25">
      <c r="A19" s="4"/>
      <c r="B19" s="4"/>
      <c r="C19" s="5" t="s">
        <v>191</v>
      </c>
      <c r="D19" s="6">
        <v>0.5</v>
      </c>
      <c r="E19" s="7">
        <v>10</v>
      </c>
      <c r="F19" s="7">
        <v>10</v>
      </c>
      <c r="G19" s="7">
        <f t="shared" si="0"/>
        <v>5</v>
      </c>
      <c r="H19" s="7">
        <v>600</v>
      </c>
      <c r="I19" s="7">
        <f t="shared" si="1"/>
        <v>6000</v>
      </c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SUM(E4:E22)</f>
        <v>656</v>
      </c>
      <c r="F23" s="16">
        <f t="shared" si="2"/>
        <v>176</v>
      </c>
      <c r="G23" s="205">
        <f t="shared" si="2"/>
        <v>162.4</v>
      </c>
      <c r="H23" s="206"/>
      <c r="I23" s="207">
        <f>SUM(I4:I21)</f>
        <v>56360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181981.93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192</v>
      </c>
      <c r="B31" s="39"/>
      <c r="C31" s="40">
        <v>400000</v>
      </c>
      <c r="D31" s="40">
        <v>400000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 t="s">
        <v>193</v>
      </c>
      <c r="B32" s="39"/>
      <c r="C32" s="40">
        <v>333100</v>
      </c>
      <c r="D32" s="40">
        <v>333100</v>
      </c>
      <c r="E32" s="34"/>
      <c r="F32" s="41"/>
      <c r="G32" s="41"/>
      <c r="H32" s="35"/>
      <c r="I32" s="38"/>
      <c r="J32" s="1"/>
    </row>
    <row r="33" spans="1:10" ht="15.75" customHeight="1" x14ac:dyDescent="0.25">
      <c r="A33" s="39" t="s">
        <v>194</v>
      </c>
      <c r="B33" s="39"/>
      <c r="C33" s="40">
        <v>511502.37</v>
      </c>
      <c r="D33" s="40">
        <v>511502.37</v>
      </c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 t="s">
        <v>195</v>
      </c>
      <c r="B39" s="47"/>
      <c r="C39" s="48">
        <v>28000</v>
      </c>
      <c r="D39" s="48">
        <v>28000</v>
      </c>
      <c r="E39" s="34"/>
      <c r="F39" s="34"/>
      <c r="G39" s="35"/>
      <c r="H39" s="36">
        <f t="shared" si="4"/>
        <v>0</v>
      </c>
      <c r="I39" s="1"/>
      <c r="J39" s="1"/>
    </row>
    <row r="40" spans="1:10" ht="45" x14ac:dyDescent="0.25">
      <c r="A40" s="46" t="s">
        <v>196</v>
      </c>
      <c r="B40" s="47"/>
      <c r="C40" s="215">
        <v>25100</v>
      </c>
      <c r="D40" s="215">
        <v>25100</v>
      </c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 t="s">
        <v>197</v>
      </c>
      <c r="B41" s="39"/>
      <c r="C41" s="49">
        <v>32000</v>
      </c>
      <c r="D41" s="49">
        <v>32000</v>
      </c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 t="s">
        <v>198</v>
      </c>
      <c r="B42" s="39"/>
      <c r="C42" s="40">
        <v>46500</v>
      </c>
      <c r="D42" s="40">
        <v>46500</v>
      </c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 t="s">
        <v>199</v>
      </c>
      <c r="B43" s="39"/>
      <c r="C43" s="40">
        <v>594</v>
      </c>
      <c r="D43" s="40">
        <v>594</v>
      </c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 t="s">
        <v>200</v>
      </c>
      <c r="B44" s="39"/>
      <c r="C44" s="40">
        <v>694</v>
      </c>
      <c r="D44" s="40">
        <v>694</v>
      </c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1293696.3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244321.72999999986</v>
      </c>
      <c r="D51" s="62"/>
      <c r="E51" s="63" t="s">
        <v>28</v>
      </c>
      <c r="F51" s="64"/>
      <c r="G51" s="65">
        <v>1429.3700000001118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105.29</v>
      </c>
      <c r="C54" s="70" t="s">
        <v>48</v>
      </c>
      <c r="D54" s="71">
        <v>5662.7</v>
      </c>
      <c r="E54" s="72" t="s">
        <v>201</v>
      </c>
      <c r="F54" s="73">
        <v>1084896</v>
      </c>
      <c r="G54" s="72" t="s">
        <v>140</v>
      </c>
      <c r="H54" s="73">
        <v>1085000</v>
      </c>
      <c r="I54" s="74"/>
      <c r="J54" s="75"/>
    </row>
    <row r="55" spans="1:10" ht="15" x14ac:dyDescent="0.25">
      <c r="A55" s="70" t="s">
        <v>202</v>
      </c>
      <c r="B55" s="71">
        <v>100053.3</v>
      </c>
      <c r="C55" s="70" t="s">
        <v>203</v>
      </c>
      <c r="D55" s="71">
        <v>40000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204</v>
      </c>
      <c r="B56" s="70"/>
      <c r="C56" s="70" t="s">
        <v>205</v>
      </c>
      <c r="D56" s="70"/>
      <c r="E56" s="76"/>
      <c r="F56" s="76"/>
      <c r="G56" s="72"/>
      <c r="H56" s="73"/>
      <c r="I56" s="74"/>
      <c r="J56" s="74"/>
    </row>
    <row r="57" spans="1:10" ht="15" x14ac:dyDescent="0.25">
      <c r="A57" s="70" t="s">
        <v>171</v>
      </c>
      <c r="B57" s="70">
        <v>1085000</v>
      </c>
      <c r="C57" s="70" t="s">
        <v>206</v>
      </c>
      <c r="D57" s="71">
        <v>333100</v>
      </c>
      <c r="E57" s="77"/>
      <c r="F57" s="78"/>
      <c r="G57" s="78"/>
      <c r="H57" s="78"/>
      <c r="I57" s="74"/>
      <c r="J57" s="74"/>
    </row>
    <row r="58" spans="1:10" ht="15" x14ac:dyDescent="0.25">
      <c r="A58" s="75"/>
      <c r="B58" s="70"/>
      <c r="C58" s="70" t="s">
        <v>207</v>
      </c>
      <c r="D58" s="70">
        <v>400000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208</v>
      </c>
      <c r="D59" s="70">
        <v>511502.37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1429480.3199999998</v>
      </c>
      <c r="C73" s="82"/>
      <c r="D73" s="83">
        <f>SUM(D54:D72)</f>
        <v>1290265.0699999998</v>
      </c>
      <c r="E73" s="84"/>
      <c r="F73" s="85">
        <f>SUM(F54:F72)+G51</f>
        <v>1086325.3700000001</v>
      </c>
      <c r="G73" s="84"/>
      <c r="H73" s="85">
        <f>SUM(H54:H72)</f>
        <v>1085000</v>
      </c>
      <c r="I73" s="86"/>
      <c r="J73" s="87"/>
    </row>
    <row r="74" spans="1:10" ht="30" x14ac:dyDescent="0.25">
      <c r="A74" s="88" t="s">
        <v>33</v>
      </c>
      <c r="B74" s="61">
        <f>B73-D73</f>
        <v>139215.25</v>
      </c>
      <c r="C74" s="89"/>
      <c r="D74" s="22"/>
      <c r="E74" s="63" t="s">
        <v>33</v>
      </c>
      <c r="F74" s="65">
        <f>F73-H73</f>
        <v>1325.3700000001118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140540.62000000011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 t="s">
        <v>149</v>
      </c>
      <c r="B79" s="103">
        <v>1</v>
      </c>
      <c r="C79" s="103" t="s">
        <v>99</v>
      </c>
      <c r="D79" s="98">
        <v>0.2</v>
      </c>
      <c r="E79" s="98">
        <v>1440</v>
      </c>
      <c r="F79" s="99">
        <v>18</v>
      </c>
      <c r="G79" s="100">
        <f t="shared" ref="G79:G81" si="5">E79*D79</f>
        <v>288</v>
      </c>
      <c r="H79" s="99">
        <v>68</v>
      </c>
      <c r="I79" s="101">
        <f t="shared" ref="I79:I81" si="6">H79*E79</f>
        <v>97920</v>
      </c>
      <c r="J79" s="211" t="s">
        <v>209</v>
      </c>
    </row>
    <row r="80" spans="1:10" ht="15" x14ac:dyDescent="0.25">
      <c r="A80" s="103" t="s">
        <v>104</v>
      </c>
      <c r="B80" s="103">
        <v>2</v>
      </c>
      <c r="C80" s="103" t="s">
        <v>155</v>
      </c>
      <c r="D80" s="98">
        <v>0.2</v>
      </c>
      <c r="E80" s="99">
        <v>2628</v>
      </c>
      <c r="F80" s="99">
        <v>18</v>
      </c>
      <c r="G80" s="100">
        <f t="shared" si="5"/>
        <v>525.6</v>
      </c>
      <c r="H80" s="99">
        <v>70.727777777777703</v>
      </c>
      <c r="I80" s="101">
        <f t="shared" si="6"/>
        <v>185872.5999999998</v>
      </c>
      <c r="J80" s="226" t="s">
        <v>210</v>
      </c>
    </row>
    <row r="81" spans="1:10" ht="15" x14ac:dyDescent="0.25">
      <c r="A81" s="106"/>
      <c r="B81" s="106">
        <v>2</v>
      </c>
      <c r="C81" s="103" t="s">
        <v>157</v>
      </c>
      <c r="D81" s="98">
        <v>0.2</v>
      </c>
      <c r="E81" s="98">
        <v>2340</v>
      </c>
      <c r="F81" s="99">
        <v>18</v>
      </c>
      <c r="G81" s="100">
        <f t="shared" si="5"/>
        <v>468</v>
      </c>
      <c r="H81" s="99">
        <v>70.727777777777703</v>
      </c>
      <c r="I81" s="101">
        <f t="shared" si="6"/>
        <v>165502.99999999983</v>
      </c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7">SUM(E79:E103)</f>
        <v>6408</v>
      </c>
      <c r="F104" s="138">
        <f t="shared" si="7"/>
        <v>54</v>
      </c>
      <c r="G104" s="139">
        <f t="shared" si="7"/>
        <v>1281.5999999999999</v>
      </c>
      <c r="H104" s="140"/>
      <c r="I104" s="141">
        <f>SUM(I79:I103)</f>
        <v>449295.59999999963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1937.6</v>
      </c>
      <c r="C107" s="146">
        <f>I23+H104+I104+F124</f>
        <v>505655.59999999963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 t="s">
        <v>114</v>
      </c>
      <c r="B110" s="156" t="s">
        <v>110</v>
      </c>
      <c r="C110" s="155" t="s">
        <v>149</v>
      </c>
      <c r="D110" s="157"/>
      <c r="E110" s="158" t="s">
        <v>211</v>
      </c>
      <c r="F110" s="159">
        <v>7320</v>
      </c>
      <c r="G110" s="160">
        <f t="shared" ref="G110:G111" si="8">F110*H110</f>
        <v>7320</v>
      </c>
      <c r="H110" s="161">
        <v>1</v>
      </c>
      <c r="I110" s="147"/>
      <c r="J110" s="1"/>
    </row>
    <row r="111" spans="1:10" ht="15" x14ac:dyDescent="0.25">
      <c r="A111" s="103"/>
      <c r="B111" s="156"/>
      <c r="C111" s="103" t="s">
        <v>116</v>
      </c>
      <c r="D111" s="103"/>
      <c r="E111" s="103" t="s">
        <v>212</v>
      </c>
      <c r="F111" s="159">
        <v>1680</v>
      </c>
      <c r="G111" s="160">
        <f t="shared" si="8"/>
        <v>6720</v>
      </c>
      <c r="H111" s="164">
        <v>4</v>
      </c>
      <c r="I111" s="165"/>
      <c r="J111" s="1"/>
    </row>
    <row r="112" spans="1:10" ht="15" x14ac:dyDescent="0.25">
      <c r="A112" s="166" t="s">
        <v>160</v>
      </c>
      <c r="B112" s="103" t="s">
        <v>110</v>
      </c>
      <c r="C112" s="103" t="s">
        <v>161</v>
      </c>
      <c r="D112" s="103" t="s">
        <v>162</v>
      </c>
      <c r="E112" s="103" t="s">
        <v>163</v>
      </c>
      <c r="F112" s="171">
        <v>15000</v>
      </c>
      <c r="G112" s="171">
        <v>15000</v>
      </c>
      <c r="H112" s="172"/>
      <c r="I112" s="165"/>
      <c r="J112" s="1"/>
    </row>
    <row r="113" spans="1:10" ht="15" x14ac:dyDescent="0.25">
      <c r="A113" s="103"/>
      <c r="B113" s="166"/>
      <c r="C113" s="4" t="s">
        <v>180</v>
      </c>
      <c r="D113" s="103" t="s">
        <v>162</v>
      </c>
      <c r="E113" s="103"/>
      <c r="F113" s="171">
        <v>3000</v>
      </c>
      <c r="G113" s="171">
        <v>3000</v>
      </c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32040</v>
      </c>
      <c r="H121" s="186">
        <f>SUM(H110:H119)</f>
        <v>5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4"/>
  <sheetViews>
    <sheetView tabSelected="1" topLeftCell="A62" workbookViewId="0">
      <selection activeCell="A77" sqref="A77"/>
    </sheetView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129</v>
      </c>
      <c r="B4" s="4" t="s">
        <v>11</v>
      </c>
      <c r="C4" s="5" t="s">
        <v>75</v>
      </c>
      <c r="D4" s="6">
        <v>0.11</v>
      </c>
      <c r="E4" s="7">
        <v>2</v>
      </c>
      <c r="F4" s="7">
        <v>10</v>
      </c>
      <c r="G4" s="7">
        <f t="shared" ref="G4:G9" si="0">E4*D4</f>
        <v>0.22</v>
      </c>
      <c r="H4" s="7">
        <v>35</v>
      </c>
      <c r="I4" s="7">
        <f t="shared" ref="I4:I9" si="1">H4*E4</f>
        <v>70</v>
      </c>
      <c r="J4" s="8"/>
    </row>
    <row r="5" spans="1:10" ht="15.75" customHeight="1" x14ac:dyDescent="0.25">
      <c r="A5" s="4"/>
      <c r="B5" s="4"/>
      <c r="C5" s="5" t="s">
        <v>76</v>
      </c>
      <c r="D5" s="6">
        <v>0.11</v>
      </c>
      <c r="E5" s="7">
        <v>1</v>
      </c>
      <c r="F5" s="7">
        <v>10</v>
      </c>
      <c r="G5" s="7">
        <f t="shared" si="0"/>
        <v>0.11</v>
      </c>
      <c r="H5" s="7">
        <v>35</v>
      </c>
      <c r="I5" s="7">
        <f t="shared" si="1"/>
        <v>35</v>
      </c>
      <c r="J5" s="8"/>
    </row>
    <row r="6" spans="1:10" ht="15.75" customHeight="1" x14ac:dyDescent="0.25">
      <c r="A6" s="4"/>
      <c r="B6" s="4"/>
      <c r="C6" s="5" t="s">
        <v>77</v>
      </c>
      <c r="D6" s="6">
        <v>0.11</v>
      </c>
      <c r="E6" s="7">
        <v>2</v>
      </c>
      <c r="F6" s="7">
        <v>10</v>
      </c>
      <c r="G6" s="7">
        <f t="shared" si="0"/>
        <v>0.22</v>
      </c>
      <c r="H6" s="7">
        <v>35</v>
      </c>
      <c r="I6" s="7">
        <f t="shared" si="1"/>
        <v>70</v>
      </c>
      <c r="J6" s="8"/>
    </row>
    <row r="7" spans="1:10" ht="15.75" customHeight="1" x14ac:dyDescent="0.25">
      <c r="A7" s="4"/>
      <c r="B7" s="4"/>
      <c r="C7" s="5" t="s">
        <v>78</v>
      </c>
      <c r="D7" s="6">
        <v>0.11</v>
      </c>
      <c r="E7" s="7">
        <v>1</v>
      </c>
      <c r="F7" s="7">
        <v>10</v>
      </c>
      <c r="G7" s="7">
        <f t="shared" si="0"/>
        <v>0.11</v>
      </c>
      <c r="H7" s="7">
        <v>35</v>
      </c>
      <c r="I7" s="7">
        <f t="shared" si="1"/>
        <v>35</v>
      </c>
      <c r="J7" s="8"/>
    </row>
    <row r="8" spans="1:10" ht="15.75" customHeight="1" x14ac:dyDescent="0.25">
      <c r="A8" s="4"/>
      <c r="B8" s="4"/>
      <c r="C8" s="5" t="s">
        <v>79</v>
      </c>
      <c r="D8" s="6">
        <v>0.2</v>
      </c>
      <c r="E8" s="7">
        <v>12</v>
      </c>
      <c r="F8" s="7">
        <v>18</v>
      </c>
      <c r="G8" s="7">
        <f t="shared" si="0"/>
        <v>2.4000000000000004</v>
      </c>
      <c r="H8" s="7">
        <v>85</v>
      </c>
      <c r="I8" s="7">
        <f t="shared" si="1"/>
        <v>1020</v>
      </c>
      <c r="J8" s="8"/>
    </row>
    <row r="9" spans="1:10" ht="15.75" customHeight="1" x14ac:dyDescent="0.25">
      <c r="A9" s="4" t="s">
        <v>213</v>
      </c>
      <c r="B9" s="4"/>
      <c r="C9" s="5" t="s">
        <v>80</v>
      </c>
      <c r="D9" s="6">
        <v>0.2</v>
      </c>
      <c r="E9" s="7">
        <v>0</v>
      </c>
      <c r="F9" s="7">
        <v>18</v>
      </c>
      <c r="G9" s="7">
        <f t="shared" si="0"/>
        <v>0</v>
      </c>
      <c r="H9" s="7">
        <v>75</v>
      </c>
      <c r="I9" s="7">
        <f t="shared" si="1"/>
        <v>0</v>
      </c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10"/>
      <c r="G11" s="10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10"/>
      <c r="G12" s="10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10"/>
      <c r="G13" s="10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10"/>
      <c r="G14" s="10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10"/>
      <c r="G15" s="10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10"/>
      <c r="G16" s="10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SUM(E4:E16)</f>
        <v>18</v>
      </c>
      <c r="F23" s="16">
        <f t="shared" si="2"/>
        <v>76</v>
      </c>
      <c r="G23" s="205">
        <f t="shared" si="2"/>
        <v>3.0600000000000005</v>
      </c>
      <c r="H23" s="206"/>
      <c r="I23" s="207">
        <f>SUM(I4:I21)</f>
        <v>1230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208751.93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175</v>
      </c>
      <c r="B31" s="39"/>
      <c r="C31" s="40">
        <v>1230</v>
      </c>
      <c r="D31" s="40">
        <v>1230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30" x14ac:dyDescent="0.25">
      <c r="A38" s="39" t="s">
        <v>214</v>
      </c>
      <c r="B38" s="44"/>
      <c r="C38" s="202">
        <v>28000</v>
      </c>
      <c r="D38" s="202">
        <v>28000</v>
      </c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228</v>
      </c>
      <c r="B47" s="55"/>
      <c r="C47" s="56"/>
      <c r="D47" s="57">
        <f>SUM(D31,D32:D35,D30,)-SUM(D38:D46,)</f>
        <v>181981.93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227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111710.45</v>
      </c>
      <c r="D51" s="62"/>
      <c r="E51" s="63" t="s">
        <v>28</v>
      </c>
      <c r="F51" s="64"/>
      <c r="G51" s="65">
        <v>1837.3700000000536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223</v>
      </c>
      <c r="B54" s="70">
        <v>212607.7</v>
      </c>
      <c r="C54" s="70" t="s">
        <v>216</v>
      </c>
      <c r="D54" s="71">
        <v>1420.01</v>
      </c>
      <c r="E54" s="72" t="s">
        <v>201</v>
      </c>
      <c r="F54" s="73">
        <v>700272</v>
      </c>
      <c r="G54" s="72" t="s">
        <v>140</v>
      </c>
      <c r="H54" s="73">
        <v>696000</v>
      </c>
      <c r="I54" s="74"/>
      <c r="J54" s="75"/>
    </row>
    <row r="55" spans="1:10" ht="15" x14ac:dyDescent="0.25">
      <c r="A55" s="70" t="s">
        <v>224</v>
      </c>
      <c r="B55" s="71">
        <v>696000</v>
      </c>
      <c r="C55" s="70" t="s">
        <v>176</v>
      </c>
      <c r="D55" s="71">
        <v>1480</v>
      </c>
      <c r="E55" s="72"/>
      <c r="F55" s="73"/>
      <c r="G55" s="72" t="s">
        <v>215</v>
      </c>
      <c r="H55" s="73">
        <v>3990</v>
      </c>
      <c r="I55" s="74"/>
      <c r="J55" s="74"/>
    </row>
    <row r="56" spans="1:10" ht="15" x14ac:dyDescent="0.25">
      <c r="A56" s="214"/>
      <c r="B56" s="214"/>
      <c r="C56" s="70" t="s">
        <v>217</v>
      </c>
      <c r="D56" s="70">
        <v>2210.4</v>
      </c>
      <c r="E56" s="76"/>
      <c r="F56" s="76"/>
      <c r="G56" s="72" t="s">
        <v>215</v>
      </c>
      <c r="H56" s="73">
        <v>690</v>
      </c>
      <c r="I56" s="74"/>
      <c r="J56" s="74"/>
    </row>
    <row r="57" spans="1:10" ht="15" x14ac:dyDescent="0.25">
      <c r="A57" s="70"/>
      <c r="B57" s="70"/>
      <c r="C57" s="70" t="s">
        <v>216</v>
      </c>
      <c r="D57" s="71">
        <v>3078.01</v>
      </c>
      <c r="E57" s="77"/>
      <c r="F57" s="78"/>
      <c r="G57" s="78"/>
      <c r="H57" s="78"/>
      <c r="I57" s="74"/>
      <c r="J57" s="74"/>
    </row>
    <row r="58" spans="1:10" ht="15" x14ac:dyDescent="0.25">
      <c r="A58" s="75"/>
      <c r="B58" s="70"/>
      <c r="C58" s="70" t="s">
        <v>225</v>
      </c>
      <c r="D58" s="70">
        <v>4604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218</v>
      </c>
      <c r="D59" s="70">
        <v>5149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219</v>
      </c>
      <c r="D60" s="70">
        <v>5700</v>
      </c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 t="s">
        <v>220</v>
      </c>
      <c r="D61" s="70">
        <v>6250</v>
      </c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 t="s">
        <v>220</v>
      </c>
      <c r="D62" s="70">
        <v>6821</v>
      </c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 t="s">
        <v>219</v>
      </c>
      <c r="D63" s="70">
        <v>51784</v>
      </c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 t="s">
        <v>221</v>
      </c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 t="s">
        <v>222</v>
      </c>
      <c r="D65" s="70">
        <v>687500</v>
      </c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1020318.1499999999</v>
      </c>
      <c r="C73" s="82"/>
      <c r="D73" s="83">
        <f>SUM(D54:D72)</f>
        <v>775996.42</v>
      </c>
      <c r="E73" s="84"/>
      <c r="F73" s="85">
        <f>SUM(F54:F72)+G51</f>
        <v>702109.37000000011</v>
      </c>
      <c r="G73" s="84"/>
      <c r="H73" s="85">
        <f>SUM(H54:H72)</f>
        <v>700680</v>
      </c>
      <c r="I73" s="86"/>
      <c r="J73" s="87"/>
    </row>
    <row r="74" spans="1:10" ht="30" x14ac:dyDescent="0.25">
      <c r="A74" s="88" t="s">
        <v>33</v>
      </c>
      <c r="B74" s="61">
        <f>B73-D73</f>
        <v>244321.72999999986</v>
      </c>
      <c r="C74" s="89"/>
      <c r="D74" s="22"/>
      <c r="E74" s="63" t="s">
        <v>33</v>
      </c>
      <c r="F74" s="65">
        <f>F73-H73</f>
        <v>1429.3700000001118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226</v>
      </c>
      <c r="B75" s="22"/>
      <c r="C75" s="91">
        <f>B74+F74+J74</f>
        <v>245751.09999999998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/>
      <c r="B79" s="103"/>
      <c r="C79" s="103"/>
      <c r="D79" s="97"/>
      <c r="E79" s="97"/>
      <c r="F79" s="104"/>
      <c r="G79" s="107"/>
      <c r="H79" s="104"/>
      <c r="I79" s="108"/>
      <c r="J79" s="211"/>
    </row>
    <row r="80" spans="1:10" ht="15" x14ac:dyDescent="0.25">
      <c r="A80" s="103"/>
      <c r="B80" s="103"/>
      <c r="C80" s="103"/>
      <c r="D80" s="97"/>
      <c r="E80" s="97"/>
      <c r="F80" s="104"/>
      <c r="G80" s="107"/>
      <c r="H80" s="104"/>
      <c r="I80" s="108"/>
      <c r="J80" s="226"/>
    </row>
    <row r="81" spans="1:10" ht="15" x14ac:dyDescent="0.25">
      <c r="A81" s="103"/>
      <c r="B81" s="103"/>
      <c r="C81" s="103"/>
      <c r="D81" s="97"/>
      <c r="E81" s="97"/>
      <c r="F81" s="104"/>
      <c r="G81" s="107"/>
      <c r="H81" s="104"/>
      <c r="I81" s="108"/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5">SUM(E79:E103)</f>
        <v>0</v>
      </c>
      <c r="F104" s="138">
        <f t="shared" si="5"/>
        <v>0</v>
      </c>
      <c r="G104" s="139">
        <f t="shared" si="5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18</v>
      </c>
      <c r="C107" s="146">
        <f>I23+H104+I104+F124</f>
        <v>1230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71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03"/>
      <c r="F111" s="159"/>
      <c r="G111" s="171"/>
      <c r="H111" s="172"/>
      <c r="I111" s="165"/>
      <c r="J111" s="1"/>
    </row>
    <row r="112" spans="1:10" ht="15" x14ac:dyDescent="0.25">
      <c r="A112" s="103"/>
      <c r="B112" s="166"/>
      <c r="C112" s="103"/>
      <c r="D112" s="103"/>
      <c r="E112" s="212"/>
      <c r="F112" s="170"/>
      <c r="G112" s="171"/>
      <c r="H112" s="172"/>
      <c r="I112" s="165"/>
      <c r="J112" s="1"/>
    </row>
    <row r="113" spans="1:10" ht="15" x14ac:dyDescent="0.25">
      <c r="A113" s="103"/>
      <c r="B113" s="166"/>
      <c r="C113" s="103"/>
      <c r="D113" s="103"/>
      <c r="E113" s="103"/>
      <c r="F113" s="170"/>
      <c r="G113" s="171"/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10.09.2025</vt:lpstr>
      <vt:lpstr>09.09.2025</vt:lpstr>
      <vt:lpstr>08.09.2025</vt:lpstr>
      <vt:lpstr>07.09.2025</vt:lpstr>
      <vt:lpstr>06.09.2025</vt:lpstr>
      <vt:lpstr>05.09.2025</vt:lpstr>
      <vt:lpstr>04.09.2025</vt:lpstr>
      <vt:lpstr>03.09.2025 </vt:lpstr>
      <vt:lpstr>02.09.2025</vt:lpstr>
      <vt:lpstr>01.09.2025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2025-09-24T12:49:04Z</dcterms:modified>
</cp:coreProperties>
</file>